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33</v>
      </c>
      <c r="G7" s="84" t="n"/>
      <c r="H7" s="84" t="n"/>
      <c r="I7" s="84" t="n"/>
      <c r="J7" s="74" t="n">
        <v>2.89</v>
      </c>
      <c r="K7" s="94" t="n">
        <v>467</v>
      </c>
      <c r="L7" s="83" t="n">
        <v>6</v>
      </c>
      <c r="M7" s="164" t="n"/>
      <c r="N7" s="74" t="n">
        <v>0.59</v>
      </c>
      <c r="O7" s="94" t="n">
        <v>74</v>
      </c>
      <c r="P7" s="83" t="n">
        <v>2</v>
      </c>
      <c r="Q7" s="164" t="n"/>
      <c r="R7" s="105" t="n">
        <v>0.22</v>
      </c>
      <c r="S7" s="106" t="n">
        <v>14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60</v>
      </c>
      <c r="G8" s="161" t="n"/>
      <c r="H8" s="161" t="n">
        <v>2</v>
      </c>
      <c r="I8" s="161" t="n"/>
      <c r="J8" s="162" t="n">
        <v>5.33</v>
      </c>
      <c r="K8" s="95" t="n">
        <v>869</v>
      </c>
      <c r="L8" s="103" t="n">
        <v>11</v>
      </c>
      <c r="M8" s="164" t="n"/>
      <c r="N8" s="101" t="n">
        <v>0.92</v>
      </c>
      <c r="O8" s="166" t="n">
        <v>113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110</v>
      </c>
      <c r="G9" s="161" t="n"/>
      <c r="H9" s="161" t="n">
        <v>2</v>
      </c>
      <c r="I9" s="161" t="n"/>
      <c r="J9" s="162" t="n">
        <v>9.93</v>
      </c>
      <c r="K9" s="169" t="n">
        <v>1631</v>
      </c>
      <c r="L9" s="163" t="n">
        <v>12</v>
      </c>
      <c r="M9" s="164" t="n"/>
      <c r="N9" s="165" t="n">
        <v>1.24</v>
      </c>
      <c r="O9" s="166" t="n">
        <v>147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37</v>
      </c>
      <c r="G10" s="161" t="n"/>
      <c r="H10" s="161" t="n"/>
      <c r="I10" s="161" t="n"/>
      <c r="J10" s="162" t="n">
        <v>3.45</v>
      </c>
      <c r="K10" s="169" t="n">
        <v>565</v>
      </c>
      <c r="L10" s="163" t="n">
        <v>4</v>
      </c>
      <c r="M10" s="164" t="n"/>
      <c r="N10" s="165" t="n">
        <v>0.35</v>
      </c>
      <c r="O10" s="166" t="n">
        <v>40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90</v>
      </c>
      <c r="G11" s="161" t="n"/>
      <c r="H11" s="161" t="n"/>
      <c r="I11" s="161" t="n"/>
      <c r="J11" s="162" t="n">
        <v>7.8</v>
      </c>
      <c r="K11" s="169" t="n">
        <v>1191</v>
      </c>
      <c r="L11" s="163" t="n">
        <v>7</v>
      </c>
      <c r="M11" s="164" t="n"/>
      <c r="N11" s="165" t="n">
        <v>0.7</v>
      </c>
      <c r="O11" s="166" t="n">
        <v>92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17</v>
      </c>
      <c r="G12" s="161" t="n"/>
      <c r="H12" s="161" t="n"/>
      <c r="I12" s="161" t="n"/>
      <c r="J12" s="162" t="n">
        <v>1.65</v>
      </c>
      <c r="K12" s="169" t="n">
        <v>203</v>
      </c>
      <c r="L12" s="163" t="n">
        <v>4</v>
      </c>
      <c r="M12" s="164" t="n"/>
      <c r="N12" s="165" t="n">
        <v>0.35</v>
      </c>
      <c r="O12" s="166" t="n">
        <v>44</v>
      </c>
      <c r="P12" s="167" t="n">
        <v>3</v>
      </c>
      <c r="Q12" s="164" t="n"/>
      <c r="R12" s="168" t="n">
        <v>0.33</v>
      </c>
      <c r="S12" s="166" t="n">
        <v>14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47</v>
      </c>
      <c r="G13" s="161" t="n"/>
      <c r="H13" s="161" t="n"/>
      <c r="I13" s="161" t="n"/>
      <c r="J13" s="162" t="n">
        <v>4.14</v>
      </c>
      <c r="K13" s="169" t="n">
        <v>707</v>
      </c>
      <c r="L13" s="163" t="n">
        <v>5</v>
      </c>
      <c r="M13" s="164" t="n"/>
      <c r="N13" s="165" t="n">
        <v>0.49</v>
      </c>
      <c r="O13" s="166" t="n">
        <v>50</v>
      </c>
      <c r="P13" s="167" t="n">
        <v>3</v>
      </c>
      <c r="Q13" s="164" t="n"/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28</v>
      </c>
      <c r="G14" s="161" t="n"/>
      <c r="H14" s="133" t="n"/>
      <c r="I14" s="161" t="n"/>
      <c r="J14" s="162" t="n">
        <v>2.4</v>
      </c>
      <c r="K14" s="169" t="n">
        <v>388</v>
      </c>
      <c r="L14" s="163" t="n">
        <v>2</v>
      </c>
      <c r="M14" s="164" t="n"/>
      <c r="N14" s="165" t="n">
        <v>0.22</v>
      </c>
      <c r="O14" s="166" t="n">
        <v>27</v>
      </c>
      <c r="P14" s="167" t="n">
        <v>2</v>
      </c>
      <c r="Q14" s="164" t="n"/>
      <c r="R14" s="168" t="n">
        <v>0.22</v>
      </c>
      <c r="S14" s="166" t="n">
        <v>10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81</v>
      </c>
      <c r="G15" s="161" t="n"/>
      <c r="H15" s="161" t="n"/>
      <c r="I15" s="161" t="n"/>
      <c r="J15" s="162" t="n">
        <v>7.1</v>
      </c>
      <c r="K15" s="169" t="n">
        <v>1149</v>
      </c>
      <c r="L15" s="163" t="n">
        <v>9</v>
      </c>
      <c r="M15" s="164" t="n"/>
      <c r="N15" s="165" t="n">
        <v>0.8100000000000001</v>
      </c>
      <c r="O15" s="166" t="n">
        <v>100</v>
      </c>
      <c r="P15" s="167" t="n">
        <v>1</v>
      </c>
      <c r="Q15" s="164" t="n"/>
      <c r="R15" s="168" t="n">
        <v>0.11</v>
      </c>
      <c r="S15" s="166" t="n">
        <v>7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107</v>
      </c>
      <c r="G16" s="161" t="n"/>
      <c r="H16" s="161" t="n"/>
      <c r="I16" s="161" t="n"/>
      <c r="J16" s="162" t="n">
        <v>9.58</v>
      </c>
      <c r="K16" s="169" t="n">
        <v>1540</v>
      </c>
      <c r="L16" s="163" t="n">
        <v>7</v>
      </c>
      <c r="M16" s="164" t="n"/>
      <c r="N16" s="165" t="n">
        <v>0.7</v>
      </c>
      <c r="O16" s="166" t="n">
        <v>87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23</v>
      </c>
      <c r="G17" s="161" t="n"/>
      <c r="H17" s="161" t="n"/>
      <c r="I17" s="161" t="n"/>
      <c r="J17" s="162" t="n">
        <v>2.39</v>
      </c>
      <c r="K17" s="169" t="n">
        <v>292</v>
      </c>
      <c r="L17" s="163" t="n">
        <v>5</v>
      </c>
      <c r="M17" s="164" t="n"/>
      <c r="N17" s="165" t="n">
        <v>0.54</v>
      </c>
      <c r="O17" s="166" t="n">
        <v>55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26</v>
      </c>
      <c r="G18" s="161" t="n"/>
      <c r="H18" s="161" t="n"/>
      <c r="I18" s="161" t="n"/>
      <c r="J18" s="162" t="n">
        <v>2.24</v>
      </c>
      <c r="K18" s="169" t="n">
        <v>319</v>
      </c>
      <c r="L18" s="163" t="n">
        <v>2</v>
      </c>
      <c r="M18" s="164" t="n"/>
      <c r="N18" s="165" t="n">
        <v>0.22</v>
      </c>
      <c r="O18" s="166" t="n">
        <v>22</v>
      </c>
      <c r="P18" s="167" t="n">
        <v>1</v>
      </c>
      <c r="Q18" s="164" t="n"/>
      <c r="R18" s="168" t="n">
        <v>0.1</v>
      </c>
      <c r="S18" s="166" t="n">
        <v>5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27</v>
      </c>
      <c r="G19" s="161" t="n"/>
      <c r="H19" s="161" t="n"/>
      <c r="I19" s="161" t="n"/>
      <c r="J19" s="162" t="n">
        <v>2.33</v>
      </c>
      <c r="K19" s="169" t="n">
        <v>335</v>
      </c>
      <c r="L19" s="163" t="n">
        <v>2</v>
      </c>
      <c r="M19" s="164" t="n"/>
      <c r="N19" s="165" t="n">
        <v>0.22</v>
      </c>
      <c r="O19" s="166" t="n">
        <v>15</v>
      </c>
      <c r="P19" s="167" t="n">
        <v>1</v>
      </c>
      <c r="Q19" s="164" t="n"/>
      <c r="R19" s="168" t="n">
        <v>0.1</v>
      </c>
      <c r="S19" s="166" t="n">
        <v>6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93</v>
      </c>
      <c r="G20" s="161" t="n"/>
      <c r="H20" s="161" t="n"/>
      <c r="I20" s="161" t="n"/>
      <c r="J20" s="162" t="n">
        <v>9.619999999999999</v>
      </c>
      <c r="K20" s="169" t="n">
        <v>1699</v>
      </c>
      <c r="L20" s="163" t="n">
        <v>6</v>
      </c>
      <c r="M20" s="164" t="n"/>
      <c r="N20" s="165" t="n">
        <v>0.59</v>
      </c>
      <c r="O20" s="166" t="n">
        <v>65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121</v>
      </c>
      <c r="G21" s="161" t="n"/>
      <c r="H21" s="161" t="n"/>
      <c r="I21" s="161" t="n"/>
      <c r="J21" s="162" t="n">
        <v>11.08</v>
      </c>
      <c r="K21" s="169" t="n">
        <v>1781</v>
      </c>
      <c r="L21" s="163" t="n">
        <v>5</v>
      </c>
      <c r="M21" s="164" t="n"/>
      <c r="N21" s="165" t="n">
        <v>0.54</v>
      </c>
      <c r="O21" s="166" t="n">
        <v>46</v>
      </c>
      <c r="P21" s="167" t="n">
        <v>1</v>
      </c>
      <c r="Q21" s="164" t="n"/>
      <c r="R21" s="168" t="n">
        <v>0.09</v>
      </c>
      <c r="S21" s="166" t="n">
        <v>9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54</v>
      </c>
      <c r="G22" s="161" t="n"/>
      <c r="H22" s="161" t="n"/>
      <c r="I22" s="161" t="n"/>
      <c r="J22" s="162" t="n">
        <v>4.86</v>
      </c>
      <c r="K22" s="169" t="n">
        <v>787</v>
      </c>
      <c r="L22" s="163" t="n">
        <v>3</v>
      </c>
      <c r="M22" s="164" t="n"/>
      <c r="N22" s="165" t="n">
        <v>0.19</v>
      </c>
      <c r="O22" s="166" t="n">
        <v>19</v>
      </c>
      <c r="P22" s="167" t="n">
        <v>1</v>
      </c>
      <c r="Q22" s="164" t="n"/>
      <c r="R22" s="168" t="n">
        <v>0.09</v>
      </c>
      <c r="S22" s="166" t="n">
        <v>7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111</v>
      </c>
      <c r="G23" s="161" t="n"/>
      <c r="H23" s="161" t="n"/>
      <c r="I23" s="161" t="n"/>
      <c r="J23" s="162" t="n">
        <v>10.06</v>
      </c>
      <c r="K23" s="169" t="n">
        <v>1598</v>
      </c>
      <c r="L23" s="163" t="n">
        <v>7</v>
      </c>
      <c r="M23" s="164" t="n"/>
      <c r="N23" s="165" t="n">
        <v>0.49</v>
      </c>
      <c r="O23" s="166" t="n">
        <v>43</v>
      </c>
      <c r="P23" s="167" t="n">
        <v>1</v>
      </c>
      <c r="Q23" s="164" t="n"/>
      <c r="R23" s="168" t="n">
        <v>0.09</v>
      </c>
      <c r="S23" s="166" t="n">
        <v>6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186</v>
      </c>
      <c r="G24" s="161" t="n"/>
      <c r="H24" s="161" t="n"/>
      <c r="I24" s="161" t="n"/>
      <c r="J24" s="162" t="n">
        <v>16.57</v>
      </c>
      <c r="K24" s="97" t="n">
        <v>2739</v>
      </c>
      <c r="L24" s="160" t="n">
        <v>17</v>
      </c>
      <c r="M24" s="164" t="n"/>
      <c r="N24" s="162" t="n">
        <v>1.35</v>
      </c>
      <c r="O24" s="97" t="n">
        <v>118</v>
      </c>
      <c r="P24" s="160" t="n">
        <v>1</v>
      </c>
      <c r="Q24" s="164" t="n"/>
      <c r="R24" s="101" t="n">
        <v>0.09</v>
      </c>
      <c r="S24" s="95" t="n">
        <v>3</v>
      </c>
      <c r="T24" s="60">
        <f>+J24+N24+R24</f>
        <v/>
      </c>
      <c r="U24" s="61">
        <f>+K24+O24+S24</f>
        <v/>
      </c>
      <c r="V24" s="41" t="n"/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64</v>
      </c>
      <c r="G25" s="161" t="n"/>
      <c r="H25" s="161" t="n"/>
      <c r="I25" s="161" t="n"/>
      <c r="J25" s="162" t="n">
        <v>5.83</v>
      </c>
      <c r="K25" s="95" t="n">
        <v>961</v>
      </c>
      <c r="L25" s="103" t="n">
        <v>3</v>
      </c>
      <c r="M25" s="164" t="n"/>
      <c r="N25" s="101" t="n">
        <v>0.24</v>
      </c>
      <c r="O25" s="166" t="n">
        <v>28</v>
      </c>
      <c r="P25" s="167" t="n">
        <v>3</v>
      </c>
      <c r="Q25" s="164" t="n"/>
      <c r="R25" s="168" t="n">
        <v>0.26</v>
      </c>
      <c r="S25" s="166" t="n">
        <v>21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144.2</v>
      </c>
      <c r="G26" s="161" t="n"/>
      <c r="H26" s="161" t="n"/>
      <c r="I26" s="161" t="n"/>
      <c r="J26" s="162" t="n">
        <v>17.34</v>
      </c>
      <c r="K26" s="169" t="n">
        <v>2834</v>
      </c>
      <c r="L26" s="163" t="n">
        <v>9.1</v>
      </c>
      <c r="M26" s="164" t="n"/>
      <c r="N26" s="165" t="n">
        <v>1</v>
      </c>
      <c r="O26" s="166" t="n">
        <v>99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61.8</v>
      </c>
      <c r="G27" s="161" t="n"/>
      <c r="H27" s="161" t="n"/>
      <c r="I27" s="161" t="n"/>
      <c r="J27" s="162" t="n"/>
      <c r="K27" s="162" t="n"/>
      <c r="L27" s="163" t="n">
        <v>3.9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91</v>
      </c>
      <c r="G28" s="161" t="n"/>
      <c r="H28" s="161" t="n"/>
      <c r="I28" s="161" t="n"/>
      <c r="J28" s="162" t="n">
        <v>11.42</v>
      </c>
      <c r="K28" s="169" t="n">
        <v>1741</v>
      </c>
      <c r="L28" s="163" t="n">
        <v>8.4</v>
      </c>
      <c r="M28" s="164" t="n"/>
      <c r="N28" s="165" t="n">
        <v>0.78</v>
      </c>
      <c r="O28" s="166" t="n">
        <v>80</v>
      </c>
      <c r="P28" s="167" t="n">
        <v>0.7</v>
      </c>
      <c r="Q28" s="164" t="n"/>
      <c r="R28" s="168" t="n">
        <v>0.09</v>
      </c>
      <c r="S28" s="166" t="n">
        <v>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39</v>
      </c>
      <c r="G29" s="161" t="n"/>
      <c r="H29" s="161" t="n"/>
      <c r="I29" s="161" t="n"/>
      <c r="J29" s="162" t="n"/>
      <c r="K29" s="162" t="n"/>
      <c r="L29" s="163" t="n">
        <v>3.6</v>
      </c>
      <c r="M29" s="164" t="n"/>
      <c r="N29" s="165" t="n"/>
      <c r="O29" s="166" t="n"/>
      <c r="P29" s="167" t="n">
        <v>0.3</v>
      </c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131</v>
      </c>
      <c r="G30" s="161" t="n"/>
      <c r="H30" s="161" t="n"/>
      <c r="I30" s="161" t="n"/>
      <c r="J30" s="162" t="n">
        <v>11.57</v>
      </c>
      <c r="K30" s="169" t="n">
        <v>1800</v>
      </c>
      <c r="L30" s="163" t="n">
        <v>10</v>
      </c>
      <c r="M30" s="164" t="n"/>
      <c r="N30" s="165" t="n">
        <v>0.86</v>
      </c>
      <c r="O30" s="166" t="n">
        <v>92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62</v>
      </c>
      <c r="G31" s="161" t="n"/>
      <c r="H31" s="161" t="n"/>
      <c r="I31" s="161" t="n"/>
      <c r="J31" s="162" t="n">
        <v>5.3</v>
      </c>
      <c r="K31" s="169" t="n">
        <v>836</v>
      </c>
      <c r="L31" s="163" t="n">
        <v>4</v>
      </c>
      <c r="M31" s="164" t="n"/>
      <c r="N31" s="165" t="n">
        <v>0.3</v>
      </c>
      <c r="O31" s="166" t="n">
        <v>31</v>
      </c>
      <c r="P31" s="167" t="n">
        <v>2</v>
      </c>
      <c r="Q31" s="164" t="n"/>
      <c r="R31" s="168" t="n">
        <v>0.18</v>
      </c>
      <c r="S31" s="166" t="n">
        <v>12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93</v>
      </c>
      <c r="G32" s="161" t="n"/>
      <c r="H32" s="161" t="n"/>
      <c r="I32" s="161" t="n"/>
      <c r="J32" s="162" t="n">
        <v>9.4</v>
      </c>
      <c r="K32" s="169" t="n">
        <v>1721</v>
      </c>
      <c r="L32" s="163" t="n">
        <v>4</v>
      </c>
      <c r="M32" s="164" t="n"/>
      <c r="N32" s="165" t="n">
        <v>0.43</v>
      </c>
      <c r="O32" s="166" t="n">
        <v>56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126</v>
      </c>
      <c r="G33" s="161" t="n"/>
      <c r="H33" s="161" t="n"/>
      <c r="I33" s="161" t="n"/>
      <c r="J33" s="162" t="n">
        <v>13.13</v>
      </c>
      <c r="K33" s="169" t="n">
        <v>2334</v>
      </c>
      <c r="L33" s="163" t="n">
        <v>4</v>
      </c>
      <c r="M33" s="164" t="n"/>
      <c r="N33" s="165" t="n">
        <v>0.43</v>
      </c>
      <c r="O33" s="166" t="n">
        <v>45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/>
      <c r="H34" s="161" t="n"/>
      <c r="I34" s="161" t="n"/>
      <c r="J34" s="162" t="n">
        <v>6.14</v>
      </c>
      <c r="K34" s="169" t="n">
        <v>1154</v>
      </c>
      <c r="L34" s="163" t="n">
        <v>4</v>
      </c>
      <c r="M34" s="164" t="n"/>
      <c r="N34" s="165" t="n">
        <v>0.32</v>
      </c>
      <c r="O34" s="166" t="n">
        <v>30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119</v>
      </c>
      <c r="G35" s="161" t="n"/>
      <c r="H35" s="161" t="n"/>
      <c r="I35" s="161" t="n"/>
      <c r="J35" s="162" t="n">
        <v>12.74</v>
      </c>
      <c r="K35" s="169" t="n">
        <v>2315</v>
      </c>
      <c r="L35" s="163" t="n">
        <v>6</v>
      </c>
      <c r="M35" s="164" t="n"/>
      <c r="N35" s="165" t="n">
        <v>0.55</v>
      </c>
      <c r="O35" s="166" t="n">
        <v>54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/>
      <c r="H36" s="161" t="n"/>
      <c r="I36" s="161" t="n"/>
      <c r="J36" s="162" t="n">
        <v>4.83</v>
      </c>
      <c r="K36" s="169" t="n">
        <v>759</v>
      </c>
      <c r="L36" s="163" t="n">
        <v>2</v>
      </c>
      <c r="M36" s="164" t="n"/>
      <c r="N36" s="165" t="n">
        <v>0.22</v>
      </c>
      <c r="O36" s="166" t="n">
        <v>25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/>
      <c r="H37" s="161" t="n"/>
      <c r="I37" s="161" t="n"/>
      <c r="J37" s="162" t="n">
        <v>7.17</v>
      </c>
      <c r="K37" s="169" t="n">
        <v>1212</v>
      </c>
      <c r="L37" s="163" t="n">
        <v>3</v>
      </c>
      <c r="M37" s="164" t="n"/>
      <c r="N37" s="165" t="n">
        <v>0.32</v>
      </c>
      <c r="O37" s="166" t="n">
        <v>36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20</v>
      </c>
      <c r="G38" s="161" t="n"/>
      <c r="H38" s="161" t="n"/>
      <c r="I38" s="161" t="n"/>
      <c r="J38" s="162" t="n">
        <v>2.06</v>
      </c>
      <c r="K38" s="169" t="n">
        <v>350</v>
      </c>
      <c r="L38" s="163" t="n">
        <v>4</v>
      </c>
      <c r="M38" s="164" t="n"/>
      <c r="N38" s="165" t="n">
        <v>0.38</v>
      </c>
      <c r="O38" s="166" t="n">
        <v>38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170</v>
      </c>
      <c r="G39" s="161" t="n"/>
      <c r="H39" s="161" t="n">
        <v>10</v>
      </c>
      <c r="I39" s="161" t="n"/>
      <c r="J39" s="162" t="n">
        <v>19.69</v>
      </c>
      <c r="K39" s="169" t="n">
        <v>2838</v>
      </c>
      <c r="L39" s="91" t="n"/>
      <c r="M39" s="92" t="n"/>
      <c r="N39" s="78" t="n"/>
      <c r="O39" s="100" t="n"/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13</v>
      </c>
      <c r="M40" s="164" t="n"/>
      <c r="N40" s="165" t="n">
        <v>1.32</v>
      </c>
      <c r="O40" s="166" t="n">
        <v>143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240</v>
      </c>
      <c r="G41" s="161" t="n"/>
      <c r="H41" s="161" t="n">
        <v>24</v>
      </c>
      <c r="I41" s="161" t="n"/>
      <c r="J41" s="162" t="n">
        <v>30.36</v>
      </c>
      <c r="K41" s="169" t="n">
        <v>4608</v>
      </c>
      <c r="L41" s="91" t="n"/>
      <c r="M41" s="92" t="n"/>
      <c r="N41" s="78" t="n"/>
      <c r="O41" s="100" t="n"/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n"/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36</v>
      </c>
      <c r="M42" s="164" t="n"/>
      <c r="N42" s="165" t="n">
        <v>3.56</v>
      </c>
      <c r="O42" s="166" t="n">
        <v>411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n"/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274</v>
      </c>
      <c r="G43" s="161" t="n"/>
      <c r="H43" s="161" t="n">
        <v>28</v>
      </c>
      <c r="I43" s="161" t="n"/>
      <c r="J43" s="162" t="n">
        <v>31.19</v>
      </c>
      <c r="K43" s="169" t="n">
        <v>4709</v>
      </c>
      <c r="L43" s="91" t="n"/>
      <c r="M43" s="92" t="n"/>
      <c r="N43" s="78" t="n"/>
      <c r="O43" s="100" t="n"/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31</v>
      </c>
      <c r="M44" s="164" t="n"/>
      <c r="N44" s="165" t="n">
        <v>2.96</v>
      </c>
      <c r="O44" s="166" t="n">
        <v>326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139.3</v>
      </c>
      <c r="G45" s="178" t="n"/>
      <c r="H45" s="178" t="n">
        <v>25.9</v>
      </c>
      <c r="I45" s="178" t="n"/>
      <c r="J45" s="168" t="n">
        <v>24.68</v>
      </c>
      <c r="K45" s="166" t="n">
        <v>3810</v>
      </c>
      <c r="L45" s="91" t="n"/>
      <c r="M45" s="92" t="n"/>
      <c r="N45" s="78" t="n"/>
      <c r="O45" s="100" t="n"/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n"/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48</v>
      </c>
      <c r="M46" s="164" t="n"/>
      <c r="N46" s="168" t="n">
        <v>4.72</v>
      </c>
      <c r="O46" s="166" t="n">
        <v>520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n"/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/>
      <c r="G47" s="126" t="n"/>
      <c r="H47" s="126" t="n"/>
      <c r="I47" s="126" t="n"/>
      <c r="J47" s="127">
        <f>IF($AB$47 &gt;0,+J45,0)</f>
        <v/>
      </c>
      <c r="K47" s="127">
        <f>IF($AB$47 &gt;0,+K45,0)</f>
        <v/>
      </c>
      <c r="L47" s="125" t="n"/>
      <c r="M47" s="128" t="n"/>
      <c r="N47" s="129" t="n"/>
      <c r="O47" s="130" t="n"/>
      <c r="P47" s="125" t="n"/>
      <c r="Q47" s="128" t="n"/>
      <c r="R47" s="129" t="n"/>
      <c r="S47" s="130" t="n"/>
      <c r="T47" s="131" t="n"/>
      <c r="U47" s="132" t="n"/>
      <c r="V47" s="40" t="n"/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59.7</v>
      </c>
      <c r="G48" s="171" t="n"/>
      <c r="H48" s="171" t="n">
        <v>11.1</v>
      </c>
      <c r="I48" s="171" t="n"/>
      <c r="J48" s="162" t="n"/>
      <c r="K48" s="162" t="n"/>
      <c r="L48" s="172" t="n"/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n"/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225</v>
      </c>
      <c r="G49" s="178" t="n"/>
      <c r="H49" s="178" t="n">
        <v>61</v>
      </c>
      <c r="I49" s="178" t="n"/>
      <c r="J49" s="168" t="n">
        <v>28.99</v>
      </c>
      <c r="K49" s="166" t="n">
        <v>4297</v>
      </c>
      <c r="L49" s="91" t="n"/>
      <c r="M49" s="92" t="n"/>
      <c r="N49" s="78" t="n"/>
      <c r="O49" s="100" t="n"/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n"/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77</v>
      </c>
      <c r="M50" s="164" t="n"/>
      <c r="N50" s="168" t="n">
        <v>7.61</v>
      </c>
      <c r="O50" s="166" t="n">
        <v>841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n"/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/>
      <c r="G51" s="126" t="n"/>
      <c r="H51" s="126" t="n"/>
      <c r="I51" s="126" t="n"/>
      <c r="J51" s="127">
        <f>IF($AB$51 &gt;0,+J49,0)</f>
        <v/>
      </c>
      <c r="K51" s="127">
        <f>IF($AB$47 &gt;0,+K49,0)</f>
        <v/>
      </c>
      <c r="L51" s="125" t="n"/>
      <c r="M51" s="128" t="n"/>
      <c r="N51" s="129" t="n"/>
      <c r="O51" s="130" t="n"/>
      <c r="P51" s="125" t="n"/>
      <c r="Q51" s="128" t="n"/>
      <c r="R51" s="129" t="n"/>
      <c r="S51" s="130" t="n"/>
      <c r="T51" s="131" t="n"/>
      <c r="U51" s="132" t="n"/>
      <c r="V51" s="40" t="n"/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239</v>
      </c>
      <c r="G52" s="178" t="n"/>
      <c r="H52" s="178" t="n">
        <v>13</v>
      </c>
      <c r="I52" s="178" t="n"/>
      <c r="J52" s="168" t="n">
        <v>26.83</v>
      </c>
      <c r="K52" s="166" t="n">
        <v>3956</v>
      </c>
      <c r="L52" s="91" t="n"/>
      <c r="M52" s="92" t="n"/>
      <c r="N52" s="78" t="n"/>
      <c r="O52" s="100" t="n"/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20</v>
      </c>
      <c r="M53" s="164" t="n"/>
      <c r="N53" s="168" t="n">
        <v>2.1</v>
      </c>
      <c r="O53" s="166" t="n">
        <v>223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298</v>
      </c>
      <c r="G54" s="178" t="n"/>
      <c r="H54" s="178" t="n">
        <v>36</v>
      </c>
      <c r="I54" s="178" t="n"/>
      <c r="J54" s="168" t="n">
        <v>33.45</v>
      </c>
      <c r="K54" s="166" t="n">
        <v>5253</v>
      </c>
      <c r="L54" s="91" t="n"/>
      <c r="M54" s="92" t="n"/>
      <c r="N54" s="78" t="n"/>
      <c r="O54" s="100" t="n"/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n"/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41</v>
      </c>
      <c r="M55" s="164" t="n"/>
      <c r="N55" s="168" t="n">
        <v>3.97</v>
      </c>
      <c r="O55" s="166" t="n">
        <v>452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n"/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/>
      <c r="G56" s="126" t="n"/>
      <c r="H56" s="126" t="n"/>
      <c r="I56" s="126" t="n"/>
      <c r="J56" s="127">
        <f>+IF($AB$56&gt;0,J54,0)</f>
        <v/>
      </c>
      <c r="K56" s="127">
        <f>+IF($AB$56&gt;0,K54,0)</f>
        <v/>
      </c>
      <c r="L56" s="125" t="n"/>
      <c r="M56" s="128" t="n"/>
      <c r="N56" s="129" t="n"/>
      <c r="O56" s="130" t="n"/>
      <c r="P56" s="125" t="n"/>
      <c r="Q56" s="128" t="n"/>
      <c r="R56" s="129" t="n"/>
      <c r="S56" s="130" t="n"/>
      <c r="T56" s="131" t="n"/>
      <c r="U56" s="132" t="n"/>
      <c r="V56" s="40" t="n"/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379</v>
      </c>
      <c r="G57" s="178" t="n"/>
      <c r="H57" s="178" t="n">
        <v>24</v>
      </c>
      <c r="I57" s="178" t="n"/>
      <c r="J57" s="168" t="n">
        <v>45.92</v>
      </c>
      <c r="K57" s="166" t="n">
        <v>6884</v>
      </c>
      <c r="L57" s="91" t="n"/>
      <c r="M57" s="92" t="n"/>
      <c r="N57" s="78" t="n"/>
      <c r="O57" s="100" t="n"/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48</v>
      </c>
      <c r="M58" s="164" t="n"/>
      <c r="N58" s="168" t="n">
        <v>4.59</v>
      </c>
      <c r="O58" s="166" t="n">
        <v>490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256.2</v>
      </c>
      <c r="G59" s="178" t="n"/>
      <c r="H59" s="178" t="n">
        <v>11.2</v>
      </c>
      <c r="I59" s="178" t="n"/>
      <c r="J59" s="168" t="n">
        <v>43.35</v>
      </c>
      <c r="K59" s="166" t="n">
        <v>6282</v>
      </c>
      <c r="L59" s="91" t="n"/>
      <c r="M59" s="92" t="n"/>
      <c r="N59" s="78" t="n"/>
      <c r="O59" s="100" t="n"/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40</v>
      </c>
      <c r="M60" s="164" t="n"/>
      <c r="N60" s="168" t="n">
        <v>3.85</v>
      </c>
      <c r="O60" s="166" t="n">
        <v>427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109.8</v>
      </c>
      <c r="G61" s="178" t="n"/>
      <c r="H61" s="178" t="n">
        <v>4.8</v>
      </c>
      <c r="I61" s="178" t="n"/>
      <c r="J61" s="162" t="n"/>
      <c r="K61" s="162" t="n"/>
      <c r="L61" s="179" t="n"/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140</v>
      </c>
      <c r="G62" s="121" t="n"/>
      <c r="H62" s="178" t="n"/>
      <c r="I62" s="178" t="n"/>
      <c r="J62" s="168" t="n">
        <v>12.51</v>
      </c>
      <c r="K62" s="166" t="n">
        <v>1284</v>
      </c>
      <c r="L62" s="167" t="n"/>
      <c r="M62" s="164" t="n"/>
      <c r="N62" s="168" t="n"/>
      <c r="O62" s="166" t="n"/>
      <c r="P62" s="167" t="n">
        <v>11</v>
      </c>
      <c r="Q62" s="164" t="n"/>
      <c r="R62" s="168" t="n">
        <v>1.06</v>
      </c>
      <c r="S62" s="166" t="n">
        <v>40</v>
      </c>
      <c r="T62" s="53">
        <f>+J62+N62+R62</f>
        <v/>
      </c>
      <c r="U62" s="182">
        <f>+K62+O62+S62</f>
        <v/>
      </c>
      <c r="V62" s="40" t="n"/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91</v>
      </c>
      <c r="G63" s="121" t="n"/>
      <c r="H63" s="178" t="n"/>
      <c r="I63" s="178" t="n"/>
      <c r="J63" s="168" t="n">
        <v>7.84</v>
      </c>
      <c r="K63" s="166" t="n">
        <v>848</v>
      </c>
      <c r="L63" s="167" t="n"/>
      <c r="M63" s="164" t="n"/>
      <c r="N63" s="168" t="n"/>
      <c r="O63" s="166" t="n"/>
      <c r="P63" s="167" t="n">
        <v>14</v>
      </c>
      <c r="Q63" s="164" t="n"/>
      <c r="R63" s="168" t="n">
        <v>1.34</v>
      </c>
      <c r="S63" s="166" t="n">
        <v>54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186</v>
      </c>
      <c r="G64" s="121" t="n"/>
      <c r="H64" s="178" t="n">
        <v>6</v>
      </c>
      <c r="I64" s="178" t="n"/>
      <c r="J64" s="168" t="n">
        <v>16.79</v>
      </c>
      <c r="K64" s="166" t="n">
        <v>1808</v>
      </c>
      <c r="L64" s="167" t="n"/>
      <c r="M64" s="164" t="n"/>
      <c r="N64" s="168" t="n"/>
      <c r="O64" s="166" t="n"/>
      <c r="P64" s="167" t="n">
        <v>17</v>
      </c>
      <c r="Q64" s="164" t="n"/>
      <c r="R64" s="168" t="n">
        <v>1.63</v>
      </c>
      <c r="S64" s="166" t="n">
        <v>80</v>
      </c>
      <c r="T64" s="53">
        <f>+J64+N64+R64</f>
        <v/>
      </c>
      <c r="U64" s="182">
        <f>+K64+O64+S64</f>
        <v/>
      </c>
      <c r="V64" s="40" t="n"/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n"/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n"/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137</v>
      </c>
      <c r="G67" s="139" t="n"/>
      <c r="H67" s="139" t="n"/>
      <c r="I67" s="139" t="n"/>
      <c r="J67" s="140" t="n">
        <v>14.37</v>
      </c>
      <c r="K67" s="141" t="n">
        <v>2523</v>
      </c>
      <c r="L67" s="138" t="n">
        <v>11</v>
      </c>
      <c r="M67" s="164" t="n"/>
      <c r="N67" s="140" t="n">
        <v>1.19</v>
      </c>
      <c r="O67" s="141" t="n">
        <v>135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1456</v>
      </c>
      <c r="G68" s="139" t="n"/>
      <c r="H68" s="139" t="n">
        <v>34</v>
      </c>
      <c r="I68" s="139" t="n"/>
      <c r="J68" s="140" t="n">
        <v>169.45</v>
      </c>
      <c r="K68" s="141" t="n">
        <v>25443</v>
      </c>
      <c r="L68" s="142" t="n"/>
      <c r="M68" s="143" t="n"/>
      <c r="N68" s="144" t="n"/>
      <c r="O68" s="145" t="n"/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162</v>
      </c>
      <c r="M69" s="164" t="n"/>
      <c r="N69" s="140" t="n">
        <v>16.1</v>
      </c>
      <c r="O69" s="141" t="n">
        <v>1754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54</v>
      </c>
      <c r="G70" s="139" t="n"/>
      <c r="H70" s="139" t="n"/>
      <c r="I70" s="139" t="n"/>
      <c r="J70" s="140" t="n">
        <v>4.95</v>
      </c>
      <c r="K70" s="141" t="n">
        <v>735</v>
      </c>
      <c r="L70" s="138" t="n">
        <v>5</v>
      </c>
      <c r="M70" s="164" t="n"/>
      <c r="N70" s="140" t="n">
        <v>0.54</v>
      </c>
      <c r="O70" s="141" t="n">
        <v>64</v>
      </c>
      <c r="P70" s="138" t="n">
        <v>1</v>
      </c>
      <c r="Q70" s="164" t="n"/>
      <c r="R70" s="140" t="n">
        <v>0.11</v>
      </c>
      <c r="S70" s="141" t="n">
        <v>8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101</v>
      </c>
      <c r="G71" s="139" t="n"/>
      <c r="H71" s="139" t="n"/>
      <c r="I71" s="139" t="n"/>
      <c r="J71" s="140" t="n">
        <v>8.949999999999999</v>
      </c>
      <c r="K71" s="141" t="n">
        <v>1505</v>
      </c>
      <c r="L71" s="138" t="n">
        <v>4</v>
      </c>
      <c r="M71" s="164" t="n"/>
      <c r="N71" s="140" t="n">
        <v>0.38</v>
      </c>
      <c r="O71" s="141" t="n">
        <v>40</v>
      </c>
      <c r="P71" s="138" t="n">
        <v>2</v>
      </c>
      <c r="Q71" s="164" t="n"/>
      <c r="R71" s="140" t="n">
        <v>0.18</v>
      </c>
      <c r="S71" s="141" t="n">
        <v>12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73</v>
      </c>
      <c r="G72" s="139" t="n"/>
      <c r="H72" s="139" t="n"/>
      <c r="I72" s="139" t="n"/>
      <c r="J72" s="140" t="n">
        <v>7.87</v>
      </c>
      <c r="K72" s="141" t="n">
        <v>1421</v>
      </c>
      <c r="L72" s="138" t="n">
        <v>4</v>
      </c>
      <c r="M72" s="164" t="n"/>
      <c r="N72" s="140" t="n">
        <v>0.35</v>
      </c>
      <c r="O72" s="141" t="n">
        <v>40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55</v>
      </c>
      <c r="G73" s="147" t="n"/>
      <c r="H73" s="147" t="n">
        <v>3</v>
      </c>
      <c r="I73" s="147" t="n"/>
      <c r="J73" s="148" t="n">
        <v>8.18</v>
      </c>
      <c r="K73" s="149" t="n">
        <v>771</v>
      </c>
      <c r="L73" s="146" t="n">
        <v>17</v>
      </c>
      <c r="M73" s="124" t="n"/>
      <c r="N73" s="148" t="n">
        <v>1.73</v>
      </c>
      <c r="O73" s="149" t="n">
        <v>158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2026-10-22T14:04:43Z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