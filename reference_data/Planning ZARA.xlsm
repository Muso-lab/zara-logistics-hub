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\\10.0.0.3\dati\scambio\ZARA - NON TOCCARE\Analisi_ZARA\"/>
    </mc:Choice>
  </mc:AlternateContent>
  <xr:revisionPtr revIDLastSave="0" documentId="13_ncr:1_{3ADC0A89-7ADD-4D94-9119-BBB6F43C50E2}" xr6:coauthVersionLast="47" xr6:coauthVersionMax="47" xr10:uidLastSave="{00000000-0000-0000-0000-000000000000}"/>
  <bookViews>
    <workbookView xWindow="-120" yWindow="-120" windowWidth="29040" windowHeight="15720" tabRatio="811" activeTab="4" xr2:uid="{00000000-000D-0000-FFFF-FFFF00000000}"/>
  </bookViews>
  <sheets>
    <sheet name="PROCEDURE" sheetId="20" r:id="rId1"/>
    <sheet name="Planning Roma" sheetId="26" r:id="rId2"/>
    <sheet name="Foglio5" sheetId="25" state="hidden" r:id="rId3"/>
    <sheet name="SPUNTA PER GIRO" sheetId="29" r:id="rId4"/>
    <sheet name="SPUNTA ARRIVI " sheetId="7" r:id="rId5"/>
    <sheet name="ANALISI" sheetId="4" r:id="rId6"/>
    <sheet name="TOTALI" sheetId="19" r:id="rId7"/>
    <sheet name="TEXILE" sheetId="14" r:id="rId8"/>
    <sheet name="SHOES" sheetId="15" r:id="rId9"/>
    <sheet name="OTHER" sheetId="18" r:id="rId10"/>
    <sheet name="ECOM" sheetId="16" r:id="rId11"/>
    <sheet name="TEXILE1" sheetId="8" r:id="rId12"/>
    <sheet name="SHOES1" sheetId="9" r:id="rId13"/>
    <sheet name="ECOM1" sheetId="10" r:id="rId14"/>
    <sheet name="OTHER1" sheetId="11" r:id="rId15"/>
    <sheet name="GESTIONE RES" sheetId="13" state="hidden" r:id="rId16"/>
    <sheet name="sga" sheetId="22" r:id="rId17"/>
    <sheet name="SGA_FINALE_0" sheetId="30" r:id="rId18"/>
    <sheet name="SGA_DEF_0" sheetId="33" r:id="rId19"/>
    <sheet name="sga9" sheetId="31" r:id="rId20"/>
    <sheet name="SGA_FINALE_9" sheetId="32" r:id="rId21"/>
    <sheet name="SGA_DEF_9" sheetId="34" r:id="rId22"/>
  </sheets>
  <externalReferences>
    <externalReference r:id="rId23"/>
  </externalReferences>
  <definedNames>
    <definedName name="_xlnm._FilterDatabase" localSheetId="5" hidden="1">ANALISI!$A$2:$O$51</definedName>
    <definedName name="_xlnm._FilterDatabase" localSheetId="1" hidden="1">'Planning Roma'!$A$6:$AF$72</definedName>
    <definedName name="_xlnm._FilterDatabase" localSheetId="16" hidden="1">sga!$A$1:$Q$55</definedName>
    <definedName name="_xlnm._FilterDatabase" localSheetId="18" hidden="1">SGA_DEF_0!$A$1:$J$101</definedName>
    <definedName name="_xlnm._FilterDatabase" localSheetId="17" hidden="1">SGA_FINALE_0!$A$1:$J$49</definedName>
    <definedName name="_xlnm._FilterDatabase" localSheetId="19" hidden="1">'sga9'!$A$1:$Q$1</definedName>
    <definedName name="_xlnm._FilterDatabase" localSheetId="4" hidden="1">'SPUNTA ARRIVI '!$A$1:$BV$113</definedName>
    <definedName name="_xlnm._FilterDatabase" localSheetId="3" hidden="1">'SPUNTA PER GIRO'!$H$1:$N$1</definedName>
    <definedName name="_xlnm.Print_Area" localSheetId="15">'GESTIONE RES'!$A$1:$G$92</definedName>
    <definedName name="_xlnm.Print_Area" localSheetId="16">sga!$A$1:$I$47</definedName>
    <definedName name="_xlnm.Print_Area" localSheetId="19">'sga9'!$A$1:$I$47</definedName>
    <definedName name="_xlnm.Print_Area" localSheetId="4">'SPUNTA ARRIVI '!$A$1:$N$113</definedName>
    <definedName name="_xlnm.Print_Area" localSheetId="3">'SPUNTA PER GIRO'!$A$1:$P$83</definedName>
  </definedNames>
  <calcPr calcId="191029"/>
  <pivotCaches>
    <pivotCache cacheId="0" r:id="rId24"/>
    <pivotCache cacheId="1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81" i="7" l="1"/>
  <c r="BQ95" i="7"/>
  <c r="B11" i="32" l="1"/>
  <c r="C11" i="32" s="1"/>
  <c r="E11" i="32"/>
  <c r="I11" i="32"/>
  <c r="P10" i="31"/>
  <c r="P11" i="31"/>
  <c r="J51" i="22"/>
  <c r="I51" i="30"/>
  <c r="B3" i="30"/>
  <c r="C3" i="30" s="1"/>
  <c r="B4" i="30"/>
  <c r="C4" i="30" s="1"/>
  <c r="B5" i="30"/>
  <c r="C5" i="30" s="1"/>
  <c r="B6" i="30"/>
  <c r="C6" i="30" s="1"/>
  <c r="B7" i="30"/>
  <c r="C7" i="30" s="1"/>
  <c r="B8" i="30"/>
  <c r="C8" i="30" s="1"/>
  <c r="B9" i="30"/>
  <c r="C9" i="30" s="1"/>
  <c r="B10" i="30"/>
  <c r="C10" i="30" s="1"/>
  <c r="B11" i="30"/>
  <c r="C11" i="30" s="1"/>
  <c r="B12" i="30"/>
  <c r="C12" i="30" s="1"/>
  <c r="B13" i="30"/>
  <c r="C13" i="30" s="1"/>
  <c r="B14" i="30"/>
  <c r="C14" i="30" s="1"/>
  <c r="B15" i="30"/>
  <c r="C15" i="30" s="1"/>
  <c r="B16" i="30"/>
  <c r="C16" i="30" s="1"/>
  <c r="B17" i="30"/>
  <c r="C17" i="30" s="1"/>
  <c r="B18" i="30"/>
  <c r="C18" i="30" s="1"/>
  <c r="B19" i="30"/>
  <c r="C19" i="30" s="1"/>
  <c r="B20" i="30"/>
  <c r="C20" i="30" s="1"/>
  <c r="B21" i="30"/>
  <c r="C21" i="30" s="1"/>
  <c r="B22" i="30"/>
  <c r="C22" i="30" s="1"/>
  <c r="B23" i="30"/>
  <c r="C23" i="30" s="1"/>
  <c r="B24" i="30"/>
  <c r="C24" i="30" s="1"/>
  <c r="B25" i="30"/>
  <c r="C25" i="30" s="1"/>
  <c r="B26" i="30"/>
  <c r="C26" i="30" s="1"/>
  <c r="B27" i="30"/>
  <c r="C27" i="30" s="1"/>
  <c r="B28" i="30"/>
  <c r="C28" i="30" s="1"/>
  <c r="B29" i="30"/>
  <c r="C29" i="30" s="1"/>
  <c r="B30" i="30"/>
  <c r="C30" i="30" s="1"/>
  <c r="B31" i="30"/>
  <c r="C31" i="30" s="1"/>
  <c r="B32" i="30"/>
  <c r="C32" i="30" s="1"/>
  <c r="B33" i="30"/>
  <c r="C33" i="30" s="1"/>
  <c r="B34" i="30"/>
  <c r="C34" i="30" s="1"/>
  <c r="B35" i="30"/>
  <c r="C35" i="30" s="1"/>
  <c r="B36" i="30"/>
  <c r="C36" i="30" s="1"/>
  <c r="B37" i="30"/>
  <c r="C37" i="30" s="1"/>
  <c r="B38" i="30"/>
  <c r="C38" i="30" s="1"/>
  <c r="B39" i="30"/>
  <c r="C39" i="30" s="1"/>
  <c r="B40" i="30"/>
  <c r="C40" i="30" s="1"/>
  <c r="B41" i="30"/>
  <c r="C41" i="30" s="1"/>
  <c r="B42" i="30"/>
  <c r="C42" i="30" s="1"/>
  <c r="B43" i="30"/>
  <c r="C43" i="30" s="1"/>
  <c r="B44" i="30"/>
  <c r="C44" i="30" s="1"/>
  <c r="B45" i="30"/>
  <c r="C45" i="30" s="1"/>
  <c r="B46" i="30"/>
  <c r="C46" i="30" s="1"/>
  <c r="B47" i="30"/>
  <c r="C47" i="30" s="1"/>
  <c r="B48" i="30"/>
  <c r="C48" i="30" s="1"/>
  <c r="B49" i="30"/>
  <c r="C49" i="30" s="1"/>
  <c r="B50" i="30"/>
  <c r="C50" i="30" s="1"/>
  <c r="B51" i="30"/>
  <c r="C51" i="30" s="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9" i="22"/>
  <c r="J30" i="22"/>
  <c r="J31" i="22"/>
  <c r="J32" i="22"/>
  <c r="J33" i="22"/>
  <c r="J34" i="22"/>
  <c r="J35" i="22"/>
  <c r="J36" i="22"/>
  <c r="J37" i="22"/>
  <c r="J38" i="22"/>
  <c r="J40" i="22"/>
  <c r="J41" i="22"/>
  <c r="J42" i="22"/>
  <c r="J43" i="22"/>
  <c r="J44" i="22"/>
  <c r="J45" i="22"/>
  <c r="J46" i="22"/>
  <c r="J47" i="22"/>
  <c r="J48" i="22"/>
  <c r="J49" i="22"/>
  <c r="J50" i="22"/>
  <c r="B51" i="22"/>
  <c r="M3" i="22"/>
  <c r="O3" i="22" s="1"/>
  <c r="M4" i="22"/>
  <c r="Q4" i="22" s="1"/>
  <c r="M5" i="22"/>
  <c r="P5" i="22" s="1"/>
  <c r="M6" i="22"/>
  <c r="P6" i="22" s="1"/>
  <c r="M7" i="22"/>
  <c r="P7" i="22" s="1"/>
  <c r="M8" i="22"/>
  <c r="O8" i="22" s="1"/>
  <c r="M9" i="22"/>
  <c r="O9" i="22" s="1"/>
  <c r="M10" i="22"/>
  <c r="P10" i="22" s="1"/>
  <c r="M11" i="22"/>
  <c r="P11" i="22" s="1"/>
  <c r="M12" i="22"/>
  <c r="Q12" i="22" s="1"/>
  <c r="M13" i="22"/>
  <c r="Q13" i="22" s="1"/>
  <c r="M14" i="22"/>
  <c r="A14" i="30" s="1"/>
  <c r="M15" i="22"/>
  <c r="Q15" i="22" s="1"/>
  <c r="M16" i="22"/>
  <c r="O16" i="22" s="1"/>
  <c r="M17" i="22"/>
  <c r="O17" i="22" s="1"/>
  <c r="M18" i="22"/>
  <c r="A18" i="30" s="1"/>
  <c r="M19" i="22"/>
  <c r="P19" i="22" s="1"/>
  <c r="M20" i="22"/>
  <c r="Q20" i="22" s="1"/>
  <c r="M21" i="22"/>
  <c r="Q21" i="22" s="1"/>
  <c r="M22" i="22"/>
  <c r="Q22" i="22" s="1"/>
  <c r="M23" i="22"/>
  <c r="A23" i="30" s="1"/>
  <c r="M24" i="22"/>
  <c r="O24" i="22" s="1"/>
  <c r="M25" i="22"/>
  <c r="O25" i="22" s="1"/>
  <c r="M26" i="22"/>
  <c r="P26" i="22" s="1"/>
  <c r="M27" i="22"/>
  <c r="A27" i="30" s="1"/>
  <c r="M28" i="22"/>
  <c r="Q28" i="22" s="1"/>
  <c r="M29" i="22"/>
  <c r="A29" i="30" s="1"/>
  <c r="M30" i="22"/>
  <c r="Q30" i="22" s="1"/>
  <c r="M31" i="22"/>
  <c r="A31" i="30" s="1"/>
  <c r="M32" i="22"/>
  <c r="A32" i="30" s="1"/>
  <c r="M33" i="22"/>
  <c r="A33" i="30" s="1"/>
  <c r="M34" i="22"/>
  <c r="P34" i="22" s="1"/>
  <c r="M35" i="22"/>
  <c r="P35" i="22" s="1"/>
  <c r="M36" i="22"/>
  <c r="Q36" i="22" s="1"/>
  <c r="M37" i="22"/>
  <c r="Q37" i="22" s="1"/>
  <c r="M38" i="22"/>
  <c r="Q38" i="22" s="1"/>
  <c r="M39" i="22"/>
  <c r="Q39" i="22" s="1"/>
  <c r="M40" i="22"/>
  <c r="A40" i="30" s="1"/>
  <c r="M41" i="22"/>
  <c r="Q41" i="22" s="1"/>
  <c r="M42" i="22"/>
  <c r="P42" i="22" s="1"/>
  <c r="M43" i="22"/>
  <c r="P43" i="22" s="1"/>
  <c r="M44" i="22"/>
  <c r="Q44" i="22" s="1"/>
  <c r="M45" i="22"/>
  <c r="Q45" i="22" s="1"/>
  <c r="M46" i="22"/>
  <c r="A46" i="30" s="1"/>
  <c r="M47" i="22"/>
  <c r="Q47" i="22" s="1"/>
  <c r="M48" i="22"/>
  <c r="A48" i="30" s="1"/>
  <c r="M49" i="22"/>
  <c r="A49" i="30" s="1"/>
  <c r="M50" i="22"/>
  <c r="A50" i="30" s="1"/>
  <c r="M51" i="22"/>
  <c r="P51" i="22" s="1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I10" i="32"/>
  <c r="E3" i="32"/>
  <c r="E4" i="32"/>
  <c r="E5" i="32"/>
  <c r="E6" i="32"/>
  <c r="E7" i="32"/>
  <c r="E8" i="32"/>
  <c r="E9" i="32"/>
  <c r="E10" i="32"/>
  <c r="E2" i="32"/>
  <c r="B10" i="32"/>
  <c r="C10" i="32" s="1"/>
  <c r="S61" i="26"/>
  <c r="R61" i="26"/>
  <c r="P61" i="26"/>
  <c r="S48" i="26"/>
  <c r="R48" i="26"/>
  <c r="P48" i="26"/>
  <c r="O61" i="26"/>
  <c r="N61" i="26"/>
  <c r="L61" i="26"/>
  <c r="O48" i="26"/>
  <c r="N48" i="26"/>
  <c r="L48" i="26"/>
  <c r="K61" i="26"/>
  <c r="J61" i="26"/>
  <c r="H61" i="26"/>
  <c r="F61" i="26"/>
  <c r="K48" i="26"/>
  <c r="J48" i="26"/>
  <c r="H48" i="26"/>
  <c r="F48" i="26"/>
  <c r="S29" i="26"/>
  <c r="R29" i="26"/>
  <c r="P29" i="26"/>
  <c r="O29" i="26"/>
  <c r="N29" i="26"/>
  <c r="L29" i="26"/>
  <c r="K29" i="26"/>
  <c r="J29" i="26"/>
  <c r="H29" i="26"/>
  <c r="F29" i="26"/>
  <c r="S27" i="26"/>
  <c r="R27" i="26"/>
  <c r="P27" i="26"/>
  <c r="O27" i="26"/>
  <c r="N27" i="26"/>
  <c r="L27" i="26"/>
  <c r="K27" i="26"/>
  <c r="J27" i="26"/>
  <c r="H27" i="26"/>
  <c r="F27" i="26"/>
  <c r="K66" i="26"/>
  <c r="J66" i="26"/>
  <c r="K65" i="26"/>
  <c r="J65" i="26"/>
  <c r="K56" i="26"/>
  <c r="J56" i="26"/>
  <c r="K51" i="26"/>
  <c r="J51" i="26"/>
  <c r="K47" i="26"/>
  <c r="J47" i="26"/>
  <c r="A44" i="30" l="1"/>
  <c r="A36" i="30"/>
  <c r="I36" i="30" s="1"/>
  <c r="A28" i="30"/>
  <c r="G28" i="30" s="1"/>
  <c r="A20" i="30"/>
  <c r="A12" i="30"/>
  <c r="A4" i="30"/>
  <c r="I18" i="30"/>
  <c r="I49" i="30"/>
  <c r="I33" i="30"/>
  <c r="I50" i="30"/>
  <c r="I48" i="30"/>
  <c r="I40" i="30"/>
  <c r="I32" i="30"/>
  <c r="I31" i="30"/>
  <c r="I23" i="30"/>
  <c r="I46" i="30"/>
  <c r="I29" i="30"/>
  <c r="I27" i="30"/>
  <c r="I14" i="30"/>
  <c r="A38" i="30"/>
  <c r="A30" i="30"/>
  <c r="A22" i="30"/>
  <c r="A6" i="30"/>
  <c r="A41" i="30"/>
  <c r="A25" i="30"/>
  <c r="A17" i="30"/>
  <c r="A9" i="30"/>
  <c r="A47" i="30"/>
  <c r="A39" i="30"/>
  <c r="A15" i="30"/>
  <c r="A7" i="30"/>
  <c r="A42" i="30"/>
  <c r="A34" i="30"/>
  <c r="A26" i="30"/>
  <c r="A10" i="30"/>
  <c r="A45" i="30"/>
  <c r="A37" i="30"/>
  <c r="A21" i="30"/>
  <c r="A13" i="30"/>
  <c r="A5" i="30"/>
  <c r="I44" i="30"/>
  <c r="I28" i="30"/>
  <c r="A24" i="30"/>
  <c r="I20" i="30"/>
  <c r="A16" i="30"/>
  <c r="A8" i="30"/>
  <c r="A51" i="30"/>
  <c r="A43" i="30"/>
  <c r="A35" i="30"/>
  <c r="H28" i="30"/>
  <c r="F28" i="30" s="1"/>
  <c r="A19" i="30"/>
  <c r="A11" i="30"/>
  <c r="A3" i="30"/>
  <c r="O12" i="22"/>
  <c r="O4" i="22"/>
  <c r="O33" i="22"/>
  <c r="O30" i="22"/>
  <c r="P38" i="22"/>
  <c r="P25" i="22"/>
  <c r="O15" i="22"/>
  <c r="P22" i="22"/>
  <c r="Q35" i="22"/>
  <c r="Q3" i="22"/>
  <c r="O46" i="22"/>
  <c r="Q32" i="22"/>
  <c r="O7" i="22"/>
  <c r="P49" i="22"/>
  <c r="P17" i="22"/>
  <c r="Q27" i="22"/>
  <c r="P46" i="22"/>
  <c r="P14" i="22"/>
  <c r="Q24" i="22"/>
  <c r="O49" i="22"/>
  <c r="P41" i="22"/>
  <c r="Q51" i="22"/>
  <c r="Q19" i="22"/>
  <c r="Q48" i="22"/>
  <c r="Q16" i="22"/>
  <c r="O23" i="22"/>
  <c r="O41" i="22"/>
  <c r="P33" i="22"/>
  <c r="Q43" i="22"/>
  <c r="Q11" i="22"/>
  <c r="O20" i="22"/>
  <c r="O38" i="22"/>
  <c r="P30" i="22"/>
  <c r="Q40" i="22"/>
  <c r="Q8" i="22"/>
  <c r="P4" i="22"/>
  <c r="O22" i="22"/>
  <c r="O14" i="22"/>
  <c r="O6" i="22"/>
  <c r="O48" i="22"/>
  <c r="O40" i="22"/>
  <c r="O32" i="22"/>
  <c r="P48" i="22"/>
  <c r="P40" i="22"/>
  <c r="P32" i="22"/>
  <c r="P24" i="22"/>
  <c r="P16" i="22"/>
  <c r="Q50" i="22"/>
  <c r="Q42" i="22"/>
  <c r="Q34" i="22"/>
  <c r="Q26" i="22"/>
  <c r="Q18" i="22"/>
  <c r="Q10" i="22"/>
  <c r="P3" i="22"/>
  <c r="O21" i="22"/>
  <c r="O13" i="22"/>
  <c r="O5" i="22"/>
  <c r="O47" i="22"/>
  <c r="O39" i="22"/>
  <c r="O31" i="22"/>
  <c r="P47" i="22"/>
  <c r="P39" i="22"/>
  <c r="P31" i="22"/>
  <c r="P23" i="22"/>
  <c r="P15" i="22"/>
  <c r="Q49" i="22"/>
  <c r="Q33" i="22"/>
  <c r="Q25" i="22"/>
  <c r="Q17" i="22"/>
  <c r="Q9" i="22"/>
  <c r="P9" i="22"/>
  <c r="O27" i="22"/>
  <c r="O19" i="22"/>
  <c r="O11" i="22"/>
  <c r="O45" i="22"/>
  <c r="O37" i="22"/>
  <c r="O29" i="22"/>
  <c r="P45" i="22"/>
  <c r="P37" i="22"/>
  <c r="P29" i="22"/>
  <c r="P21" i="22"/>
  <c r="P13" i="22"/>
  <c r="Q31" i="22"/>
  <c r="Q23" i="22"/>
  <c r="Q7" i="22"/>
  <c r="P8" i="22"/>
  <c r="O26" i="22"/>
  <c r="O18" i="22"/>
  <c r="O10" i="22"/>
  <c r="O44" i="22"/>
  <c r="O36" i="22"/>
  <c r="O28" i="22"/>
  <c r="P44" i="22"/>
  <c r="P36" i="22"/>
  <c r="P28" i="22"/>
  <c r="P20" i="22"/>
  <c r="P12" i="22"/>
  <c r="Q46" i="22"/>
  <c r="Q14" i="22"/>
  <c r="Q6" i="22"/>
  <c r="O51" i="22"/>
  <c r="O43" i="22"/>
  <c r="O35" i="22"/>
  <c r="P27" i="22"/>
  <c r="Q29" i="22"/>
  <c r="Q5" i="22"/>
  <c r="O50" i="22"/>
  <c r="O42" i="22"/>
  <c r="O34" i="22"/>
  <c r="P50" i="22"/>
  <c r="P18" i="22"/>
  <c r="T29" i="26"/>
  <c r="U29" i="26"/>
  <c r="T27" i="26"/>
  <c r="U27" i="26"/>
  <c r="M52" i="4"/>
  <c r="S73" i="26" s="1"/>
  <c r="I52" i="4"/>
  <c r="N73" i="26" s="1"/>
  <c r="J52" i="4"/>
  <c r="O73" i="26" s="1"/>
  <c r="R52" i="4"/>
  <c r="P52" i="4"/>
  <c r="E52" i="4"/>
  <c r="F51" i="22" s="1"/>
  <c r="C100" i="7"/>
  <c r="I4" i="30" l="1"/>
  <c r="I12" i="30"/>
  <c r="I30" i="30"/>
  <c r="I8" i="30"/>
  <c r="I35" i="30"/>
  <c r="I13" i="30"/>
  <c r="I7" i="30"/>
  <c r="I41" i="30"/>
  <c r="I38" i="30"/>
  <c r="I3" i="30"/>
  <c r="I16" i="30"/>
  <c r="I21" i="30"/>
  <c r="I15" i="30"/>
  <c r="I43" i="30"/>
  <c r="I37" i="30"/>
  <c r="I39" i="30"/>
  <c r="G39" i="30"/>
  <c r="H39" i="30"/>
  <c r="F39" i="30" s="1"/>
  <c r="I17" i="30"/>
  <c r="I11" i="30"/>
  <c r="I24" i="30"/>
  <c r="I45" i="30"/>
  <c r="I47" i="30"/>
  <c r="I6" i="30"/>
  <c r="I34" i="30"/>
  <c r="I10" i="30"/>
  <c r="I5" i="30"/>
  <c r="I42" i="30"/>
  <c r="I25" i="30"/>
  <c r="I19" i="30"/>
  <c r="I26" i="30"/>
  <c r="I9" i="30"/>
  <c r="I22" i="30"/>
  <c r="G78" i="7"/>
  <c r="H73" i="26"/>
  <c r="D52" i="4"/>
  <c r="E51" i="22" s="1"/>
  <c r="K52" i="4"/>
  <c r="H51" i="22" s="1"/>
  <c r="L52" i="4"/>
  <c r="R73" i="26" s="1"/>
  <c r="H52" i="4"/>
  <c r="G51" i="22" s="1"/>
  <c r="F52" i="4"/>
  <c r="J73" i="26" s="1"/>
  <c r="G52" i="4"/>
  <c r="E33" i="4"/>
  <c r="F32" i="22" s="1"/>
  <c r="R33" i="4"/>
  <c r="K33" i="4"/>
  <c r="H32" i="22" s="1"/>
  <c r="H33" i="4"/>
  <c r="G32" i="22" s="1"/>
  <c r="B3" i="32"/>
  <c r="B4" i="32"/>
  <c r="B5" i="32"/>
  <c r="B6" i="32"/>
  <c r="B7" i="32"/>
  <c r="B8" i="32"/>
  <c r="B9" i="32"/>
  <c r="B2" i="32"/>
  <c r="B2" i="30"/>
  <c r="D100" i="7"/>
  <c r="B100" i="7" s="1"/>
  <c r="P33" i="4"/>
  <c r="P41" i="26" l="1"/>
  <c r="L42" i="26"/>
  <c r="C9" i="32"/>
  <c r="C3" i="32"/>
  <c r="C8" i="32"/>
  <c r="C4" i="32"/>
  <c r="C7" i="32"/>
  <c r="C6" i="32"/>
  <c r="C5" i="32"/>
  <c r="G37" i="7"/>
  <c r="H41" i="26"/>
  <c r="T73" i="26"/>
  <c r="K78" i="7"/>
  <c r="P73" i="26"/>
  <c r="I78" i="7"/>
  <c r="L73" i="26"/>
  <c r="O52" i="4"/>
  <c r="K73" i="26"/>
  <c r="U73" i="26" s="1"/>
  <c r="E78" i="7"/>
  <c r="F73" i="26"/>
  <c r="N52" i="4"/>
  <c r="D51" i="22" s="1"/>
  <c r="I51" i="22" s="1"/>
  <c r="J33" i="4"/>
  <c r="O42" i="26" s="1"/>
  <c r="U42" i="26" s="1"/>
  <c r="I33" i="4"/>
  <c r="N42" i="26" s="1"/>
  <c r="T42" i="26" s="1"/>
  <c r="D33" i="4"/>
  <c r="E32" i="22" s="1"/>
  <c r="M33" i="4"/>
  <c r="S41" i="26" s="1"/>
  <c r="L33" i="4"/>
  <c r="R41" i="26" s="1"/>
  <c r="G33" i="4"/>
  <c r="K41" i="26" s="1"/>
  <c r="F33" i="4"/>
  <c r="J41" i="26" s="1"/>
  <c r="L91" i="29"/>
  <c r="T92" i="29"/>
  <c r="F93" i="29"/>
  <c r="F94" i="29"/>
  <c r="F95" i="29"/>
  <c r="F96" i="29"/>
  <c r="F97" i="29"/>
  <c r="E98" i="29"/>
  <c r="F3" i="29"/>
  <c r="T4" i="29"/>
  <c r="H5" i="29"/>
  <c r="J6" i="29"/>
  <c r="J7" i="29"/>
  <c r="F8" i="29"/>
  <c r="H9" i="29"/>
  <c r="L10" i="29"/>
  <c r="F11" i="29"/>
  <c r="T12" i="29"/>
  <c r="H13" i="29"/>
  <c r="J14" i="29"/>
  <c r="J15" i="29"/>
  <c r="F16" i="29"/>
  <c r="H17" i="29"/>
  <c r="H18" i="29"/>
  <c r="H19" i="29"/>
  <c r="T20" i="29"/>
  <c r="H21" i="29"/>
  <c r="T22" i="29"/>
  <c r="H23" i="29"/>
  <c r="F24" i="29"/>
  <c r="H25" i="29"/>
  <c r="T27" i="29"/>
  <c r="T28" i="29"/>
  <c r="H29" i="29"/>
  <c r="T30" i="29"/>
  <c r="F31" i="29"/>
  <c r="F32" i="29"/>
  <c r="H33" i="29"/>
  <c r="L34" i="29"/>
  <c r="T35" i="29"/>
  <c r="T36" i="29"/>
  <c r="J37" i="29"/>
  <c r="T38" i="29"/>
  <c r="F39" i="29"/>
  <c r="H41" i="29"/>
  <c r="T42" i="29"/>
  <c r="T43" i="29"/>
  <c r="T44" i="29"/>
  <c r="H45" i="29"/>
  <c r="J46" i="29"/>
  <c r="J47" i="29"/>
  <c r="F48" i="29"/>
  <c r="H49" i="29"/>
  <c r="T50" i="29"/>
  <c r="T51" i="29"/>
  <c r="T52" i="29"/>
  <c r="H53" i="29"/>
  <c r="T54" i="29"/>
  <c r="F55" i="29"/>
  <c r="F56" i="29"/>
  <c r="H57" i="29"/>
  <c r="L58" i="29"/>
  <c r="F59" i="29"/>
  <c r="T60" i="29"/>
  <c r="H61" i="29"/>
  <c r="T62" i="29"/>
  <c r="H63" i="29"/>
  <c r="J64" i="29"/>
  <c r="J65" i="29"/>
  <c r="T67" i="29"/>
  <c r="T68" i="29"/>
  <c r="J69" i="29"/>
  <c r="T70" i="29"/>
  <c r="H71" i="29"/>
  <c r="F72" i="29"/>
  <c r="F73" i="29"/>
  <c r="T74" i="29"/>
  <c r="T75" i="29"/>
  <c r="T76" i="29"/>
  <c r="H77" i="29"/>
  <c r="T78" i="29"/>
  <c r="F79" i="29"/>
  <c r="F80" i="29"/>
  <c r="F81" i="29"/>
  <c r="T82" i="29"/>
  <c r="T83" i="29"/>
  <c r="T84" i="29"/>
  <c r="F85" i="29"/>
  <c r="F86" i="29"/>
  <c r="F87" i="29"/>
  <c r="F88" i="29"/>
  <c r="F89" i="29"/>
  <c r="E90" i="29"/>
  <c r="A2" i="29"/>
  <c r="H51" i="30" l="1"/>
  <c r="F51" i="30" s="1"/>
  <c r="F41" i="26"/>
  <c r="D78" i="7"/>
  <c r="G51" i="30" s="1"/>
  <c r="V73" i="26"/>
  <c r="V22" i="26"/>
  <c r="V66" i="26"/>
  <c r="V34" i="26"/>
  <c r="V69" i="26"/>
  <c r="I62" i="26"/>
  <c r="G70" i="26"/>
  <c r="G59" i="26"/>
  <c r="I36" i="26"/>
  <c r="G27" i="26"/>
  <c r="V61" i="26"/>
  <c r="V15" i="26"/>
  <c r="V23" i="26"/>
  <c r="V64" i="26"/>
  <c r="Q72" i="26"/>
  <c r="I45" i="26"/>
  <c r="G29" i="26"/>
  <c r="V33" i="26"/>
  <c r="V58" i="26"/>
  <c r="V9" i="26"/>
  <c r="I71" i="26"/>
  <c r="I30" i="26"/>
  <c r="G39" i="26"/>
  <c r="G18" i="26"/>
  <c r="G14" i="26"/>
  <c r="V24" i="26"/>
  <c r="V57" i="26"/>
  <c r="I67" i="26"/>
  <c r="I7" i="26"/>
  <c r="V25" i="26"/>
  <c r="V68" i="26"/>
  <c r="Q48" i="26"/>
  <c r="U41" i="26"/>
  <c r="T41" i="26"/>
  <c r="E94" i="29"/>
  <c r="E95" i="29"/>
  <c r="L89" i="29"/>
  <c r="L85" i="29"/>
  <c r="E80" i="29"/>
  <c r="L52" i="29"/>
  <c r="H46" i="29"/>
  <c r="L38" i="29"/>
  <c r="L24" i="29"/>
  <c r="Q18" i="26" s="1"/>
  <c r="I15" i="29"/>
  <c r="I7" i="29"/>
  <c r="T3" i="29"/>
  <c r="V59" i="26" s="1"/>
  <c r="L94" i="29"/>
  <c r="E89" i="29"/>
  <c r="E85" i="29"/>
  <c r="L79" i="29"/>
  <c r="L72" i="29"/>
  <c r="H65" i="29"/>
  <c r="F57" i="29"/>
  <c r="G26" i="26" s="1"/>
  <c r="F45" i="29"/>
  <c r="I37" i="29"/>
  <c r="L31" i="29"/>
  <c r="F23" i="29"/>
  <c r="G67" i="26" s="1"/>
  <c r="H15" i="29"/>
  <c r="H7" i="29"/>
  <c r="L88" i="29"/>
  <c r="L84" i="29"/>
  <c r="Q61" i="26" s="1"/>
  <c r="E79" i="29"/>
  <c r="F71" i="29"/>
  <c r="I64" i="29"/>
  <c r="L56" i="29"/>
  <c r="H51" i="29"/>
  <c r="L44" i="29"/>
  <c r="H37" i="29"/>
  <c r="E31" i="29"/>
  <c r="L22" i="29"/>
  <c r="Q9" i="26" s="1"/>
  <c r="I14" i="29"/>
  <c r="I6" i="29"/>
  <c r="L97" i="29"/>
  <c r="L93" i="29"/>
  <c r="E88" i="29"/>
  <c r="E84" i="29"/>
  <c r="L78" i="29"/>
  <c r="Q73" i="26" s="1"/>
  <c r="L70" i="29"/>
  <c r="H64" i="29"/>
  <c r="F49" i="29"/>
  <c r="G38" i="26" s="1"/>
  <c r="F41" i="29"/>
  <c r="I36" i="29"/>
  <c r="L30" i="29"/>
  <c r="F21" i="29"/>
  <c r="H14" i="29"/>
  <c r="H6" i="29"/>
  <c r="E97" i="29"/>
  <c r="E93" i="29"/>
  <c r="L87" i="29"/>
  <c r="L83" i="29"/>
  <c r="F77" i="29"/>
  <c r="F63" i="29"/>
  <c r="L55" i="29"/>
  <c r="L48" i="29"/>
  <c r="L40" i="29"/>
  <c r="H36" i="29"/>
  <c r="F29" i="29"/>
  <c r="L20" i="29"/>
  <c r="Q24" i="26" s="1"/>
  <c r="F13" i="29"/>
  <c r="G7" i="26" s="1"/>
  <c r="F5" i="29"/>
  <c r="G30" i="26" s="1"/>
  <c r="L96" i="29"/>
  <c r="L92" i="29"/>
  <c r="E87" i="29"/>
  <c r="L81" i="29"/>
  <c r="Q27" i="26" s="1"/>
  <c r="L76" i="29"/>
  <c r="H69" i="29"/>
  <c r="L62" i="29"/>
  <c r="E55" i="29"/>
  <c r="F35" i="29"/>
  <c r="L28" i="29"/>
  <c r="Q64" i="26" s="1"/>
  <c r="L12" i="29"/>
  <c r="Q22" i="26" s="1"/>
  <c r="L4" i="29"/>
  <c r="Q15" i="26" s="1"/>
  <c r="E96" i="29"/>
  <c r="E92" i="29"/>
  <c r="L86" i="29"/>
  <c r="Q29" i="26" s="1"/>
  <c r="E81" i="29"/>
  <c r="F75" i="29"/>
  <c r="G43" i="26" s="1"/>
  <c r="F61" i="29"/>
  <c r="L54" i="29"/>
  <c r="H47" i="29"/>
  <c r="L39" i="29"/>
  <c r="F33" i="29"/>
  <c r="G13" i="26" s="1"/>
  <c r="H27" i="29"/>
  <c r="F17" i="29"/>
  <c r="G36" i="26" s="1"/>
  <c r="F9" i="29"/>
  <c r="G71" i="26" s="1"/>
  <c r="L95" i="29"/>
  <c r="E86" i="29"/>
  <c r="L80" i="29"/>
  <c r="L73" i="29"/>
  <c r="H68" i="29"/>
  <c r="L60" i="29"/>
  <c r="F53" i="29"/>
  <c r="I46" i="29"/>
  <c r="E39" i="29"/>
  <c r="L32" i="29"/>
  <c r="F25" i="29"/>
  <c r="G45" i="26" s="1"/>
  <c r="L16" i="29"/>
  <c r="Q14" i="26" s="1"/>
  <c r="L8" i="29"/>
  <c r="Q70" i="26" s="1"/>
  <c r="E82" i="29"/>
  <c r="I18" i="29"/>
  <c r="F90" i="29"/>
  <c r="G90" i="29"/>
  <c r="H90" i="29"/>
  <c r="I90" i="29"/>
  <c r="J90" i="29"/>
  <c r="K90" i="29"/>
  <c r="F82" i="29"/>
  <c r="G82" i="29"/>
  <c r="H82" i="29"/>
  <c r="I82" i="29"/>
  <c r="J82" i="29"/>
  <c r="K82" i="29"/>
  <c r="F74" i="29"/>
  <c r="H74" i="29"/>
  <c r="J74" i="29"/>
  <c r="F66" i="29"/>
  <c r="H66" i="29"/>
  <c r="J66" i="29"/>
  <c r="M50" i="26" s="1"/>
  <c r="F58" i="29"/>
  <c r="G11" i="26" s="1"/>
  <c r="H58" i="29"/>
  <c r="I11" i="26" s="1"/>
  <c r="J58" i="29"/>
  <c r="J50" i="29"/>
  <c r="K50" i="29"/>
  <c r="L50" i="29"/>
  <c r="E50" i="29"/>
  <c r="F50" i="29"/>
  <c r="G50" i="29"/>
  <c r="F42" i="29"/>
  <c r="H42" i="29"/>
  <c r="I10" i="26" s="1"/>
  <c r="J42" i="29"/>
  <c r="F34" i="29"/>
  <c r="G21" i="26" s="1"/>
  <c r="T34" i="29"/>
  <c r="H34" i="29"/>
  <c r="I21" i="26" s="1"/>
  <c r="J34" i="29"/>
  <c r="J26" i="29"/>
  <c r="K26" i="29"/>
  <c r="L26" i="29"/>
  <c r="T26" i="29"/>
  <c r="E26" i="29"/>
  <c r="F26" i="29"/>
  <c r="G26" i="29"/>
  <c r="J18" i="29"/>
  <c r="K18" i="29"/>
  <c r="L18" i="29"/>
  <c r="E18" i="29"/>
  <c r="T18" i="29"/>
  <c r="F18" i="29"/>
  <c r="G18" i="29"/>
  <c r="T10" i="29"/>
  <c r="V72" i="26" s="1"/>
  <c r="F10" i="29"/>
  <c r="G72" i="26" s="1"/>
  <c r="H10" i="29"/>
  <c r="I72" i="26" s="1"/>
  <c r="J10" i="29"/>
  <c r="M72" i="26" s="1"/>
  <c r="F98" i="29"/>
  <c r="G98" i="29"/>
  <c r="H98" i="29"/>
  <c r="I98" i="29"/>
  <c r="J98" i="29"/>
  <c r="K98" i="29"/>
  <c r="L98" i="29"/>
  <c r="L90" i="29"/>
  <c r="L74" i="29"/>
  <c r="I50" i="29"/>
  <c r="I27" i="29"/>
  <c r="H50" i="29"/>
  <c r="T98" i="29"/>
  <c r="T66" i="29"/>
  <c r="V49" i="26" s="1"/>
  <c r="F83" i="29"/>
  <c r="G83" i="29"/>
  <c r="H83" i="29"/>
  <c r="I83" i="29"/>
  <c r="J83" i="29"/>
  <c r="K83" i="29"/>
  <c r="H75" i="29"/>
  <c r="J75" i="29"/>
  <c r="M44" i="26" s="1"/>
  <c r="L75" i="29"/>
  <c r="Q43" i="26" s="1"/>
  <c r="H67" i="29"/>
  <c r="J67" i="29"/>
  <c r="L67" i="29"/>
  <c r="H59" i="29"/>
  <c r="J59" i="29"/>
  <c r="L59" i="29"/>
  <c r="Q17" i="26" s="1"/>
  <c r="J51" i="29"/>
  <c r="L51" i="29"/>
  <c r="F51" i="29"/>
  <c r="H43" i="29"/>
  <c r="J43" i="29"/>
  <c r="L43" i="29"/>
  <c r="Q34" i="26" s="1"/>
  <c r="H35" i="29"/>
  <c r="J35" i="29"/>
  <c r="L35" i="29"/>
  <c r="Q20" i="26" s="1"/>
  <c r="J27" i="29"/>
  <c r="K27" i="29"/>
  <c r="L27" i="29"/>
  <c r="E27" i="29"/>
  <c r="F27" i="29"/>
  <c r="G27" i="29"/>
  <c r="J19" i="29"/>
  <c r="K19" i="29"/>
  <c r="L19" i="29"/>
  <c r="E19" i="29"/>
  <c r="F19" i="29"/>
  <c r="G19" i="29"/>
  <c r="H11" i="29"/>
  <c r="I39" i="26" s="1"/>
  <c r="J11" i="29"/>
  <c r="M40" i="26" s="1"/>
  <c r="L11" i="29"/>
  <c r="Q39" i="26" s="1"/>
  <c r="H3" i="29"/>
  <c r="I59" i="26" s="1"/>
  <c r="J3" i="29"/>
  <c r="M60" i="26" s="1"/>
  <c r="L3" i="29"/>
  <c r="Q59" i="26" s="1"/>
  <c r="F91" i="29"/>
  <c r="G48" i="26" s="1"/>
  <c r="G91" i="29"/>
  <c r="H91" i="29"/>
  <c r="I48" i="26" s="1"/>
  <c r="I91" i="29"/>
  <c r="J91" i="29"/>
  <c r="M48" i="26" s="1"/>
  <c r="K91" i="29"/>
  <c r="E91" i="29"/>
  <c r="E83" i="29"/>
  <c r="F67" i="29"/>
  <c r="F43" i="29"/>
  <c r="I26" i="29"/>
  <c r="I19" i="29"/>
  <c r="T91" i="29"/>
  <c r="V48" i="26" s="1"/>
  <c r="T59" i="29"/>
  <c r="V17" i="26" s="1"/>
  <c r="T19" i="29"/>
  <c r="L82" i="29"/>
  <c r="L66" i="29"/>
  <c r="L42" i="29"/>
  <c r="H26" i="29"/>
  <c r="T90" i="29"/>
  <c r="T58" i="29"/>
  <c r="V11" i="26" s="1"/>
  <c r="T11" i="29"/>
  <c r="V39" i="26" s="1"/>
  <c r="K97" i="29"/>
  <c r="K96" i="29"/>
  <c r="K95" i="29"/>
  <c r="K94" i="29"/>
  <c r="K93" i="29"/>
  <c r="K92" i="29"/>
  <c r="K89" i="29"/>
  <c r="K88" i="29"/>
  <c r="K87" i="29"/>
  <c r="K86" i="29"/>
  <c r="K85" i="29"/>
  <c r="K84" i="29"/>
  <c r="K81" i="29"/>
  <c r="K80" i="29"/>
  <c r="K79" i="29"/>
  <c r="J78" i="29"/>
  <c r="J76" i="29"/>
  <c r="M23" i="26" s="1"/>
  <c r="J72" i="29"/>
  <c r="J70" i="29"/>
  <c r="G64" i="29"/>
  <c r="J62" i="29"/>
  <c r="J60" i="29"/>
  <c r="K55" i="29"/>
  <c r="J54" i="29"/>
  <c r="J52" i="29"/>
  <c r="M58" i="26" s="1"/>
  <c r="J48" i="29"/>
  <c r="M31" i="26" s="1"/>
  <c r="G46" i="29"/>
  <c r="J44" i="29"/>
  <c r="K39" i="29"/>
  <c r="J38" i="29"/>
  <c r="M42" i="26" s="1"/>
  <c r="G37" i="29"/>
  <c r="G36" i="29"/>
  <c r="K31" i="29"/>
  <c r="J30" i="29"/>
  <c r="J28" i="29"/>
  <c r="M64" i="26" s="1"/>
  <c r="J24" i="29"/>
  <c r="M18" i="26" s="1"/>
  <c r="J22" i="29"/>
  <c r="M9" i="26" s="1"/>
  <c r="J20" i="29"/>
  <c r="M24" i="26" s="1"/>
  <c r="J16" i="29"/>
  <c r="M14" i="26" s="1"/>
  <c r="G15" i="29"/>
  <c r="G14" i="29"/>
  <c r="J12" i="29"/>
  <c r="M22" i="26" s="1"/>
  <c r="J8" i="29"/>
  <c r="M70" i="26" s="1"/>
  <c r="G7" i="29"/>
  <c r="G6" i="29"/>
  <c r="J4" i="29"/>
  <c r="M15" i="26" s="1"/>
  <c r="T97" i="29"/>
  <c r="T89" i="29"/>
  <c r="T81" i="29"/>
  <c r="V27" i="26" s="1"/>
  <c r="T73" i="29"/>
  <c r="V44" i="26" s="1"/>
  <c r="T65" i="29"/>
  <c r="T57" i="29"/>
  <c r="T49" i="29"/>
  <c r="T41" i="29"/>
  <c r="T33" i="29"/>
  <c r="T25" i="29"/>
  <c r="V47" i="26" s="1"/>
  <c r="T17" i="29"/>
  <c r="V36" i="26" s="1"/>
  <c r="T9" i="29"/>
  <c r="V71" i="26" s="1"/>
  <c r="J97" i="29"/>
  <c r="J96" i="29"/>
  <c r="J95" i="29"/>
  <c r="J94" i="29"/>
  <c r="J93" i="29"/>
  <c r="J92" i="29"/>
  <c r="J89" i="29"/>
  <c r="J88" i="29"/>
  <c r="J87" i="29"/>
  <c r="J86" i="29"/>
  <c r="M29" i="26" s="1"/>
  <c r="J85" i="29"/>
  <c r="J84" i="29"/>
  <c r="M61" i="26" s="1"/>
  <c r="J81" i="29"/>
  <c r="M27" i="26" s="1"/>
  <c r="J80" i="29"/>
  <c r="J79" i="29"/>
  <c r="H78" i="29"/>
  <c r="H76" i="29"/>
  <c r="J73" i="29"/>
  <c r="H72" i="29"/>
  <c r="H70" i="29"/>
  <c r="I68" i="26" s="1"/>
  <c r="F69" i="29"/>
  <c r="F68" i="29"/>
  <c r="F65" i="29"/>
  <c r="F64" i="29"/>
  <c r="H62" i="29"/>
  <c r="I63" i="26" s="1"/>
  <c r="H60" i="29"/>
  <c r="J56" i="29"/>
  <c r="J55" i="29"/>
  <c r="H54" i="29"/>
  <c r="I28" i="26" s="1"/>
  <c r="H52" i="29"/>
  <c r="H48" i="29"/>
  <c r="F47" i="29"/>
  <c r="G31" i="26" s="1"/>
  <c r="F46" i="29"/>
  <c r="H44" i="29"/>
  <c r="I25" i="26" s="1"/>
  <c r="J40" i="29"/>
  <c r="J39" i="29"/>
  <c r="H38" i="29"/>
  <c r="I41" i="26" s="1"/>
  <c r="F37" i="29"/>
  <c r="F36" i="29"/>
  <c r="J32" i="29"/>
  <c r="J31" i="29"/>
  <c r="H30" i="29"/>
  <c r="I16" i="26" s="1"/>
  <c r="H28" i="29"/>
  <c r="I64" i="26" s="1"/>
  <c r="H24" i="29"/>
  <c r="I18" i="26" s="1"/>
  <c r="H22" i="29"/>
  <c r="I9" i="26" s="1"/>
  <c r="H20" i="29"/>
  <c r="I24" i="26" s="1"/>
  <c r="H16" i="29"/>
  <c r="I14" i="26" s="1"/>
  <c r="F15" i="29"/>
  <c r="F14" i="29"/>
  <c r="H12" i="29"/>
  <c r="I22" i="26" s="1"/>
  <c r="H8" i="29"/>
  <c r="I70" i="26" s="1"/>
  <c r="F7" i="29"/>
  <c r="F6" i="29"/>
  <c r="H4" i="29"/>
  <c r="I15" i="26" s="1"/>
  <c r="T96" i="29"/>
  <c r="T88" i="29"/>
  <c r="T80" i="29"/>
  <c r="T72" i="29"/>
  <c r="T64" i="29"/>
  <c r="T56" i="29"/>
  <c r="T48" i="29"/>
  <c r="V31" i="26" s="1"/>
  <c r="T40" i="29"/>
  <c r="T32" i="29"/>
  <c r="T24" i="29"/>
  <c r="V18" i="26" s="1"/>
  <c r="T16" i="29"/>
  <c r="T8" i="29"/>
  <c r="V70" i="26" s="1"/>
  <c r="I97" i="29"/>
  <c r="I96" i="29"/>
  <c r="I95" i="29"/>
  <c r="I94" i="29"/>
  <c r="I93" i="29"/>
  <c r="I92" i="29"/>
  <c r="I89" i="29"/>
  <c r="I88" i="29"/>
  <c r="I87" i="29"/>
  <c r="I86" i="29"/>
  <c r="I85" i="29"/>
  <c r="I84" i="29"/>
  <c r="I81" i="29"/>
  <c r="I80" i="29"/>
  <c r="I79" i="29"/>
  <c r="F78" i="29"/>
  <c r="F76" i="29"/>
  <c r="G23" i="26" s="1"/>
  <c r="F70" i="29"/>
  <c r="E64" i="29"/>
  <c r="F62" i="29"/>
  <c r="F60" i="29"/>
  <c r="G19" i="26" s="1"/>
  <c r="I55" i="29"/>
  <c r="F54" i="29"/>
  <c r="F52" i="29"/>
  <c r="E46" i="29"/>
  <c r="F44" i="29"/>
  <c r="I39" i="29"/>
  <c r="F38" i="29"/>
  <c r="E37" i="29"/>
  <c r="E36" i="29"/>
  <c r="I31" i="29"/>
  <c r="F30" i="29"/>
  <c r="F28" i="29"/>
  <c r="F22" i="29"/>
  <c r="G9" i="26" s="1"/>
  <c r="F20" i="29"/>
  <c r="G24" i="26" s="1"/>
  <c r="E15" i="29"/>
  <c r="E14" i="29"/>
  <c r="F12" i="29"/>
  <c r="G22" i="26" s="1"/>
  <c r="E7" i="29"/>
  <c r="E6" i="29"/>
  <c r="F4" i="29"/>
  <c r="G15" i="26" s="1"/>
  <c r="T95" i="29"/>
  <c r="T87" i="29"/>
  <c r="T79" i="29"/>
  <c r="T71" i="29"/>
  <c r="T63" i="29"/>
  <c r="V35" i="26" s="1"/>
  <c r="T55" i="29"/>
  <c r="T47" i="29"/>
  <c r="T39" i="29"/>
  <c r="T31" i="29"/>
  <c r="T23" i="29"/>
  <c r="V67" i="26" s="1"/>
  <c r="T15" i="29"/>
  <c r="T7" i="29"/>
  <c r="H97" i="29"/>
  <c r="H96" i="29"/>
  <c r="H95" i="29"/>
  <c r="H94" i="29"/>
  <c r="H93" i="29"/>
  <c r="H92" i="29"/>
  <c r="H89" i="29"/>
  <c r="H88" i="29"/>
  <c r="H87" i="29"/>
  <c r="H86" i="29"/>
  <c r="I29" i="26" s="1"/>
  <c r="H85" i="29"/>
  <c r="H84" i="29"/>
  <c r="I61" i="26" s="1"/>
  <c r="H81" i="29"/>
  <c r="I27" i="26" s="1"/>
  <c r="H80" i="29"/>
  <c r="H79" i="29"/>
  <c r="L77" i="29"/>
  <c r="Q8" i="26" s="1"/>
  <c r="H73" i="29"/>
  <c r="L71" i="29"/>
  <c r="L69" i="29"/>
  <c r="L68" i="29"/>
  <c r="L65" i="29"/>
  <c r="L64" i="29"/>
  <c r="L63" i="29"/>
  <c r="L61" i="29"/>
  <c r="Q54" i="26" s="1"/>
  <c r="L57" i="29"/>
  <c r="H56" i="29"/>
  <c r="I26" i="26" s="1"/>
  <c r="H55" i="29"/>
  <c r="L53" i="29"/>
  <c r="Q12" i="26" s="1"/>
  <c r="L49" i="29"/>
  <c r="L47" i="29"/>
  <c r="L46" i="29"/>
  <c r="L45" i="29"/>
  <c r="L41" i="29"/>
  <c r="H40" i="29"/>
  <c r="I52" i="26" s="1"/>
  <c r="H39" i="29"/>
  <c r="L37" i="29"/>
  <c r="L36" i="29"/>
  <c r="L33" i="29"/>
  <c r="H32" i="29"/>
  <c r="I13" i="26" s="1"/>
  <c r="H31" i="29"/>
  <c r="L29" i="29"/>
  <c r="L25" i="29"/>
  <c r="Q45" i="26" s="1"/>
  <c r="L23" i="29"/>
  <c r="Q67" i="26" s="1"/>
  <c r="L21" i="29"/>
  <c r="Q62" i="26" s="1"/>
  <c r="L17" i="29"/>
  <c r="Q36" i="26" s="1"/>
  <c r="L15" i="29"/>
  <c r="L14" i="29"/>
  <c r="L13" i="29"/>
  <c r="Q7" i="26" s="1"/>
  <c r="L9" i="29"/>
  <c r="Q71" i="26" s="1"/>
  <c r="L7" i="29"/>
  <c r="L6" i="29"/>
  <c r="L5" i="29"/>
  <c r="Q30" i="26" s="1"/>
  <c r="T94" i="29"/>
  <c r="T86" i="29"/>
  <c r="V29" i="26" s="1"/>
  <c r="T46" i="29"/>
  <c r="T14" i="29"/>
  <c r="T6" i="29"/>
  <c r="G97" i="29"/>
  <c r="G96" i="29"/>
  <c r="G95" i="29"/>
  <c r="G94" i="29"/>
  <c r="G93" i="29"/>
  <c r="G92" i="29"/>
  <c r="G89" i="29"/>
  <c r="G88" i="29"/>
  <c r="G87" i="29"/>
  <c r="G86" i="29"/>
  <c r="G85" i="29"/>
  <c r="G84" i="29"/>
  <c r="G81" i="29"/>
  <c r="G80" i="29"/>
  <c r="G79" i="29"/>
  <c r="J77" i="29"/>
  <c r="J71" i="29"/>
  <c r="K64" i="29"/>
  <c r="J63" i="29"/>
  <c r="J61" i="29"/>
  <c r="M55" i="26" s="1"/>
  <c r="J57" i="29"/>
  <c r="G55" i="29"/>
  <c r="J53" i="29"/>
  <c r="J49" i="29"/>
  <c r="K46" i="29"/>
  <c r="J45" i="29"/>
  <c r="M32" i="26" s="1"/>
  <c r="J41" i="29"/>
  <c r="G39" i="29"/>
  <c r="K37" i="29"/>
  <c r="K36" i="29"/>
  <c r="J33" i="29"/>
  <c r="G31" i="29"/>
  <c r="J29" i="29"/>
  <c r="J25" i="29"/>
  <c r="M46" i="26" s="1"/>
  <c r="J23" i="29"/>
  <c r="M67" i="26" s="1"/>
  <c r="J21" i="29"/>
  <c r="M62" i="26" s="1"/>
  <c r="J17" i="29"/>
  <c r="M36" i="26" s="1"/>
  <c r="K15" i="29"/>
  <c r="K14" i="29"/>
  <c r="J13" i="29"/>
  <c r="M7" i="26" s="1"/>
  <c r="J9" i="29"/>
  <c r="M71" i="26" s="1"/>
  <c r="K7" i="29"/>
  <c r="K6" i="29"/>
  <c r="J5" i="29"/>
  <c r="M30" i="26" s="1"/>
  <c r="T93" i="29"/>
  <c r="T85" i="29"/>
  <c r="T77" i="29"/>
  <c r="V8" i="26" s="1"/>
  <c r="T69" i="29"/>
  <c r="T61" i="29"/>
  <c r="V54" i="26" s="1"/>
  <c r="T53" i="29"/>
  <c r="V12" i="26" s="1"/>
  <c r="T45" i="29"/>
  <c r="V32" i="26" s="1"/>
  <c r="T37" i="29"/>
  <c r="V42" i="26" s="1"/>
  <c r="T29" i="29"/>
  <c r="V16" i="26" s="1"/>
  <c r="T21" i="29"/>
  <c r="V62" i="26" s="1"/>
  <c r="T13" i="29"/>
  <c r="V7" i="26" s="1"/>
  <c r="T5" i="29"/>
  <c r="V30" i="26" s="1"/>
  <c r="G67" i="29"/>
  <c r="F92" i="29"/>
  <c r="F84" i="29"/>
  <c r="G61" i="26" s="1"/>
  <c r="J68" i="29"/>
  <c r="F40" i="29"/>
  <c r="J36" i="29"/>
  <c r="O33" i="4"/>
  <c r="N33" i="4"/>
  <c r="D32" i="22" s="1"/>
  <c r="I32" i="22" s="1"/>
  <c r="K67" i="29"/>
  <c r="I67" i="29"/>
  <c r="I31" i="26" l="1"/>
  <c r="G54" i="26"/>
  <c r="Q13" i="26"/>
  <c r="M20" i="26"/>
  <c r="I49" i="26"/>
  <c r="I20" i="26"/>
  <c r="G35" i="26"/>
  <c r="Q19" i="26"/>
  <c r="Q63" i="26"/>
  <c r="Q25" i="26"/>
  <c r="I19" i="26"/>
  <c r="M10" i="26"/>
  <c r="G28" i="26"/>
  <c r="M11" i="26"/>
  <c r="Q23" i="26"/>
  <c r="G52" i="26"/>
  <c r="M8" i="26"/>
  <c r="Q52" i="26"/>
  <c r="I33" i="26"/>
  <c r="M78" i="7"/>
  <c r="N78" i="7" s="1"/>
  <c r="Q26" i="26"/>
  <c r="M63" i="26"/>
  <c r="M35" i="26"/>
  <c r="Q32" i="26"/>
  <c r="G57" i="26"/>
  <c r="M33" i="26"/>
  <c r="M13" i="26"/>
  <c r="Q35" i="26"/>
  <c r="I57" i="26"/>
  <c r="G12" i="26"/>
  <c r="G20" i="26"/>
  <c r="M38" i="26"/>
  <c r="G41" i="26"/>
  <c r="G68" i="26"/>
  <c r="V13" i="26"/>
  <c r="G10" i="26"/>
  <c r="Q31" i="26"/>
  <c r="M12" i="26"/>
  <c r="Q38" i="26"/>
  <c r="V52" i="26"/>
  <c r="M28" i="26"/>
  <c r="V38" i="26"/>
  <c r="M69" i="26"/>
  <c r="Q10" i="26"/>
  <c r="G34" i="26"/>
  <c r="M34" i="26"/>
  <c r="I43" i="26"/>
  <c r="M21" i="26"/>
  <c r="G16" i="26"/>
  <c r="G25" i="26"/>
  <c r="G33" i="26"/>
  <c r="V26" i="26"/>
  <c r="Q49" i="26"/>
  <c r="I34" i="26"/>
  <c r="M17" i="26"/>
  <c r="M53" i="26"/>
  <c r="M26" i="26"/>
  <c r="I23" i="26"/>
  <c r="M25" i="26"/>
  <c r="M19" i="26"/>
  <c r="I17" i="26"/>
  <c r="V21" i="26"/>
  <c r="G49" i="26"/>
  <c r="Q28" i="26"/>
  <c r="G8" i="26"/>
  <c r="V43" i="26"/>
  <c r="G73" i="26"/>
  <c r="V28" i="26"/>
  <c r="I8" i="26"/>
  <c r="G17" i="26"/>
  <c r="V41" i="26"/>
  <c r="V20" i="26"/>
  <c r="I12" i="26"/>
  <c r="I54" i="26"/>
  <c r="Q41" i="26"/>
  <c r="V19" i="26"/>
  <c r="Q21" i="26"/>
  <c r="V10" i="26"/>
  <c r="I35" i="26"/>
  <c r="I32" i="26"/>
  <c r="Q68" i="26"/>
  <c r="G32" i="26"/>
  <c r="Q57" i="26"/>
  <c r="M73" i="26"/>
  <c r="I38" i="26"/>
  <c r="Q11" i="26"/>
  <c r="Q33" i="26"/>
  <c r="I73" i="26"/>
  <c r="V63" i="26"/>
  <c r="M16" i="26"/>
  <c r="Q16" i="26"/>
  <c r="V65" i="26"/>
  <c r="V53" i="26"/>
  <c r="V51" i="26"/>
  <c r="V56" i="26"/>
  <c r="V46" i="26"/>
  <c r="V60" i="26"/>
  <c r="V50" i="26"/>
  <c r="V45" i="26"/>
  <c r="V55" i="26"/>
  <c r="Q52" i="4"/>
  <c r="E67" i="29"/>
  <c r="I3" i="32" l="1"/>
  <c r="I4" i="32"/>
  <c r="I5" i="32"/>
  <c r="I6" i="32"/>
  <c r="I7" i="32"/>
  <c r="I8" i="32"/>
  <c r="I9" i="32"/>
  <c r="I2" i="32"/>
  <c r="P8" i="31"/>
  <c r="Q8" i="31"/>
  <c r="P9" i="31"/>
  <c r="Q9" i="31"/>
  <c r="E45" i="4"/>
  <c r="F44" i="22" s="1"/>
  <c r="B107" i="7"/>
  <c r="G23" i="7" l="1"/>
  <c r="H67" i="26"/>
  <c r="G23" i="29"/>
  <c r="C107" i="7"/>
  <c r="D107" i="7" s="1"/>
  <c r="C3" i="31" l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2" i="22"/>
  <c r="C2" i="31" s="1"/>
  <c r="B3" i="3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2" i="22"/>
  <c r="B2" i="31" s="1"/>
  <c r="A2" i="22"/>
  <c r="M25" i="7"/>
  <c r="A53" i="31" l="1"/>
  <c r="F53" i="31" s="1"/>
  <c r="A51" i="31"/>
  <c r="F51" i="31" s="1"/>
  <c r="A26" i="31"/>
  <c r="A49" i="31"/>
  <c r="A2" i="31"/>
  <c r="J2" i="22"/>
  <c r="A12" i="31"/>
  <c r="A28" i="31"/>
  <c r="A47" i="31"/>
  <c r="A39" i="31"/>
  <c r="A31" i="31"/>
  <c r="A24" i="31"/>
  <c r="A16" i="31"/>
  <c r="A8" i="31"/>
  <c r="A48" i="31"/>
  <c r="A30" i="31"/>
  <c r="A25" i="31"/>
  <c r="A23" i="31"/>
  <c r="A17" i="31"/>
  <c r="A29" i="31"/>
  <c r="A14" i="31"/>
  <c r="A52" i="31"/>
  <c r="A44" i="31"/>
  <c r="A36" i="31"/>
  <c r="A21" i="31"/>
  <c r="A13" i="31"/>
  <c r="A5" i="31"/>
  <c r="A15" i="31"/>
  <c r="A43" i="31"/>
  <c r="A35" i="31"/>
  <c r="A20" i="31"/>
  <c r="A4" i="31"/>
  <c r="A40" i="31"/>
  <c r="A32" i="31"/>
  <c r="A9" i="31"/>
  <c r="A38" i="31"/>
  <c r="A7" i="31"/>
  <c r="A37" i="31"/>
  <c r="A50" i="31"/>
  <c r="A34" i="31"/>
  <c r="A11" i="31"/>
  <c r="A46" i="31"/>
  <c r="A45" i="31"/>
  <c r="A22" i="31"/>
  <c r="A6" i="31"/>
  <c r="A42" i="31"/>
  <c r="A27" i="31"/>
  <c r="A19" i="31"/>
  <c r="A3" i="31"/>
  <c r="A41" i="31"/>
  <c r="A33" i="31"/>
  <c r="A18" i="31"/>
  <c r="A10" i="31"/>
  <c r="G53" i="31"/>
  <c r="H53" i="31"/>
  <c r="D53" i="31"/>
  <c r="I53" i="31" s="1"/>
  <c r="E53" i="31"/>
  <c r="E51" i="4"/>
  <c r="F50" i="22" s="1"/>
  <c r="K51" i="4"/>
  <c r="H50" i="22" s="1"/>
  <c r="M51" i="4"/>
  <c r="S30" i="26" s="1"/>
  <c r="H51" i="4"/>
  <c r="G50" i="22" s="1"/>
  <c r="J51" i="4"/>
  <c r="O30" i="26" s="1"/>
  <c r="G51" i="4"/>
  <c r="K30" i="26" s="1"/>
  <c r="M2" i="22"/>
  <c r="L51" i="4"/>
  <c r="R30" i="26" s="1"/>
  <c r="P51" i="4"/>
  <c r="B97" i="7"/>
  <c r="E18" i="30" l="1"/>
  <c r="E33" i="30"/>
  <c r="E48" i="30"/>
  <c r="E32" i="30"/>
  <c r="E23" i="30"/>
  <c r="E29" i="30"/>
  <c r="E14" i="30"/>
  <c r="E36" i="30"/>
  <c r="E4" i="30"/>
  <c r="E44" i="30"/>
  <c r="E49" i="30"/>
  <c r="E50" i="30"/>
  <c r="E40" i="30"/>
  <c r="E31" i="30"/>
  <c r="E46" i="30"/>
  <c r="E27" i="30"/>
  <c r="E12" i="30"/>
  <c r="E28" i="30"/>
  <c r="E20" i="30"/>
  <c r="E30" i="30"/>
  <c r="E35" i="30"/>
  <c r="E7" i="30"/>
  <c r="E38" i="30"/>
  <c r="E16" i="30"/>
  <c r="E15" i="30"/>
  <c r="E37" i="30"/>
  <c r="E17" i="30"/>
  <c r="E24" i="30"/>
  <c r="E47" i="30"/>
  <c r="E34" i="30"/>
  <c r="E10" i="30"/>
  <c r="E42" i="30"/>
  <c r="E19" i="30"/>
  <c r="E9" i="30"/>
  <c r="E8" i="30"/>
  <c r="E13" i="30"/>
  <c r="E41" i="30"/>
  <c r="E3" i="30"/>
  <c r="E21" i="30"/>
  <c r="E43" i="30"/>
  <c r="E39" i="30"/>
  <c r="E11" i="30"/>
  <c r="E45" i="30"/>
  <c r="E6" i="30"/>
  <c r="E51" i="30"/>
  <c r="E5" i="30"/>
  <c r="E25" i="30"/>
  <c r="E26" i="30"/>
  <c r="E22" i="30"/>
  <c r="A2" i="30"/>
  <c r="Q2" i="22"/>
  <c r="P2" i="22"/>
  <c r="O2" i="22"/>
  <c r="H30" i="26"/>
  <c r="P30" i="26"/>
  <c r="U30" i="26"/>
  <c r="I5" i="29"/>
  <c r="L30" i="26"/>
  <c r="G5" i="29"/>
  <c r="G5" i="7"/>
  <c r="K5" i="7"/>
  <c r="K5" i="29"/>
  <c r="H51" i="31"/>
  <c r="G51" i="31"/>
  <c r="E51" i="31"/>
  <c r="D51" i="31"/>
  <c r="I51" i="31" s="1"/>
  <c r="I5" i="7"/>
  <c r="G50" i="31"/>
  <c r="H50" i="31"/>
  <c r="F50" i="31"/>
  <c r="E52" i="31"/>
  <c r="F52" i="31"/>
  <c r="G52" i="31"/>
  <c r="H52" i="31"/>
  <c r="D52" i="31"/>
  <c r="I52" i="31" s="1"/>
  <c r="I51" i="4"/>
  <c r="N30" i="26" s="1"/>
  <c r="R51" i="4"/>
  <c r="D51" i="4" s="1"/>
  <c r="F51" i="4"/>
  <c r="J30" i="26" s="1"/>
  <c r="O51" i="4"/>
  <c r="D102" i="7"/>
  <c r="D101" i="7"/>
  <c r="C102" i="7"/>
  <c r="C101" i="7"/>
  <c r="E50" i="31" l="1"/>
  <c r="E50" i="22"/>
  <c r="I2" i="30"/>
  <c r="F30" i="26"/>
  <c r="T30" i="26"/>
  <c r="E5" i="29"/>
  <c r="E5" i="7"/>
  <c r="H50" i="30" s="1"/>
  <c r="F50" i="30" s="1"/>
  <c r="N51" i="4"/>
  <c r="D50" i="22" s="1"/>
  <c r="I50" i="22" s="1"/>
  <c r="B101" i="7"/>
  <c r="B102" i="7"/>
  <c r="E48" i="4"/>
  <c r="F47" i="22" s="1"/>
  <c r="K50" i="4"/>
  <c r="H49" i="22" s="1"/>
  <c r="J50" i="4"/>
  <c r="O15" i="26" s="1"/>
  <c r="H50" i="4"/>
  <c r="G49" i="22" s="1"/>
  <c r="F50" i="4"/>
  <c r="J15" i="26" s="1"/>
  <c r="G50" i="4"/>
  <c r="K15" i="26" s="1"/>
  <c r="R50" i="4"/>
  <c r="P50" i="4"/>
  <c r="E50" i="4"/>
  <c r="F49" i="22" s="1"/>
  <c r="M47" i="4"/>
  <c r="S70" i="26" s="1"/>
  <c r="B113" i="7"/>
  <c r="Q3" i="31"/>
  <c r="Q4" i="31"/>
  <c r="Q5" i="31"/>
  <c r="Q6" i="31"/>
  <c r="Q7" i="31"/>
  <c r="Q2" i="31"/>
  <c r="P3" i="31"/>
  <c r="P4" i="31"/>
  <c r="P5" i="31"/>
  <c r="P6" i="31"/>
  <c r="P7" i="31"/>
  <c r="P2" i="31"/>
  <c r="O3" i="31"/>
  <c r="O4" i="31"/>
  <c r="O5" i="31"/>
  <c r="O6" i="31"/>
  <c r="O7" i="31"/>
  <c r="O2" i="31"/>
  <c r="E2" i="30"/>
  <c r="BU95" i="7"/>
  <c r="BS95" i="7"/>
  <c r="BO95" i="7"/>
  <c r="B106" i="7"/>
  <c r="C106" i="7" s="1"/>
  <c r="D106" i="7" s="1"/>
  <c r="T2" i="29"/>
  <c r="V37" i="26" s="1"/>
  <c r="L2" i="29"/>
  <c r="Q37" i="26" s="1"/>
  <c r="J2" i="29"/>
  <c r="M37" i="26" s="1"/>
  <c r="H2" i="29"/>
  <c r="I37" i="26" s="1"/>
  <c r="F2" i="29"/>
  <c r="G37" i="26" s="1"/>
  <c r="P39" i="4"/>
  <c r="P41" i="4"/>
  <c r="P42" i="4"/>
  <c r="P43" i="4"/>
  <c r="P44" i="4"/>
  <c r="P45" i="4"/>
  <c r="P46" i="4"/>
  <c r="P47" i="4"/>
  <c r="P48" i="4"/>
  <c r="P49" i="4"/>
  <c r="P38" i="4"/>
  <c r="F49" i="31" l="1"/>
  <c r="P15" i="26"/>
  <c r="H49" i="31"/>
  <c r="L15" i="26"/>
  <c r="G49" i="31"/>
  <c r="D50" i="31"/>
  <c r="I50" i="31" s="1"/>
  <c r="G4" i="7"/>
  <c r="H15" i="26"/>
  <c r="G9" i="7"/>
  <c r="H71" i="26"/>
  <c r="G4" i="29"/>
  <c r="G9" i="29"/>
  <c r="K4" i="29"/>
  <c r="I4" i="29"/>
  <c r="B108" i="7"/>
  <c r="K4" i="7"/>
  <c r="I4" i="7"/>
  <c r="D5" i="7"/>
  <c r="G50" i="30" s="1"/>
  <c r="C2" i="32"/>
  <c r="C2" i="30"/>
  <c r="D50" i="4"/>
  <c r="E49" i="22" s="1"/>
  <c r="M50" i="4"/>
  <c r="S15" i="26" s="1"/>
  <c r="U15" i="26" s="1"/>
  <c r="L50" i="4"/>
  <c r="R15" i="26" s="1"/>
  <c r="I50" i="4"/>
  <c r="N15" i="26" s="1"/>
  <c r="J42" i="4"/>
  <c r="O62" i="26" s="1"/>
  <c r="G44" i="4"/>
  <c r="K64" i="26" s="1"/>
  <c r="G40" i="4"/>
  <c r="L41" i="4"/>
  <c r="R59" i="26" s="1"/>
  <c r="E43" i="4"/>
  <c r="F42" i="22" s="1"/>
  <c r="I43" i="4"/>
  <c r="N63" i="26" s="1"/>
  <c r="I42" i="4"/>
  <c r="N62" i="26" s="1"/>
  <c r="G49" i="4"/>
  <c r="K72" i="26" s="1"/>
  <c r="F40" i="4"/>
  <c r="R44" i="4"/>
  <c r="F42" i="4"/>
  <c r="J62" i="26" s="1"/>
  <c r="M44" i="4"/>
  <c r="S64" i="26" s="1"/>
  <c r="L43" i="4"/>
  <c r="R63" i="26" s="1"/>
  <c r="H44" i="4"/>
  <c r="G43" i="22" s="1"/>
  <c r="K41" i="4"/>
  <c r="H40" i="22" s="1"/>
  <c r="F45" i="4"/>
  <c r="J67" i="26" s="1"/>
  <c r="E41" i="4"/>
  <c r="F40" i="22" s="1"/>
  <c r="E47" i="4"/>
  <c r="F46" i="22" s="1"/>
  <c r="E46" i="4"/>
  <c r="E44" i="4"/>
  <c r="F43" i="22" s="1"/>
  <c r="E42" i="4"/>
  <c r="F41" i="22" s="1"/>
  <c r="E40" i="4"/>
  <c r="F39" i="22" s="1"/>
  <c r="E49" i="4"/>
  <c r="F48" i="22" s="1"/>
  <c r="E39" i="4"/>
  <c r="L47" i="4"/>
  <c r="R70" i="26" s="1"/>
  <c r="L44" i="4"/>
  <c r="R64" i="26" s="1"/>
  <c r="K43" i="4"/>
  <c r="H42" i="22" s="1"/>
  <c r="M39" i="4"/>
  <c r="S57" i="26" s="1"/>
  <c r="M48" i="4"/>
  <c r="S71" i="26" s="1"/>
  <c r="L45" i="4"/>
  <c r="R67" i="26" s="1"/>
  <c r="M40" i="4"/>
  <c r="K39" i="4"/>
  <c r="L48" i="4"/>
  <c r="R71" i="26" s="1"/>
  <c r="K45" i="4"/>
  <c r="H44" i="22" s="1"/>
  <c r="L40" i="4"/>
  <c r="M49" i="4"/>
  <c r="S72" i="26" s="1"/>
  <c r="K48" i="4"/>
  <c r="H47" i="22" s="1"/>
  <c r="M46" i="4"/>
  <c r="S68" i="26" s="1"/>
  <c r="M42" i="4"/>
  <c r="S62" i="26" s="1"/>
  <c r="K40" i="4"/>
  <c r="H39" i="22" s="1"/>
  <c r="L49" i="4"/>
  <c r="R72" i="26" s="1"/>
  <c r="L46" i="4"/>
  <c r="R68" i="26" s="1"/>
  <c r="L42" i="4"/>
  <c r="R62" i="26" s="1"/>
  <c r="M41" i="4"/>
  <c r="S59" i="26" s="1"/>
  <c r="K47" i="4"/>
  <c r="H46" i="22" s="1"/>
  <c r="M45" i="4"/>
  <c r="S67" i="26" s="1"/>
  <c r="K44" i="4"/>
  <c r="H43" i="22" s="1"/>
  <c r="L39" i="4"/>
  <c r="R57" i="26" s="1"/>
  <c r="K49" i="4"/>
  <c r="H48" i="22" s="1"/>
  <c r="K46" i="4"/>
  <c r="M43" i="4"/>
  <c r="S63" i="26" s="1"/>
  <c r="K42" i="4"/>
  <c r="H41" i="22" s="1"/>
  <c r="H42" i="4"/>
  <c r="G41" i="22" s="1"/>
  <c r="J41" i="4"/>
  <c r="O60" i="26" s="1"/>
  <c r="U60" i="26" s="1"/>
  <c r="J40" i="4"/>
  <c r="I41" i="4"/>
  <c r="N60" i="26" s="1"/>
  <c r="T60" i="26" s="1"/>
  <c r="I40" i="4"/>
  <c r="J39" i="4"/>
  <c r="O58" i="26" s="1"/>
  <c r="U58" i="26" s="1"/>
  <c r="H41" i="4"/>
  <c r="G40" i="22" s="1"/>
  <c r="H40" i="4"/>
  <c r="G39" i="22" s="1"/>
  <c r="I39" i="4"/>
  <c r="N58" i="26" s="1"/>
  <c r="T58" i="26" s="1"/>
  <c r="H39" i="4"/>
  <c r="J49" i="4"/>
  <c r="O72" i="26" s="1"/>
  <c r="J48" i="4"/>
  <c r="O71" i="26" s="1"/>
  <c r="J46" i="4"/>
  <c r="O69" i="26" s="1"/>
  <c r="U69" i="26" s="1"/>
  <c r="H49" i="4"/>
  <c r="G48" i="22" s="1"/>
  <c r="I48" i="4"/>
  <c r="N71" i="26" s="1"/>
  <c r="I47" i="4"/>
  <c r="N70" i="26" s="1"/>
  <c r="I46" i="4"/>
  <c r="N69" i="26" s="1"/>
  <c r="T69" i="26" s="1"/>
  <c r="I45" i="4"/>
  <c r="N67" i="26" s="1"/>
  <c r="J44" i="4"/>
  <c r="O64" i="26" s="1"/>
  <c r="H43" i="4"/>
  <c r="G42" i="22" s="1"/>
  <c r="I49" i="4"/>
  <c r="N72" i="26" s="1"/>
  <c r="J47" i="4"/>
  <c r="O70" i="26" s="1"/>
  <c r="J45" i="4"/>
  <c r="O67" i="26" s="1"/>
  <c r="H48" i="4"/>
  <c r="G47" i="22" s="1"/>
  <c r="H47" i="4"/>
  <c r="G46" i="22" s="1"/>
  <c r="H46" i="4"/>
  <c r="H45" i="4"/>
  <c r="G44" i="22" s="1"/>
  <c r="I44" i="4"/>
  <c r="N64" i="26" s="1"/>
  <c r="J43" i="4"/>
  <c r="O63" i="26" s="1"/>
  <c r="R39" i="4"/>
  <c r="G39" i="4"/>
  <c r="K57" i="26" s="1"/>
  <c r="F39" i="4"/>
  <c r="J57" i="26" s="1"/>
  <c r="R48" i="4"/>
  <c r="G48" i="4"/>
  <c r="K71" i="26" s="1"/>
  <c r="F46" i="4"/>
  <c r="J68" i="26" s="1"/>
  <c r="R43" i="4"/>
  <c r="F48" i="4"/>
  <c r="J71" i="26" s="1"/>
  <c r="G43" i="4"/>
  <c r="K63" i="26" s="1"/>
  <c r="R41" i="4"/>
  <c r="G41" i="4"/>
  <c r="K59" i="26" s="1"/>
  <c r="F49" i="4"/>
  <c r="J72" i="26" s="1"/>
  <c r="F44" i="4"/>
  <c r="J64" i="26" s="1"/>
  <c r="R46" i="4"/>
  <c r="G46" i="4"/>
  <c r="K68" i="26" s="1"/>
  <c r="R45" i="4"/>
  <c r="G45" i="4"/>
  <c r="K67" i="26" s="1"/>
  <c r="F43" i="4"/>
  <c r="J63" i="26" s="1"/>
  <c r="F41" i="4"/>
  <c r="J59" i="26" s="1"/>
  <c r="T59" i="26" s="1"/>
  <c r="R47" i="4"/>
  <c r="G47" i="4"/>
  <c r="K70" i="26" s="1"/>
  <c r="R49" i="4"/>
  <c r="F47" i="4"/>
  <c r="J70" i="26" s="1"/>
  <c r="R42" i="4"/>
  <c r="G42" i="4"/>
  <c r="K62" i="26" s="1"/>
  <c r="R40" i="4"/>
  <c r="E38" i="4"/>
  <c r="F37" i="22" s="1"/>
  <c r="K38" i="4"/>
  <c r="H37" i="22" s="1"/>
  <c r="I38" i="4"/>
  <c r="N55" i="26" s="1"/>
  <c r="T55" i="26" s="1"/>
  <c r="G38" i="4"/>
  <c r="K54" i="26" s="1"/>
  <c r="U59" i="26" l="1"/>
  <c r="F38" i="22"/>
  <c r="G51" i="29"/>
  <c r="F45" i="22"/>
  <c r="G69" i="29"/>
  <c r="G68" i="29"/>
  <c r="H38" i="22"/>
  <c r="K51" i="29"/>
  <c r="H45" i="22"/>
  <c r="K69" i="29"/>
  <c r="K68" i="29"/>
  <c r="G45" i="22"/>
  <c r="I69" i="29"/>
  <c r="I68" i="29"/>
  <c r="G38" i="22"/>
  <c r="I51" i="29"/>
  <c r="H63" i="26"/>
  <c r="F46" i="31"/>
  <c r="F48" i="31"/>
  <c r="H68" i="26"/>
  <c r="P72" i="26"/>
  <c r="P57" i="26"/>
  <c r="H48" i="31"/>
  <c r="P64" i="26"/>
  <c r="P54" i="26"/>
  <c r="P70" i="26"/>
  <c r="P71" i="26"/>
  <c r="P62" i="26"/>
  <c r="P63" i="26"/>
  <c r="P59" i="26"/>
  <c r="P68" i="26"/>
  <c r="P67" i="26"/>
  <c r="L60" i="26"/>
  <c r="L72" i="26"/>
  <c r="L63" i="26"/>
  <c r="L67" i="26"/>
  <c r="G48" i="31"/>
  <c r="L69" i="26"/>
  <c r="L58" i="26"/>
  <c r="L64" i="26"/>
  <c r="L70" i="26"/>
  <c r="L62" i="26"/>
  <c r="L71" i="26"/>
  <c r="E49" i="31"/>
  <c r="G28" i="7"/>
  <c r="H64" i="26"/>
  <c r="G60" i="7"/>
  <c r="H54" i="26"/>
  <c r="G8" i="7"/>
  <c r="H70" i="26"/>
  <c r="G21" i="7"/>
  <c r="H62" i="26"/>
  <c r="G3" i="7"/>
  <c r="H59" i="26"/>
  <c r="G51" i="7"/>
  <c r="H57" i="26"/>
  <c r="U68" i="26"/>
  <c r="G10" i="7"/>
  <c r="H72" i="26"/>
  <c r="T68" i="26"/>
  <c r="T57" i="26"/>
  <c r="T70" i="26"/>
  <c r="T15" i="26"/>
  <c r="U57" i="26"/>
  <c r="T71" i="26"/>
  <c r="U70" i="26"/>
  <c r="U67" i="26"/>
  <c r="T67" i="26"/>
  <c r="U72" i="26"/>
  <c r="T72" i="26"/>
  <c r="T63" i="26"/>
  <c r="U62" i="26"/>
  <c r="U63" i="26"/>
  <c r="T64" i="26"/>
  <c r="U71" i="26"/>
  <c r="T62" i="26"/>
  <c r="U64" i="26"/>
  <c r="F15" i="26"/>
  <c r="G70" i="7"/>
  <c r="G69" i="7"/>
  <c r="G68" i="7"/>
  <c r="G21" i="29"/>
  <c r="G61" i="29"/>
  <c r="G28" i="29"/>
  <c r="G72" i="29"/>
  <c r="G71" i="29"/>
  <c r="G70" i="29"/>
  <c r="G8" i="29"/>
  <c r="G3" i="29"/>
  <c r="G10" i="29"/>
  <c r="K23" i="29"/>
  <c r="K3" i="29"/>
  <c r="K10" i="29"/>
  <c r="K70" i="29"/>
  <c r="K72" i="29"/>
  <c r="K71" i="29"/>
  <c r="K28" i="29"/>
  <c r="K61" i="29"/>
  <c r="K8" i="29"/>
  <c r="K9" i="29"/>
  <c r="K21" i="29"/>
  <c r="I3" i="29"/>
  <c r="I10" i="29"/>
  <c r="I28" i="29"/>
  <c r="I9" i="29"/>
  <c r="I23" i="29"/>
  <c r="I72" i="29"/>
  <c r="I71" i="29"/>
  <c r="I70" i="29"/>
  <c r="I8" i="29"/>
  <c r="I21" i="29"/>
  <c r="E4" i="29"/>
  <c r="O50" i="4"/>
  <c r="F45" i="31"/>
  <c r="F37" i="31"/>
  <c r="F38" i="31"/>
  <c r="F39" i="31"/>
  <c r="F43" i="31"/>
  <c r="F47" i="31"/>
  <c r="F41" i="31"/>
  <c r="F40" i="31"/>
  <c r="F42" i="31"/>
  <c r="F44" i="31"/>
  <c r="H41" i="31"/>
  <c r="H44" i="31"/>
  <c r="H43" i="31"/>
  <c r="H37" i="31"/>
  <c r="H47" i="31"/>
  <c r="H38" i="31"/>
  <c r="H39" i="31"/>
  <c r="H42" i="31"/>
  <c r="H40" i="31"/>
  <c r="Q51" i="4"/>
  <c r="H45" i="31"/>
  <c r="H46" i="31"/>
  <c r="M5" i="7"/>
  <c r="G44" i="31"/>
  <c r="G38" i="31"/>
  <c r="G43" i="31"/>
  <c r="G40" i="31"/>
  <c r="G45" i="31"/>
  <c r="G46" i="31"/>
  <c r="G39" i="31"/>
  <c r="G47" i="31"/>
  <c r="G42" i="31"/>
  <c r="G41" i="31"/>
  <c r="E4" i="7"/>
  <c r="H49" i="30" s="1"/>
  <c r="F49" i="30" s="1"/>
  <c r="N50" i="4"/>
  <c r="D49" i="22" s="1"/>
  <c r="I49" i="22" s="1"/>
  <c r="K68" i="7"/>
  <c r="K69" i="7" s="1"/>
  <c r="K70" i="7" s="1"/>
  <c r="I68" i="7"/>
  <c r="D43" i="4"/>
  <c r="E42" i="22" s="1"/>
  <c r="D40" i="4"/>
  <c r="E39" i="22" s="1"/>
  <c r="D41" i="4"/>
  <c r="E40" i="22" s="1"/>
  <c r="D42" i="4"/>
  <c r="E41" i="22" s="1"/>
  <c r="D45" i="4"/>
  <c r="E44" i="22" s="1"/>
  <c r="D46" i="4"/>
  <c r="D44" i="4"/>
  <c r="E43" i="22" s="1"/>
  <c r="D39" i="4"/>
  <c r="D49" i="4"/>
  <c r="E48" i="22" s="1"/>
  <c r="D47" i="4"/>
  <c r="E46" i="22" s="1"/>
  <c r="D48" i="4"/>
  <c r="E47" i="22" s="1"/>
  <c r="O40" i="4"/>
  <c r="N43" i="4"/>
  <c r="D42" i="22" s="1"/>
  <c r="I42" i="22" s="1"/>
  <c r="O44" i="4"/>
  <c r="O49" i="4"/>
  <c r="N42" i="4"/>
  <c r="D41" i="22" s="1"/>
  <c r="I41" i="22" s="1"/>
  <c r="N40" i="4"/>
  <c r="D39" i="22" s="1"/>
  <c r="I39" i="22" s="1"/>
  <c r="O41" i="4"/>
  <c r="N45" i="4"/>
  <c r="D44" i="22" s="1"/>
  <c r="I44" i="22" s="1"/>
  <c r="N48" i="4"/>
  <c r="D47" i="22" s="1"/>
  <c r="I47" i="22" s="1"/>
  <c r="N44" i="4"/>
  <c r="D43" i="22" s="1"/>
  <c r="I43" i="22" s="1"/>
  <c r="N41" i="4"/>
  <c r="D40" i="22" s="1"/>
  <c r="I40" i="22" s="1"/>
  <c r="O39" i="4"/>
  <c r="O42" i="4"/>
  <c r="O46" i="4"/>
  <c r="O43" i="4"/>
  <c r="O47" i="4"/>
  <c r="O48" i="4"/>
  <c r="N47" i="4"/>
  <c r="D46" i="22" s="1"/>
  <c r="I46" i="22" s="1"/>
  <c r="N39" i="4"/>
  <c r="D38" i="22" s="1"/>
  <c r="I38" i="22" s="1"/>
  <c r="N46" i="4"/>
  <c r="D45" i="22" s="1"/>
  <c r="I45" i="22" s="1"/>
  <c r="N49" i="4"/>
  <c r="D48" i="22" s="1"/>
  <c r="I48" i="22" s="1"/>
  <c r="O45" i="4"/>
  <c r="R38" i="4"/>
  <c r="D38" i="4" s="1"/>
  <c r="E37" i="22" s="1"/>
  <c r="M38" i="4"/>
  <c r="S54" i="26" s="1"/>
  <c r="U54" i="26" s="1"/>
  <c r="L38" i="4"/>
  <c r="R54" i="26" s="1"/>
  <c r="J38" i="4"/>
  <c r="O55" i="26" s="1"/>
  <c r="U55" i="26" s="1"/>
  <c r="H38" i="4"/>
  <c r="G37" i="22" s="1"/>
  <c r="F38" i="4"/>
  <c r="J54" i="26" s="1"/>
  <c r="E38" i="22" l="1"/>
  <c r="E51" i="29"/>
  <c r="E45" i="22"/>
  <c r="E69" i="29"/>
  <c r="E68" i="29"/>
  <c r="L55" i="26"/>
  <c r="D51" i="7"/>
  <c r="F67" i="26"/>
  <c r="E21" i="7"/>
  <c r="E48" i="31"/>
  <c r="D49" i="31"/>
  <c r="I49" i="31" s="1"/>
  <c r="F54" i="26"/>
  <c r="G61" i="7"/>
  <c r="E28" i="7"/>
  <c r="T54" i="26"/>
  <c r="F71" i="26"/>
  <c r="F59" i="26"/>
  <c r="F70" i="26"/>
  <c r="F72" i="26"/>
  <c r="F57" i="26"/>
  <c r="F68" i="26"/>
  <c r="E28" i="29"/>
  <c r="E23" i="29"/>
  <c r="E21" i="29"/>
  <c r="I61" i="29"/>
  <c r="E70" i="29"/>
  <c r="E71" i="29"/>
  <c r="E72" i="29"/>
  <c r="E10" i="29"/>
  <c r="E9" i="29"/>
  <c r="E3" i="29"/>
  <c r="E61" i="29"/>
  <c r="E8" i="29"/>
  <c r="G37" i="31"/>
  <c r="E37" i="31"/>
  <c r="E40" i="31"/>
  <c r="E39" i="31"/>
  <c r="D40" i="31"/>
  <c r="I40" i="31" s="1"/>
  <c r="E45" i="31"/>
  <c r="D47" i="31"/>
  <c r="I47" i="31" s="1"/>
  <c r="D44" i="31"/>
  <c r="I44" i="31" s="1"/>
  <c r="E47" i="31"/>
  <c r="E41" i="31"/>
  <c r="D39" i="31"/>
  <c r="I39" i="31" s="1"/>
  <c r="E38" i="31"/>
  <c r="D4" i="7"/>
  <c r="G49" i="30" s="1"/>
  <c r="D48" i="31"/>
  <c r="I48" i="31" s="1"/>
  <c r="D38" i="31"/>
  <c r="I38" i="31" s="1"/>
  <c r="D45" i="31"/>
  <c r="I45" i="31" s="1"/>
  <c r="D42" i="31"/>
  <c r="I42" i="31" s="1"/>
  <c r="D41" i="31"/>
  <c r="I41" i="31" s="1"/>
  <c r="E42" i="31"/>
  <c r="D46" i="31"/>
  <c r="I46" i="31" s="1"/>
  <c r="E44" i="31"/>
  <c r="E46" i="31"/>
  <c r="D43" i="31"/>
  <c r="I43" i="31" s="1"/>
  <c r="E43" i="31"/>
  <c r="I69" i="7"/>
  <c r="I70" i="7" s="1"/>
  <c r="E68" i="7"/>
  <c r="H45" i="30" s="1"/>
  <c r="F45" i="30" s="1"/>
  <c r="D68" i="7"/>
  <c r="G45" i="30" s="1"/>
  <c r="D28" i="7"/>
  <c r="G43" i="30" s="1"/>
  <c r="D90" i="7"/>
  <c r="G5" i="32" s="1"/>
  <c r="D3" i="7"/>
  <c r="G40" i="30" s="1"/>
  <c r="D84" i="7"/>
  <c r="G3" i="32" s="1"/>
  <c r="G2" i="32"/>
  <c r="N38" i="4"/>
  <c r="D37" i="22" s="1"/>
  <c r="I37" i="22" s="1"/>
  <c r="O38" i="4"/>
  <c r="B98" i="7"/>
  <c r="D87" i="7" l="1"/>
  <c r="M87" i="7" s="1"/>
  <c r="N87" i="7" s="1"/>
  <c r="G38" i="30"/>
  <c r="H5" i="32"/>
  <c r="H3" i="32"/>
  <c r="M4" i="7"/>
  <c r="Q50" i="4"/>
  <c r="D37" i="31"/>
  <c r="I37" i="31" s="1"/>
  <c r="C113" i="7"/>
  <c r="M90" i="7"/>
  <c r="N90" i="7" s="1"/>
  <c r="D69" i="7"/>
  <c r="D70" i="7" s="1"/>
  <c r="M70" i="7" s="1"/>
  <c r="M81" i="7"/>
  <c r="E69" i="7"/>
  <c r="E70" i="7" s="1"/>
  <c r="M84" i="7"/>
  <c r="N84" i="7" s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30" i="4"/>
  <c r="P31" i="4"/>
  <c r="P32" i="4"/>
  <c r="P34" i="4"/>
  <c r="P35" i="4"/>
  <c r="P36" i="4"/>
  <c r="P37" i="4"/>
  <c r="P3" i="4"/>
  <c r="G10" i="32" l="1"/>
  <c r="H10" i="32" s="1"/>
  <c r="F5" i="32"/>
  <c r="F3" i="32"/>
  <c r="H2" i="32"/>
  <c r="I3" i="4"/>
  <c r="N7" i="26" s="1"/>
  <c r="E35" i="4"/>
  <c r="F34" i="22" s="1"/>
  <c r="G25" i="7" l="1"/>
  <c r="H45" i="26"/>
  <c r="F10" i="32"/>
  <c r="G25" i="29"/>
  <c r="F34" i="31"/>
  <c r="F2" i="32"/>
  <c r="E5" i="4"/>
  <c r="F4" i="22" s="1"/>
  <c r="E4" i="4"/>
  <c r="F3" i="22" s="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" i="11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H3" i="10"/>
  <c r="H2" i="10"/>
  <c r="H1" i="10"/>
  <c r="H148" i="9"/>
  <c r="H147" i="9"/>
  <c r="H146" i="9"/>
  <c r="H145" i="9"/>
  <c r="H144" i="9"/>
  <c r="H143" i="9"/>
  <c r="H142" i="9"/>
  <c r="H141" i="9"/>
  <c r="H140" i="9"/>
  <c r="H139" i="9"/>
  <c r="H138" i="9"/>
  <c r="H137" i="9"/>
  <c r="H136" i="9"/>
  <c r="H135" i="9"/>
  <c r="H134" i="9"/>
  <c r="H133" i="9"/>
  <c r="H132" i="9"/>
  <c r="H131" i="9"/>
  <c r="H130" i="9"/>
  <c r="H129" i="9"/>
  <c r="H128" i="9"/>
  <c r="H127" i="9"/>
  <c r="H126" i="9"/>
  <c r="H125" i="9"/>
  <c r="H124" i="9"/>
  <c r="H123" i="9"/>
  <c r="H122" i="9"/>
  <c r="H121" i="9"/>
  <c r="H120" i="9"/>
  <c r="H119" i="9"/>
  <c r="H118" i="9"/>
  <c r="H117" i="9"/>
  <c r="H116" i="9"/>
  <c r="H115" i="9"/>
  <c r="H114" i="9"/>
  <c r="H113" i="9"/>
  <c r="H112" i="9"/>
  <c r="H111" i="9"/>
  <c r="H110" i="9"/>
  <c r="H109" i="9"/>
  <c r="H108" i="9"/>
  <c r="H107" i="9"/>
  <c r="H106" i="9"/>
  <c r="H105" i="9"/>
  <c r="H104" i="9"/>
  <c r="H103" i="9"/>
  <c r="H102" i="9"/>
  <c r="H101" i="9"/>
  <c r="H100" i="9"/>
  <c r="H99" i="9"/>
  <c r="H98" i="9"/>
  <c r="H97" i="9"/>
  <c r="H96" i="9"/>
  <c r="H95" i="9"/>
  <c r="H94" i="9"/>
  <c r="H93" i="9"/>
  <c r="H92" i="9"/>
  <c r="H91" i="9"/>
  <c r="H90" i="9"/>
  <c r="H89" i="9"/>
  <c r="H88" i="9"/>
  <c r="H87" i="9"/>
  <c r="H86" i="9"/>
  <c r="H85" i="9"/>
  <c r="H84" i="9"/>
  <c r="H83" i="9"/>
  <c r="H82" i="9"/>
  <c r="H81" i="9"/>
  <c r="H80" i="9"/>
  <c r="H79" i="9"/>
  <c r="H78" i="9"/>
  <c r="H77" i="9"/>
  <c r="H76" i="9"/>
  <c r="H75" i="9"/>
  <c r="H74" i="9"/>
  <c r="H73" i="9"/>
  <c r="H72" i="9"/>
  <c r="H71" i="9"/>
  <c r="H70" i="9"/>
  <c r="H69" i="9"/>
  <c r="H68" i="9"/>
  <c r="H67" i="9"/>
  <c r="H6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1" i="9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" i="8"/>
  <c r="G75" i="7" l="1"/>
  <c r="H8" i="26"/>
  <c r="G22" i="7"/>
  <c r="H9" i="26"/>
  <c r="G77" i="29"/>
  <c r="G22" i="29"/>
  <c r="F3" i="31"/>
  <c r="F4" i="31"/>
  <c r="E30" i="4"/>
  <c r="F29" i="22" s="1"/>
  <c r="E3" i="4"/>
  <c r="E18" i="4"/>
  <c r="E11" i="4"/>
  <c r="E36" i="4"/>
  <c r="E26" i="4"/>
  <c r="F25" i="22" s="1"/>
  <c r="E14" i="4"/>
  <c r="F13" i="22" s="1"/>
  <c r="E9" i="4"/>
  <c r="E34" i="4"/>
  <c r="E32" i="4"/>
  <c r="F31" i="22" s="1"/>
  <c r="E28" i="4"/>
  <c r="F27" i="22" s="1"/>
  <c r="E24" i="4"/>
  <c r="F23" i="22" s="1"/>
  <c r="E20" i="4"/>
  <c r="F19" i="22" s="1"/>
  <c r="E16" i="4"/>
  <c r="F15" i="22" s="1"/>
  <c r="E13" i="4"/>
  <c r="E10" i="4"/>
  <c r="F9" i="22" s="1"/>
  <c r="E7" i="4"/>
  <c r="F6" i="22" s="1"/>
  <c r="E37" i="4"/>
  <c r="E31" i="4"/>
  <c r="F30" i="22" s="1"/>
  <c r="E29" i="4"/>
  <c r="F28" i="22" s="1"/>
  <c r="E27" i="4"/>
  <c r="E25" i="4"/>
  <c r="F24" i="22" s="1"/>
  <c r="E23" i="4"/>
  <c r="E22" i="4"/>
  <c r="F21" i="22" s="1"/>
  <c r="E21" i="4"/>
  <c r="E19" i="4"/>
  <c r="F18" i="22" s="1"/>
  <c r="E17" i="4"/>
  <c r="F16" i="22" s="1"/>
  <c r="E15" i="4"/>
  <c r="F14" i="22" s="1"/>
  <c r="E12" i="4"/>
  <c r="E8" i="4"/>
  <c r="E6" i="4"/>
  <c r="F5" i="22" s="1"/>
  <c r="H18" i="26" l="1"/>
  <c r="F12" i="22"/>
  <c r="F22" i="22"/>
  <c r="G47" i="29"/>
  <c r="F35" i="22"/>
  <c r="G65" i="29"/>
  <c r="F17" i="22"/>
  <c r="G74" i="29"/>
  <c r="H17" i="26"/>
  <c r="F11" i="22"/>
  <c r="F26" i="22"/>
  <c r="G62" i="29"/>
  <c r="H16" i="26"/>
  <c r="F10" i="22"/>
  <c r="G29" i="29"/>
  <c r="F36" i="22"/>
  <c r="G40" i="29"/>
  <c r="F8" i="22"/>
  <c r="G32" i="29"/>
  <c r="F7" i="22"/>
  <c r="G52" i="29"/>
  <c r="F20" i="22"/>
  <c r="G56" i="29"/>
  <c r="F33" i="22"/>
  <c r="G73" i="29"/>
  <c r="H33" i="26"/>
  <c r="H21" i="26"/>
  <c r="H34" i="26"/>
  <c r="H35" i="26"/>
  <c r="H22" i="26"/>
  <c r="H38" i="26"/>
  <c r="H36" i="26"/>
  <c r="H23" i="26"/>
  <c r="H26" i="26"/>
  <c r="H37" i="26"/>
  <c r="H24" i="26"/>
  <c r="H31" i="26"/>
  <c r="H19" i="26"/>
  <c r="G52" i="7"/>
  <c r="H12" i="26"/>
  <c r="G43" i="7"/>
  <c r="H25" i="26"/>
  <c r="G65" i="7"/>
  <c r="H49" i="26"/>
  <c r="G34" i="7"/>
  <c r="H20" i="26"/>
  <c r="G44" i="7"/>
  <c r="H32" i="26"/>
  <c r="G40" i="7"/>
  <c r="H52" i="26"/>
  <c r="G11" i="7"/>
  <c r="H39" i="26"/>
  <c r="G13" i="7"/>
  <c r="H7" i="26"/>
  <c r="G57" i="7"/>
  <c r="H11" i="26"/>
  <c r="G73" i="7"/>
  <c r="H43" i="26"/>
  <c r="G53" i="7"/>
  <c r="H28" i="26"/>
  <c r="G16" i="7"/>
  <c r="H14" i="26"/>
  <c r="G32" i="7"/>
  <c r="H13" i="26"/>
  <c r="G41" i="7"/>
  <c r="H10" i="26"/>
  <c r="G20" i="29"/>
  <c r="G20" i="7"/>
  <c r="G48" i="29"/>
  <c r="G47" i="7"/>
  <c r="G24" i="29"/>
  <c r="G24" i="7"/>
  <c r="G60" i="29"/>
  <c r="G59" i="7"/>
  <c r="G57" i="29"/>
  <c r="G56" i="7"/>
  <c r="G34" i="29"/>
  <c r="G33" i="7"/>
  <c r="G78" i="29"/>
  <c r="G76" i="7"/>
  <c r="G43" i="29"/>
  <c r="G42" i="7"/>
  <c r="G59" i="29"/>
  <c r="G58" i="7"/>
  <c r="G63" i="29"/>
  <c r="G62" i="7"/>
  <c r="G30" i="29"/>
  <c r="G29" i="7"/>
  <c r="G12" i="29"/>
  <c r="G12" i="7"/>
  <c r="G49" i="29"/>
  <c r="G48" i="7"/>
  <c r="G17" i="29"/>
  <c r="G17" i="7"/>
  <c r="G76" i="29"/>
  <c r="G74" i="7"/>
  <c r="G53" i="29"/>
  <c r="G44" i="29"/>
  <c r="G38" i="29"/>
  <c r="G45" i="29"/>
  <c r="G66" i="29"/>
  <c r="G42" i="29"/>
  <c r="G35" i="29"/>
  <c r="G41" i="29"/>
  <c r="G11" i="29"/>
  <c r="G58" i="29"/>
  <c r="G75" i="29"/>
  <c r="G13" i="29"/>
  <c r="E54" i="4"/>
  <c r="G54" i="29"/>
  <c r="G16" i="29"/>
  <c r="G33" i="29"/>
  <c r="F12" i="31"/>
  <c r="F26" i="31"/>
  <c r="F27" i="31"/>
  <c r="F20" i="31"/>
  <c r="F32" i="31"/>
  <c r="F25" i="31"/>
  <c r="F24" i="31"/>
  <c r="F35" i="31"/>
  <c r="F11" i="31"/>
  <c r="F17" i="31"/>
  <c r="F28" i="31"/>
  <c r="F10" i="31"/>
  <c r="F14" i="31"/>
  <c r="F13" i="31"/>
  <c r="F19" i="31"/>
  <c r="F36" i="31"/>
  <c r="F31" i="31"/>
  <c r="F18" i="31"/>
  <c r="F23" i="31"/>
  <c r="F15" i="31"/>
  <c r="F21" i="31"/>
  <c r="F6" i="31"/>
  <c r="F33" i="31"/>
  <c r="F7" i="31"/>
  <c r="F16" i="31"/>
  <c r="F30" i="31"/>
  <c r="F5" i="31"/>
  <c r="F22" i="31"/>
  <c r="F9" i="31"/>
  <c r="F8" i="31"/>
  <c r="F29" i="31"/>
  <c r="G2" i="29"/>
  <c r="F2" i="31"/>
  <c r="F2" i="22"/>
  <c r="H4" i="4" l="1"/>
  <c r="I4" i="4"/>
  <c r="N8" i="26" s="1"/>
  <c r="J4" i="4"/>
  <c r="O8" i="26" s="1"/>
  <c r="H5" i="4"/>
  <c r="I5" i="4"/>
  <c r="N9" i="26" s="1"/>
  <c r="J5" i="4"/>
  <c r="O9" i="26" s="1"/>
  <c r="H6" i="4"/>
  <c r="I6" i="4"/>
  <c r="N10" i="26" s="1"/>
  <c r="J6" i="4"/>
  <c r="O10" i="26" s="1"/>
  <c r="H7" i="4"/>
  <c r="I7" i="4"/>
  <c r="N11" i="26" s="1"/>
  <c r="J7" i="4"/>
  <c r="O11" i="26" s="1"/>
  <c r="H8" i="4"/>
  <c r="I8" i="4"/>
  <c r="N12" i="26" s="1"/>
  <c r="J8" i="4"/>
  <c r="O12" i="26" s="1"/>
  <c r="H9" i="4"/>
  <c r="I9" i="4"/>
  <c r="N13" i="26" s="1"/>
  <c r="J9" i="4"/>
  <c r="O13" i="26" s="1"/>
  <c r="H10" i="4"/>
  <c r="I10" i="4"/>
  <c r="N14" i="26" s="1"/>
  <c r="J10" i="4"/>
  <c r="O14" i="26" s="1"/>
  <c r="H11" i="4"/>
  <c r="I11" i="4"/>
  <c r="N16" i="26" s="1"/>
  <c r="J11" i="4"/>
  <c r="O16" i="26" s="1"/>
  <c r="H12" i="4"/>
  <c r="G11" i="22" s="1"/>
  <c r="I12" i="4"/>
  <c r="N17" i="26" s="1"/>
  <c r="J12" i="4"/>
  <c r="O17" i="26" s="1"/>
  <c r="H13" i="4"/>
  <c r="G12" i="22" s="1"/>
  <c r="I13" i="4"/>
  <c r="N18" i="26" s="1"/>
  <c r="J13" i="4"/>
  <c r="O18" i="26" s="1"/>
  <c r="H14" i="4"/>
  <c r="G13" i="22" s="1"/>
  <c r="I14" i="4"/>
  <c r="N19" i="26" s="1"/>
  <c r="J14" i="4"/>
  <c r="O19" i="26" s="1"/>
  <c r="H15" i="4"/>
  <c r="G14" i="22" s="1"/>
  <c r="I15" i="4"/>
  <c r="N20" i="26" s="1"/>
  <c r="J15" i="4"/>
  <c r="O20" i="26" s="1"/>
  <c r="H16" i="4"/>
  <c r="G15" i="22" s="1"/>
  <c r="I16" i="4"/>
  <c r="N21" i="26" s="1"/>
  <c r="J16" i="4"/>
  <c r="O21" i="26" s="1"/>
  <c r="H17" i="4"/>
  <c r="G16" i="22" s="1"/>
  <c r="I17" i="4"/>
  <c r="N22" i="26" s="1"/>
  <c r="J17" i="4"/>
  <c r="O22" i="26" s="1"/>
  <c r="H18" i="4"/>
  <c r="I18" i="4"/>
  <c r="N23" i="26" s="1"/>
  <c r="J18" i="4"/>
  <c r="O23" i="26" s="1"/>
  <c r="H19" i="4"/>
  <c r="G18" i="22" s="1"/>
  <c r="I19" i="4"/>
  <c r="N24" i="26" s="1"/>
  <c r="J19" i="4"/>
  <c r="O24" i="26" s="1"/>
  <c r="H20" i="4"/>
  <c r="G19" i="22" s="1"/>
  <c r="I20" i="4"/>
  <c r="N25" i="26" s="1"/>
  <c r="J20" i="4"/>
  <c r="O25" i="26" s="1"/>
  <c r="H21" i="4"/>
  <c r="I21" i="4"/>
  <c r="N26" i="26" s="1"/>
  <c r="J21" i="4"/>
  <c r="O26" i="26" s="1"/>
  <c r="H22" i="4"/>
  <c r="G21" i="22" s="1"/>
  <c r="I22" i="4"/>
  <c r="N28" i="26" s="1"/>
  <c r="J22" i="4"/>
  <c r="O28" i="26" s="1"/>
  <c r="H23" i="4"/>
  <c r="I23" i="4"/>
  <c r="N31" i="26" s="1"/>
  <c r="J23" i="4"/>
  <c r="O31" i="26" s="1"/>
  <c r="H24" i="4"/>
  <c r="G23" i="22" s="1"/>
  <c r="I24" i="4"/>
  <c r="N32" i="26" s="1"/>
  <c r="J24" i="4"/>
  <c r="O32" i="26" s="1"/>
  <c r="H25" i="4"/>
  <c r="G24" i="22" s="1"/>
  <c r="I25" i="4"/>
  <c r="N33" i="26" s="1"/>
  <c r="J25" i="4"/>
  <c r="O33" i="26" s="1"/>
  <c r="H26" i="4"/>
  <c r="G25" i="22" s="1"/>
  <c r="I26" i="4"/>
  <c r="N34" i="26" s="1"/>
  <c r="J26" i="4"/>
  <c r="O34" i="26" s="1"/>
  <c r="H27" i="4"/>
  <c r="I27" i="4"/>
  <c r="N35" i="26" s="1"/>
  <c r="J27" i="4"/>
  <c r="O35" i="26" s="1"/>
  <c r="H28" i="4"/>
  <c r="G27" i="22" s="1"/>
  <c r="I28" i="4"/>
  <c r="N36" i="26" s="1"/>
  <c r="J28" i="4"/>
  <c r="O36" i="26" s="1"/>
  <c r="H29" i="4"/>
  <c r="G28" i="22" s="1"/>
  <c r="I29" i="4"/>
  <c r="J29" i="4"/>
  <c r="H30" i="4"/>
  <c r="G29" i="22" s="1"/>
  <c r="I30" i="4"/>
  <c r="N37" i="26" s="1"/>
  <c r="J30" i="4"/>
  <c r="O37" i="26" s="1"/>
  <c r="H31" i="4"/>
  <c r="G30" i="22" s="1"/>
  <c r="I31" i="4"/>
  <c r="N38" i="26" s="1"/>
  <c r="J31" i="4"/>
  <c r="O38" i="26" s="1"/>
  <c r="H32" i="4"/>
  <c r="G31" i="22" s="1"/>
  <c r="I32" i="4"/>
  <c r="N40" i="26" s="1"/>
  <c r="T40" i="26" s="1"/>
  <c r="J32" i="4"/>
  <c r="O40" i="26" s="1"/>
  <c r="U40" i="26" s="1"/>
  <c r="H34" i="4"/>
  <c r="I34" i="4"/>
  <c r="N44" i="26" s="1"/>
  <c r="T44" i="26" s="1"/>
  <c r="J34" i="4"/>
  <c r="O44" i="26" s="1"/>
  <c r="U44" i="26" s="1"/>
  <c r="H35" i="4"/>
  <c r="G34" i="22" s="1"/>
  <c r="I35" i="4"/>
  <c r="N46" i="26" s="1"/>
  <c r="T46" i="26" s="1"/>
  <c r="J35" i="4"/>
  <c r="O46" i="26" s="1"/>
  <c r="U46" i="26" s="1"/>
  <c r="H36" i="4"/>
  <c r="I36" i="4"/>
  <c r="N50" i="26" s="1"/>
  <c r="T50" i="26" s="1"/>
  <c r="J36" i="4"/>
  <c r="O50" i="26" s="1"/>
  <c r="U50" i="26" s="1"/>
  <c r="H37" i="4"/>
  <c r="I37" i="4"/>
  <c r="N53" i="26" s="1"/>
  <c r="T53" i="26" s="1"/>
  <c r="J37" i="4"/>
  <c r="O53" i="26" s="1"/>
  <c r="U53" i="26" s="1"/>
  <c r="K4" i="4"/>
  <c r="H3" i="22" s="1"/>
  <c r="L4" i="4"/>
  <c r="R8" i="26" s="1"/>
  <c r="M4" i="4"/>
  <c r="S8" i="26" s="1"/>
  <c r="K5" i="4"/>
  <c r="H4" i="22" s="1"/>
  <c r="L5" i="4"/>
  <c r="R9" i="26" s="1"/>
  <c r="M5" i="4"/>
  <c r="S9" i="26" s="1"/>
  <c r="K6" i="4"/>
  <c r="H5" i="22" s="1"/>
  <c r="L6" i="4"/>
  <c r="R10" i="26" s="1"/>
  <c r="M6" i="4"/>
  <c r="S10" i="26" s="1"/>
  <c r="K7" i="4"/>
  <c r="H6" i="22" s="1"/>
  <c r="L7" i="4"/>
  <c r="R11" i="26" s="1"/>
  <c r="M7" i="4"/>
  <c r="S11" i="26" s="1"/>
  <c r="K8" i="4"/>
  <c r="L8" i="4"/>
  <c r="R12" i="26" s="1"/>
  <c r="M8" i="4"/>
  <c r="S12" i="26" s="1"/>
  <c r="K9" i="4"/>
  <c r="L9" i="4"/>
  <c r="R13" i="26" s="1"/>
  <c r="M9" i="4"/>
  <c r="S13" i="26" s="1"/>
  <c r="K10" i="4"/>
  <c r="L10" i="4"/>
  <c r="R14" i="26" s="1"/>
  <c r="M10" i="4"/>
  <c r="S14" i="26" s="1"/>
  <c r="K11" i="4"/>
  <c r="L11" i="4"/>
  <c r="R16" i="26" s="1"/>
  <c r="M11" i="4"/>
  <c r="S16" i="26" s="1"/>
  <c r="K12" i="4"/>
  <c r="H11" i="22" s="1"/>
  <c r="L12" i="4"/>
  <c r="R17" i="26" s="1"/>
  <c r="M12" i="4"/>
  <c r="S17" i="26" s="1"/>
  <c r="K13" i="4"/>
  <c r="H12" i="22" s="1"/>
  <c r="L13" i="4"/>
  <c r="R18" i="26" s="1"/>
  <c r="M13" i="4"/>
  <c r="S18" i="26" s="1"/>
  <c r="K14" i="4"/>
  <c r="H13" i="22" s="1"/>
  <c r="L14" i="4"/>
  <c r="R19" i="26" s="1"/>
  <c r="M14" i="4"/>
  <c r="S19" i="26" s="1"/>
  <c r="K15" i="4"/>
  <c r="H14" i="22" s="1"/>
  <c r="L15" i="4"/>
  <c r="R20" i="26" s="1"/>
  <c r="M15" i="4"/>
  <c r="S20" i="26" s="1"/>
  <c r="K16" i="4"/>
  <c r="H15" i="22" s="1"/>
  <c r="L16" i="4"/>
  <c r="R21" i="26" s="1"/>
  <c r="M16" i="4"/>
  <c r="S21" i="26" s="1"/>
  <c r="K17" i="4"/>
  <c r="H16" i="22" s="1"/>
  <c r="L17" i="4"/>
  <c r="R22" i="26" s="1"/>
  <c r="M17" i="4"/>
  <c r="S22" i="26" s="1"/>
  <c r="K18" i="4"/>
  <c r="L18" i="4"/>
  <c r="R23" i="26" s="1"/>
  <c r="M18" i="4"/>
  <c r="S23" i="26" s="1"/>
  <c r="K19" i="4"/>
  <c r="H18" i="22" s="1"/>
  <c r="L19" i="4"/>
  <c r="R24" i="26" s="1"/>
  <c r="M19" i="4"/>
  <c r="S24" i="26" s="1"/>
  <c r="K20" i="4"/>
  <c r="H19" i="22" s="1"/>
  <c r="L20" i="4"/>
  <c r="R25" i="26" s="1"/>
  <c r="M20" i="4"/>
  <c r="S25" i="26" s="1"/>
  <c r="K21" i="4"/>
  <c r="L21" i="4"/>
  <c r="R26" i="26" s="1"/>
  <c r="M21" i="4"/>
  <c r="S26" i="26" s="1"/>
  <c r="K22" i="4"/>
  <c r="H21" i="22" s="1"/>
  <c r="L22" i="4"/>
  <c r="R28" i="26" s="1"/>
  <c r="M22" i="4"/>
  <c r="S28" i="26" s="1"/>
  <c r="K23" i="4"/>
  <c r="L23" i="4"/>
  <c r="R31" i="26" s="1"/>
  <c r="M23" i="4"/>
  <c r="S31" i="26" s="1"/>
  <c r="K24" i="4"/>
  <c r="H23" i="22" s="1"/>
  <c r="L24" i="4"/>
  <c r="R32" i="26" s="1"/>
  <c r="M24" i="4"/>
  <c r="S32" i="26" s="1"/>
  <c r="K25" i="4"/>
  <c r="H24" i="22" s="1"/>
  <c r="L25" i="4"/>
  <c r="R33" i="26" s="1"/>
  <c r="M25" i="4"/>
  <c r="S33" i="26" s="1"/>
  <c r="K26" i="4"/>
  <c r="H25" i="22" s="1"/>
  <c r="L26" i="4"/>
  <c r="R34" i="26" s="1"/>
  <c r="M26" i="4"/>
  <c r="S34" i="26" s="1"/>
  <c r="K27" i="4"/>
  <c r="L27" i="4"/>
  <c r="R35" i="26" s="1"/>
  <c r="M27" i="4"/>
  <c r="S35" i="26" s="1"/>
  <c r="K28" i="4"/>
  <c r="H27" i="22" s="1"/>
  <c r="L28" i="4"/>
  <c r="R36" i="26" s="1"/>
  <c r="M28" i="4"/>
  <c r="S36" i="26" s="1"/>
  <c r="K29" i="4"/>
  <c r="H28" i="22" s="1"/>
  <c r="L29" i="4"/>
  <c r="M29" i="4"/>
  <c r="K30" i="4"/>
  <c r="H29" i="22" s="1"/>
  <c r="L30" i="4"/>
  <c r="R37" i="26" s="1"/>
  <c r="M30" i="4"/>
  <c r="S37" i="26" s="1"/>
  <c r="K31" i="4"/>
  <c r="H30" i="22" s="1"/>
  <c r="L31" i="4"/>
  <c r="R38" i="26" s="1"/>
  <c r="M31" i="4"/>
  <c r="S38" i="26" s="1"/>
  <c r="K32" i="4"/>
  <c r="H31" i="22" s="1"/>
  <c r="L32" i="4"/>
  <c r="R39" i="26" s="1"/>
  <c r="M32" i="4"/>
  <c r="S39" i="26" s="1"/>
  <c r="K34" i="4"/>
  <c r="L34" i="4"/>
  <c r="R43" i="26" s="1"/>
  <c r="M34" i="4"/>
  <c r="S43" i="26" s="1"/>
  <c r="K35" i="4"/>
  <c r="H34" i="22" s="1"/>
  <c r="L35" i="4"/>
  <c r="R45" i="26" s="1"/>
  <c r="M35" i="4"/>
  <c r="S45" i="26" s="1"/>
  <c r="K36" i="4"/>
  <c r="L36" i="4"/>
  <c r="R49" i="26" s="1"/>
  <c r="M36" i="4"/>
  <c r="S49" i="26" s="1"/>
  <c r="K37" i="4"/>
  <c r="L37" i="4"/>
  <c r="R52" i="26" s="1"/>
  <c r="M37" i="4"/>
  <c r="S52" i="26" s="1"/>
  <c r="M3" i="4"/>
  <c r="S7" i="26" s="1"/>
  <c r="L3" i="4"/>
  <c r="R7" i="26" s="1"/>
  <c r="K3" i="4"/>
  <c r="P7" i="26" s="1"/>
  <c r="J3" i="4"/>
  <c r="O7" i="26" s="1"/>
  <c r="G4" i="4"/>
  <c r="K8" i="26" s="1"/>
  <c r="G5" i="4"/>
  <c r="K9" i="26" s="1"/>
  <c r="G6" i="4"/>
  <c r="K10" i="26" s="1"/>
  <c r="G7" i="4"/>
  <c r="K11" i="26" s="1"/>
  <c r="G8" i="4"/>
  <c r="K12" i="26" s="1"/>
  <c r="G9" i="4"/>
  <c r="K13" i="26" s="1"/>
  <c r="G10" i="4"/>
  <c r="K14" i="26" s="1"/>
  <c r="G11" i="4"/>
  <c r="K16" i="26" s="1"/>
  <c r="G12" i="4"/>
  <c r="K17" i="26" s="1"/>
  <c r="G13" i="4"/>
  <c r="K18" i="26" s="1"/>
  <c r="G14" i="4"/>
  <c r="K19" i="26" s="1"/>
  <c r="G15" i="4"/>
  <c r="K20" i="26" s="1"/>
  <c r="G16" i="4"/>
  <c r="K21" i="26" s="1"/>
  <c r="G17" i="4"/>
  <c r="K22" i="26" s="1"/>
  <c r="G18" i="4"/>
  <c r="K23" i="26" s="1"/>
  <c r="G19" i="4"/>
  <c r="K24" i="26" s="1"/>
  <c r="G20" i="4"/>
  <c r="K25" i="26" s="1"/>
  <c r="G21" i="4"/>
  <c r="K26" i="26" s="1"/>
  <c r="G22" i="4"/>
  <c r="K28" i="26" s="1"/>
  <c r="G23" i="4"/>
  <c r="K31" i="26" s="1"/>
  <c r="G24" i="4"/>
  <c r="K32" i="26" s="1"/>
  <c r="G25" i="4"/>
  <c r="K33" i="26" s="1"/>
  <c r="G26" i="4"/>
  <c r="K34" i="26" s="1"/>
  <c r="G27" i="4"/>
  <c r="K35" i="26" s="1"/>
  <c r="G28" i="4"/>
  <c r="K36" i="26" s="1"/>
  <c r="G29" i="4"/>
  <c r="G30" i="4"/>
  <c r="K37" i="26" s="1"/>
  <c r="G31" i="4"/>
  <c r="K38" i="26" s="1"/>
  <c r="G32" i="4"/>
  <c r="K39" i="26" s="1"/>
  <c r="G34" i="4"/>
  <c r="K43" i="26" s="1"/>
  <c r="G35" i="4"/>
  <c r="K45" i="26" s="1"/>
  <c r="G36" i="4"/>
  <c r="K49" i="26" s="1"/>
  <c r="G37" i="4"/>
  <c r="K52" i="26" s="1"/>
  <c r="F4" i="4"/>
  <c r="J8" i="26" s="1"/>
  <c r="F5" i="4"/>
  <c r="J9" i="26" s="1"/>
  <c r="F6" i="4"/>
  <c r="J10" i="26" s="1"/>
  <c r="F7" i="4"/>
  <c r="J11" i="26" s="1"/>
  <c r="F8" i="4"/>
  <c r="J12" i="26" s="1"/>
  <c r="F9" i="4"/>
  <c r="J13" i="26" s="1"/>
  <c r="F10" i="4"/>
  <c r="J14" i="26" s="1"/>
  <c r="F11" i="4"/>
  <c r="J16" i="26" s="1"/>
  <c r="F12" i="4"/>
  <c r="J17" i="26" s="1"/>
  <c r="F13" i="4"/>
  <c r="J18" i="26" s="1"/>
  <c r="F14" i="4"/>
  <c r="J19" i="26" s="1"/>
  <c r="F15" i="4"/>
  <c r="J20" i="26" s="1"/>
  <c r="F16" i="4"/>
  <c r="J21" i="26" s="1"/>
  <c r="F17" i="4"/>
  <c r="J22" i="26" s="1"/>
  <c r="F18" i="4"/>
  <c r="J23" i="26" s="1"/>
  <c r="F19" i="4"/>
  <c r="J24" i="26" s="1"/>
  <c r="F20" i="4"/>
  <c r="J25" i="26" s="1"/>
  <c r="F21" i="4"/>
  <c r="J26" i="26" s="1"/>
  <c r="F22" i="4"/>
  <c r="J28" i="26" s="1"/>
  <c r="F23" i="4"/>
  <c r="J31" i="26" s="1"/>
  <c r="F24" i="4"/>
  <c r="J32" i="26" s="1"/>
  <c r="F25" i="4"/>
  <c r="J33" i="26" s="1"/>
  <c r="F26" i="4"/>
  <c r="J34" i="26" s="1"/>
  <c r="F27" i="4"/>
  <c r="J35" i="26" s="1"/>
  <c r="F28" i="4"/>
  <c r="J36" i="26" s="1"/>
  <c r="F29" i="4"/>
  <c r="F30" i="4"/>
  <c r="J37" i="26" s="1"/>
  <c r="F31" i="4"/>
  <c r="J38" i="26" s="1"/>
  <c r="F32" i="4"/>
  <c r="J39" i="26" s="1"/>
  <c r="F34" i="4"/>
  <c r="J43" i="26" s="1"/>
  <c r="F35" i="4"/>
  <c r="J45" i="26" s="1"/>
  <c r="F36" i="4"/>
  <c r="J49" i="26" s="1"/>
  <c r="F37" i="4"/>
  <c r="J52" i="26" s="1"/>
  <c r="H3" i="4"/>
  <c r="L7" i="26" s="1"/>
  <c r="R4" i="4"/>
  <c r="D4" i="4" s="1"/>
  <c r="R5" i="4"/>
  <c r="D5" i="4" s="1"/>
  <c r="R6" i="4"/>
  <c r="D6" i="4" s="1"/>
  <c r="R7" i="4"/>
  <c r="D7" i="4" s="1"/>
  <c r="R8" i="4"/>
  <c r="D8" i="4" s="1"/>
  <c r="R9" i="4"/>
  <c r="D9" i="4" s="1"/>
  <c r="R10" i="4"/>
  <c r="D10" i="4" s="1"/>
  <c r="R11" i="4"/>
  <c r="D11" i="4" s="1"/>
  <c r="R12" i="4"/>
  <c r="D12" i="4" s="1"/>
  <c r="R13" i="4"/>
  <c r="D13" i="4" s="1"/>
  <c r="R14" i="4"/>
  <c r="D14" i="4" s="1"/>
  <c r="E13" i="22" s="1"/>
  <c r="R15" i="4"/>
  <c r="D15" i="4" s="1"/>
  <c r="E14" i="22" s="1"/>
  <c r="R16" i="4"/>
  <c r="D16" i="4" s="1"/>
  <c r="E15" i="22" s="1"/>
  <c r="R17" i="4"/>
  <c r="D17" i="4" s="1"/>
  <c r="E16" i="22" s="1"/>
  <c r="R18" i="4"/>
  <c r="D18" i="4" s="1"/>
  <c r="R19" i="4"/>
  <c r="D19" i="4" s="1"/>
  <c r="E18" i="22" s="1"/>
  <c r="R20" i="4"/>
  <c r="D20" i="4" s="1"/>
  <c r="E19" i="22" s="1"/>
  <c r="R21" i="4"/>
  <c r="D21" i="4" s="1"/>
  <c r="R22" i="4"/>
  <c r="D22" i="4" s="1"/>
  <c r="E21" i="22" s="1"/>
  <c r="R23" i="4"/>
  <c r="D23" i="4" s="1"/>
  <c r="R24" i="4"/>
  <c r="D24" i="4" s="1"/>
  <c r="E23" i="22" s="1"/>
  <c r="R25" i="4"/>
  <c r="D25" i="4" s="1"/>
  <c r="E24" i="22" s="1"/>
  <c r="R26" i="4"/>
  <c r="D26" i="4" s="1"/>
  <c r="E25" i="22" s="1"/>
  <c r="R27" i="4"/>
  <c r="D27" i="4" s="1"/>
  <c r="R28" i="4"/>
  <c r="R29" i="4"/>
  <c r="R30" i="4"/>
  <c r="D30" i="4" s="1"/>
  <c r="E29" i="22" s="1"/>
  <c r="R31" i="4"/>
  <c r="R32" i="4"/>
  <c r="D32" i="4" s="1"/>
  <c r="E31" i="22" s="1"/>
  <c r="R34" i="4"/>
  <c r="D34" i="4" s="1"/>
  <c r="R35" i="4"/>
  <c r="D35" i="4" s="1"/>
  <c r="E34" i="22" s="1"/>
  <c r="R36" i="4"/>
  <c r="R37" i="4"/>
  <c r="R3" i="4"/>
  <c r="G3" i="4"/>
  <c r="K7" i="26" s="1"/>
  <c r="F3" i="4"/>
  <c r="J7" i="26" s="1"/>
  <c r="H20" i="22" l="1"/>
  <c r="K56" i="29"/>
  <c r="H7" i="22"/>
  <c r="K52" i="29"/>
  <c r="H17" i="22"/>
  <c r="K74" i="29"/>
  <c r="P14" i="26"/>
  <c r="H9" i="22"/>
  <c r="H22" i="22"/>
  <c r="K47" i="29"/>
  <c r="H36" i="22"/>
  <c r="K40" i="29"/>
  <c r="H33" i="22"/>
  <c r="K73" i="29"/>
  <c r="H8" i="22"/>
  <c r="K32" i="29"/>
  <c r="H35" i="22"/>
  <c r="K65" i="29"/>
  <c r="H26" i="22"/>
  <c r="K62" i="29"/>
  <c r="H10" i="22"/>
  <c r="K29" i="29"/>
  <c r="G33" i="22"/>
  <c r="I73" i="29"/>
  <c r="L13" i="26"/>
  <c r="G8" i="22"/>
  <c r="I32" i="29"/>
  <c r="L10" i="26"/>
  <c r="G5" i="22"/>
  <c r="G26" i="22"/>
  <c r="I62" i="29"/>
  <c r="G10" i="22"/>
  <c r="I29" i="29"/>
  <c r="G36" i="22"/>
  <c r="I40" i="29"/>
  <c r="G35" i="22"/>
  <c r="I65" i="29"/>
  <c r="L12" i="26"/>
  <c r="G7" i="22"/>
  <c r="I52" i="29"/>
  <c r="G20" i="22"/>
  <c r="I56" i="29"/>
  <c r="L9" i="26"/>
  <c r="G4" i="22"/>
  <c r="G17" i="22"/>
  <c r="I74" i="29"/>
  <c r="L14" i="26"/>
  <c r="G9" i="22"/>
  <c r="G22" i="22"/>
  <c r="I47" i="29"/>
  <c r="L11" i="26"/>
  <c r="G6" i="22"/>
  <c r="L8" i="26"/>
  <c r="G3" i="22"/>
  <c r="F10" i="26"/>
  <c r="E5" i="22"/>
  <c r="E20" i="22"/>
  <c r="E56" i="29"/>
  <c r="F18" i="26"/>
  <c r="E12" i="22"/>
  <c r="F9" i="26"/>
  <c r="E4" i="22"/>
  <c r="F17" i="26"/>
  <c r="E11" i="22"/>
  <c r="F8" i="26"/>
  <c r="E3" i="22"/>
  <c r="E26" i="22"/>
  <c r="E62" i="29"/>
  <c r="F16" i="26"/>
  <c r="E10" i="22"/>
  <c r="E29" i="29"/>
  <c r="E17" i="22"/>
  <c r="E74" i="29"/>
  <c r="F14" i="26"/>
  <c r="E9" i="22"/>
  <c r="F12" i="26"/>
  <c r="E7" i="22"/>
  <c r="E52" i="29"/>
  <c r="E22" i="22"/>
  <c r="E47" i="29"/>
  <c r="E33" i="22"/>
  <c r="E73" i="29"/>
  <c r="F13" i="26"/>
  <c r="E8" i="22"/>
  <c r="E32" i="29"/>
  <c r="F11" i="26"/>
  <c r="E6" i="22"/>
  <c r="P39" i="26"/>
  <c r="P32" i="26"/>
  <c r="P45" i="26"/>
  <c r="P52" i="26"/>
  <c r="P43" i="26"/>
  <c r="P49" i="26"/>
  <c r="P37" i="26"/>
  <c r="L44" i="26"/>
  <c r="L28" i="26"/>
  <c r="L32" i="26"/>
  <c r="L46" i="26"/>
  <c r="L53" i="26"/>
  <c r="L37" i="26"/>
  <c r="L50" i="26"/>
  <c r="L40" i="26"/>
  <c r="L25" i="26"/>
  <c r="F31" i="26"/>
  <c r="F20" i="26"/>
  <c r="F37" i="26"/>
  <c r="F28" i="26"/>
  <c r="F19" i="26"/>
  <c r="F26" i="26"/>
  <c r="F25" i="26"/>
  <c r="F35" i="26"/>
  <c r="F24" i="26"/>
  <c r="F45" i="26"/>
  <c r="F34" i="26"/>
  <c r="F23" i="26"/>
  <c r="F43" i="26"/>
  <c r="F33" i="26"/>
  <c r="F22" i="26"/>
  <c r="F39" i="26"/>
  <c r="F32" i="26"/>
  <c r="F21" i="26"/>
  <c r="T17" i="26"/>
  <c r="T8" i="26"/>
  <c r="U52" i="26"/>
  <c r="U36" i="26"/>
  <c r="U8" i="26"/>
  <c r="T11" i="26"/>
  <c r="T14" i="26"/>
  <c r="T13" i="26"/>
  <c r="U24" i="26"/>
  <c r="U16" i="26"/>
  <c r="U45" i="26"/>
  <c r="U23" i="26"/>
  <c r="U14" i="26"/>
  <c r="U11" i="26"/>
  <c r="U12" i="26"/>
  <c r="T18" i="26"/>
  <c r="T9" i="26"/>
  <c r="U10" i="26"/>
  <c r="T49" i="26"/>
  <c r="T7" i="26"/>
  <c r="U19" i="26"/>
  <c r="T52" i="26"/>
  <c r="T24" i="26"/>
  <c r="K20" i="29"/>
  <c r="P24" i="26"/>
  <c r="T39" i="26"/>
  <c r="U43" i="26"/>
  <c r="K34" i="29"/>
  <c r="P21" i="26"/>
  <c r="K53" i="29"/>
  <c r="P12" i="26"/>
  <c r="K57" i="29"/>
  <c r="P26" i="26"/>
  <c r="K24" i="29"/>
  <c r="P18" i="26"/>
  <c r="K22" i="29"/>
  <c r="P9" i="26"/>
  <c r="K43" i="29"/>
  <c r="P34" i="26"/>
  <c r="K76" i="29"/>
  <c r="P23" i="26"/>
  <c r="K17" i="29"/>
  <c r="P36" i="26"/>
  <c r="T45" i="26"/>
  <c r="U49" i="26"/>
  <c r="U35" i="26"/>
  <c r="K54" i="29"/>
  <c r="P28" i="26"/>
  <c r="T43" i="26"/>
  <c r="K63" i="29"/>
  <c r="P35" i="26"/>
  <c r="U39" i="26"/>
  <c r="U32" i="26"/>
  <c r="U21" i="26"/>
  <c r="K49" i="29"/>
  <c r="P38" i="26"/>
  <c r="K48" i="29"/>
  <c r="P31" i="26"/>
  <c r="K35" i="29"/>
  <c r="P20" i="26"/>
  <c r="K58" i="29"/>
  <c r="P11" i="26"/>
  <c r="K44" i="29"/>
  <c r="P25" i="26"/>
  <c r="K59" i="29"/>
  <c r="P17" i="26"/>
  <c r="K77" i="29"/>
  <c r="P8" i="26"/>
  <c r="K78" i="29"/>
  <c r="P33" i="26"/>
  <c r="K12" i="29"/>
  <c r="P22" i="26"/>
  <c r="K33" i="29"/>
  <c r="P13" i="26"/>
  <c r="K60" i="29"/>
  <c r="P19" i="26"/>
  <c r="K42" i="29"/>
  <c r="P10" i="26"/>
  <c r="K30" i="29"/>
  <c r="P16" i="26"/>
  <c r="T26" i="26"/>
  <c r="U25" i="26"/>
  <c r="U34" i="26"/>
  <c r="U28" i="26"/>
  <c r="T36" i="26"/>
  <c r="T25" i="26"/>
  <c r="T16" i="26"/>
  <c r="U17" i="26"/>
  <c r="U22" i="26"/>
  <c r="U13" i="26"/>
  <c r="T37" i="26"/>
  <c r="T28" i="26"/>
  <c r="T19" i="26"/>
  <c r="T10" i="26"/>
  <c r="U38" i="26"/>
  <c r="U31" i="26"/>
  <c r="U20" i="26"/>
  <c r="T35" i="26"/>
  <c r="T33" i="26"/>
  <c r="T22" i="26"/>
  <c r="T38" i="26"/>
  <c r="T31" i="26"/>
  <c r="T20" i="26"/>
  <c r="I17" i="29"/>
  <c r="L36" i="26"/>
  <c r="U7" i="26"/>
  <c r="T32" i="26"/>
  <c r="T21" i="26"/>
  <c r="T12" i="26"/>
  <c r="U33" i="26"/>
  <c r="I78" i="29"/>
  <c r="L33" i="26"/>
  <c r="I12" i="29"/>
  <c r="L22" i="26"/>
  <c r="I60" i="29"/>
  <c r="L19" i="26"/>
  <c r="I24" i="29"/>
  <c r="L18" i="26"/>
  <c r="I43" i="29"/>
  <c r="L34" i="26"/>
  <c r="I76" i="29"/>
  <c r="L23" i="26"/>
  <c r="I63" i="29"/>
  <c r="L35" i="26"/>
  <c r="I20" i="29"/>
  <c r="L24" i="26"/>
  <c r="I30" i="29"/>
  <c r="L16" i="26"/>
  <c r="U37" i="26"/>
  <c r="I34" i="29"/>
  <c r="L21" i="26"/>
  <c r="U26" i="26"/>
  <c r="U18" i="26"/>
  <c r="U9" i="26"/>
  <c r="I57" i="29"/>
  <c r="L26" i="26"/>
  <c r="T34" i="26"/>
  <c r="T23" i="26"/>
  <c r="I49" i="29"/>
  <c r="L38" i="26"/>
  <c r="I48" i="29"/>
  <c r="L31" i="26"/>
  <c r="I35" i="29"/>
  <c r="L20" i="26"/>
  <c r="I59" i="29"/>
  <c r="L17" i="26"/>
  <c r="E59" i="29"/>
  <c r="E63" i="29"/>
  <c r="E20" i="29"/>
  <c r="E30" i="29"/>
  <c r="E78" i="29"/>
  <c r="E12" i="29"/>
  <c r="E35" i="29"/>
  <c r="E60" i="29"/>
  <c r="E43" i="29"/>
  <c r="E76" i="29"/>
  <c r="E34" i="29"/>
  <c r="E57" i="29"/>
  <c r="E24" i="29"/>
  <c r="K13" i="29"/>
  <c r="K54" i="4"/>
  <c r="K66" i="29"/>
  <c r="K25" i="29"/>
  <c r="K11" i="29"/>
  <c r="K45" i="29"/>
  <c r="L54" i="4"/>
  <c r="K38" i="29"/>
  <c r="K41" i="29"/>
  <c r="K75" i="29"/>
  <c r="K16" i="29"/>
  <c r="I54" i="29"/>
  <c r="I42" i="29"/>
  <c r="I11" i="29"/>
  <c r="I45" i="29"/>
  <c r="I53" i="29"/>
  <c r="I22" i="29"/>
  <c r="I66" i="29"/>
  <c r="I38" i="29"/>
  <c r="I33" i="29"/>
  <c r="I13" i="29"/>
  <c r="H54" i="4"/>
  <c r="I25" i="29"/>
  <c r="I41" i="29"/>
  <c r="I75" i="29"/>
  <c r="I16" i="29"/>
  <c r="I58" i="29"/>
  <c r="I54" i="4"/>
  <c r="I44" i="29"/>
  <c r="I77" i="29"/>
  <c r="E75" i="29"/>
  <c r="E38" i="29"/>
  <c r="E33" i="29"/>
  <c r="F54" i="4"/>
  <c r="E11" i="29"/>
  <c r="E45" i="29"/>
  <c r="E53" i="29"/>
  <c r="E58" i="29"/>
  <c r="D3" i="4"/>
  <c r="R54" i="4"/>
  <c r="E44" i="29"/>
  <c r="E77" i="29"/>
  <c r="E25" i="29"/>
  <c r="E16" i="29"/>
  <c r="E54" i="29"/>
  <c r="E42" i="29"/>
  <c r="E22" i="29"/>
  <c r="K25" i="7"/>
  <c r="H34" i="31"/>
  <c r="H31" i="31"/>
  <c r="H24" i="31"/>
  <c r="H33" i="31"/>
  <c r="H30" i="31"/>
  <c r="H23" i="31"/>
  <c r="H35" i="31"/>
  <c r="H28" i="31"/>
  <c r="H14" i="31"/>
  <c r="H32" i="31"/>
  <c r="H25" i="31"/>
  <c r="H19" i="31"/>
  <c r="H11" i="31"/>
  <c r="H9" i="31"/>
  <c r="H7" i="31"/>
  <c r="H36" i="31"/>
  <c r="H29" i="31"/>
  <c r="H16" i="31"/>
  <c r="H4" i="31"/>
  <c r="H27" i="31"/>
  <c r="H21" i="31"/>
  <c r="H13" i="31"/>
  <c r="H18" i="31"/>
  <c r="H10" i="31"/>
  <c r="H6" i="31"/>
  <c r="H15" i="31"/>
  <c r="H3" i="31"/>
  <c r="H26" i="31"/>
  <c r="H22" i="31"/>
  <c r="H20" i="31"/>
  <c r="H12" i="31"/>
  <c r="H8" i="31"/>
  <c r="H17" i="31"/>
  <c r="H5" i="31"/>
  <c r="G30" i="31"/>
  <c r="G36" i="31"/>
  <c r="G32" i="31"/>
  <c r="G25" i="31"/>
  <c r="G17" i="31"/>
  <c r="G5" i="31"/>
  <c r="G14" i="31"/>
  <c r="G27" i="31"/>
  <c r="G19" i="31"/>
  <c r="G11" i="31"/>
  <c r="G9" i="31"/>
  <c r="G7" i="31"/>
  <c r="G29" i="31"/>
  <c r="G35" i="31"/>
  <c r="G33" i="31"/>
  <c r="G31" i="31"/>
  <c r="G24" i="31"/>
  <c r="G16" i="31"/>
  <c r="G4" i="31"/>
  <c r="G21" i="31"/>
  <c r="G13" i="31"/>
  <c r="I25" i="7"/>
  <c r="G34" i="31"/>
  <c r="G26" i="31"/>
  <c r="G18" i="31"/>
  <c r="G10" i="31"/>
  <c r="G6" i="31"/>
  <c r="G23" i="31"/>
  <c r="G15" i="31"/>
  <c r="G3" i="31"/>
  <c r="G28" i="31"/>
  <c r="G22" i="31"/>
  <c r="G20" i="31"/>
  <c r="G12" i="31"/>
  <c r="G8" i="31"/>
  <c r="E5" i="31"/>
  <c r="E6" i="31"/>
  <c r="E21" i="31"/>
  <c r="E13" i="31"/>
  <c r="E25" i="7"/>
  <c r="E34" i="31"/>
  <c r="E20" i="31"/>
  <c r="E24" i="7"/>
  <c r="E12" i="31"/>
  <c r="E4" i="31"/>
  <c r="E3" i="31"/>
  <c r="E32" i="31"/>
  <c r="E25" i="31"/>
  <c r="E18" i="31"/>
  <c r="E10" i="31"/>
  <c r="E23" i="31"/>
  <c r="E15" i="31"/>
  <c r="E22" i="31"/>
  <c r="E14" i="31"/>
  <c r="E33" i="31"/>
  <c r="E26" i="31"/>
  <c r="E19" i="31"/>
  <c r="E11" i="31"/>
  <c r="E31" i="31"/>
  <c r="E24" i="31"/>
  <c r="E17" i="31"/>
  <c r="E9" i="31"/>
  <c r="E8" i="31"/>
  <c r="E16" i="31"/>
  <c r="E29" i="31"/>
  <c r="E7" i="31"/>
  <c r="K24" i="7"/>
  <c r="I24" i="7"/>
  <c r="K2" i="29"/>
  <c r="H2" i="31"/>
  <c r="I2" i="29"/>
  <c r="G2" i="31"/>
  <c r="D36" i="4"/>
  <c r="D29" i="4"/>
  <c r="E28" i="22" s="1"/>
  <c r="D28" i="4"/>
  <c r="E27" i="22" s="1"/>
  <c r="D37" i="4"/>
  <c r="D31" i="4"/>
  <c r="E30" i="22" s="1"/>
  <c r="K34" i="7"/>
  <c r="I34" i="7"/>
  <c r="K29" i="7"/>
  <c r="I33" i="7"/>
  <c r="E59" i="7"/>
  <c r="E2" i="7"/>
  <c r="I29" i="7"/>
  <c r="K33" i="7"/>
  <c r="K22" i="7"/>
  <c r="I22" i="7"/>
  <c r="K10" i="7"/>
  <c r="K3" i="7"/>
  <c r="K2" i="7"/>
  <c r="K8" i="7"/>
  <c r="K9" i="7"/>
  <c r="B111" i="7"/>
  <c r="I13" i="7"/>
  <c r="I65" i="7"/>
  <c r="B112" i="7" s="1"/>
  <c r="I60" i="7"/>
  <c r="I2" i="7"/>
  <c r="G2" i="22"/>
  <c r="I32" i="7"/>
  <c r="I62" i="7"/>
  <c r="I56" i="7"/>
  <c r="I41" i="7"/>
  <c r="I11" i="7"/>
  <c r="I44" i="7"/>
  <c r="I74" i="7"/>
  <c r="I16" i="7"/>
  <c r="I40" i="7"/>
  <c r="I59" i="7"/>
  <c r="I52" i="7"/>
  <c r="I61" i="7"/>
  <c r="I9" i="7"/>
  <c r="I23" i="7"/>
  <c r="I21" i="7"/>
  <c r="I73" i="7"/>
  <c r="I42" i="7"/>
  <c r="I43" i="7"/>
  <c r="I58" i="7"/>
  <c r="I51" i="7"/>
  <c r="I48" i="7"/>
  <c r="I47" i="7"/>
  <c r="I12" i="7"/>
  <c r="I17" i="7"/>
  <c r="I53" i="7"/>
  <c r="I57" i="7"/>
  <c r="I8" i="7"/>
  <c r="I28" i="7"/>
  <c r="I10" i="7"/>
  <c r="I3" i="7"/>
  <c r="I37" i="7"/>
  <c r="I76" i="7"/>
  <c r="I20" i="7"/>
  <c r="I75" i="7"/>
  <c r="K65" i="7"/>
  <c r="H2" i="22"/>
  <c r="K52" i="7"/>
  <c r="K51" i="7"/>
  <c r="K53" i="7"/>
  <c r="N5" i="4"/>
  <c r="O5" i="4"/>
  <c r="E9" i="7"/>
  <c r="E60" i="7"/>
  <c r="E62" i="7"/>
  <c r="N37" i="4"/>
  <c r="D36" i="22" s="1"/>
  <c r="I36" i="22" s="1"/>
  <c r="N35" i="4"/>
  <c r="D34" i="22" s="1"/>
  <c r="I34" i="22" s="1"/>
  <c r="N31" i="4"/>
  <c r="D30" i="22" s="1"/>
  <c r="I30" i="22" s="1"/>
  <c r="N29" i="4"/>
  <c r="D28" i="22" s="1"/>
  <c r="I28" i="22" s="1"/>
  <c r="O36" i="4"/>
  <c r="O34" i="4"/>
  <c r="O32" i="4"/>
  <c r="O30" i="4"/>
  <c r="K13" i="7"/>
  <c r="K28" i="7"/>
  <c r="K21" i="7"/>
  <c r="K60" i="7"/>
  <c r="N36" i="4"/>
  <c r="D35" i="22" s="1"/>
  <c r="I35" i="22" s="1"/>
  <c r="N34" i="4"/>
  <c r="D33" i="22" s="1"/>
  <c r="I33" i="22" s="1"/>
  <c r="N32" i="4"/>
  <c r="D31" i="22" s="1"/>
  <c r="I31" i="22" s="1"/>
  <c r="N30" i="4"/>
  <c r="D29" i="22" s="1"/>
  <c r="I29" i="22" s="1"/>
  <c r="N26" i="4"/>
  <c r="D25" i="22" s="1"/>
  <c r="I25" i="22" s="1"/>
  <c r="N24" i="4"/>
  <c r="D23" i="22" s="1"/>
  <c r="I23" i="22" s="1"/>
  <c r="O37" i="4"/>
  <c r="O35" i="4"/>
  <c r="O31" i="4"/>
  <c r="O29" i="4"/>
  <c r="O4" i="4"/>
  <c r="K23" i="7"/>
  <c r="K61" i="7"/>
  <c r="K40" i="7"/>
  <c r="K76" i="7"/>
  <c r="K47" i="7"/>
  <c r="K56" i="7"/>
  <c r="K20" i="7"/>
  <c r="K12" i="7"/>
  <c r="K41" i="7"/>
  <c r="K75" i="7"/>
  <c r="K37" i="7"/>
  <c r="K48" i="7"/>
  <c r="K62" i="7"/>
  <c r="K59" i="7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G2" i="7"/>
  <c r="N4" i="4"/>
  <c r="D3" i="22" s="1"/>
  <c r="I3" i="22" s="1"/>
  <c r="K73" i="7"/>
  <c r="K11" i="7"/>
  <c r="K17" i="7"/>
  <c r="K42" i="7"/>
  <c r="K44" i="7"/>
  <c r="K43" i="7"/>
  <c r="K74" i="7"/>
  <c r="K58" i="7"/>
  <c r="K16" i="7"/>
  <c r="K32" i="7"/>
  <c r="K57" i="7"/>
  <c r="N28" i="4"/>
  <c r="D27" i="22" s="1"/>
  <c r="I27" i="22" s="1"/>
  <c r="N27" i="4"/>
  <c r="D26" i="22" s="1"/>
  <c r="I26" i="22" s="1"/>
  <c r="N25" i="4"/>
  <c r="D24" i="22" s="1"/>
  <c r="I24" i="22" s="1"/>
  <c r="N23" i="4"/>
  <c r="D22" i="22" s="1"/>
  <c r="I22" i="22" s="1"/>
  <c r="N22" i="4"/>
  <c r="D21" i="22" s="1"/>
  <c r="I21" i="22" s="1"/>
  <c r="N21" i="4"/>
  <c r="D20" i="22" s="1"/>
  <c r="I20" i="22" s="1"/>
  <c r="N20" i="4"/>
  <c r="D19" i="22" s="1"/>
  <c r="I19" i="22" s="1"/>
  <c r="N19" i="4"/>
  <c r="D18" i="22" s="1"/>
  <c r="I18" i="22" s="1"/>
  <c r="N18" i="4"/>
  <c r="D17" i="22" s="1"/>
  <c r="I17" i="22" s="1"/>
  <c r="N17" i="4"/>
  <c r="D16" i="22" s="1"/>
  <c r="I16" i="22" s="1"/>
  <c r="N16" i="4"/>
  <c r="D15" i="22" s="1"/>
  <c r="I15" i="22" s="1"/>
  <c r="N15" i="4"/>
  <c r="D14" i="22" s="1"/>
  <c r="I14" i="22" s="1"/>
  <c r="N14" i="4"/>
  <c r="D13" i="22" s="1"/>
  <c r="I13" i="22" s="1"/>
  <c r="N13" i="4"/>
  <c r="D12" i="22" s="1"/>
  <c r="I12" i="22" s="1"/>
  <c r="N12" i="4"/>
  <c r="D11" i="22" s="1"/>
  <c r="I11" i="22" s="1"/>
  <c r="N11" i="4"/>
  <c r="N10" i="4"/>
  <c r="D9" i="22" s="1"/>
  <c r="I9" i="22" s="1"/>
  <c r="N9" i="4"/>
  <c r="D8" i="22" s="1"/>
  <c r="I8" i="22" s="1"/>
  <c r="N8" i="4"/>
  <c r="D7" i="22" s="1"/>
  <c r="I7" i="22" s="1"/>
  <c r="N7" i="4"/>
  <c r="D6" i="22" s="1"/>
  <c r="I6" i="22" s="1"/>
  <c r="N6" i="4"/>
  <c r="D5" i="22" s="1"/>
  <c r="I5" i="22" s="1"/>
  <c r="D10" i="22" l="1"/>
  <c r="I10" i="22" s="1"/>
  <c r="D89" i="7"/>
  <c r="H47" i="30"/>
  <c r="F47" i="30" s="1"/>
  <c r="H43" i="30"/>
  <c r="F43" i="30" s="1"/>
  <c r="H13" i="30"/>
  <c r="F13" i="30" s="1"/>
  <c r="H42" i="30"/>
  <c r="F42" i="30" s="1"/>
  <c r="H26" i="30"/>
  <c r="F26" i="30" s="1"/>
  <c r="H29" i="30"/>
  <c r="F29" i="30" s="1"/>
  <c r="H12" i="30"/>
  <c r="F12" i="30" s="1"/>
  <c r="D94" i="7"/>
  <c r="M94" i="7" s="1"/>
  <c r="D4" i="22"/>
  <c r="I4" i="22" s="1"/>
  <c r="H41" i="30"/>
  <c r="F41" i="30" s="1"/>
  <c r="E35" i="22"/>
  <c r="E65" i="29"/>
  <c r="H34" i="30"/>
  <c r="F34" i="30" s="1"/>
  <c r="E48" i="29"/>
  <c r="H37" i="30"/>
  <c r="F37" i="30" s="1"/>
  <c r="E36" i="22"/>
  <c r="E40" i="29"/>
  <c r="E27" i="31"/>
  <c r="F36" i="26"/>
  <c r="F52" i="26"/>
  <c r="F7" i="26"/>
  <c r="F38" i="26"/>
  <c r="F49" i="26"/>
  <c r="E2" i="31"/>
  <c r="E49" i="29"/>
  <c r="E41" i="29"/>
  <c r="E66" i="29"/>
  <c r="E17" i="29"/>
  <c r="D54" i="4"/>
  <c r="E13" i="29"/>
  <c r="BT95" i="7"/>
  <c r="BU96" i="7" s="1"/>
  <c r="BR95" i="7"/>
  <c r="BS96" i="7" s="1"/>
  <c r="D57" i="7"/>
  <c r="G6" i="30" s="1"/>
  <c r="D82" i="7"/>
  <c r="D35" i="31"/>
  <c r="I35" i="31" s="1"/>
  <c r="D11" i="31"/>
  <c r="I11" i="31" s="1"/>
  <c r="D19" i="31"/>
  <c r="I19" i="31" s="1"/>
  <c r="D28" i="31"/>
  <c r="I28" i="31" s="1"/>
  <c r="E30" i="31"/>
  <c r="D26" i="31"/>
  <c r="I26" i="31" s="1"/>
  <c r="E36" i="31"/>
  <c r="D18" i="31"/>
  <c r="I18" i="31" s="1"/>
  <c r="D27" i="31"/>
  <c r="I27" i="31" s="1"/>
  <c r="D12" i="31"/>
  <c r="I12" i="31" s="1"/>
  <c r="D13" i="31"/>
  <c r="I13" i="31" s="1"/>
  <c r="D6" i="31"/>
  <c r="I6" i="31" s="1"/>
  <c r="D14" i="31"/>
  <c r="I14" i="31" s="1"/>
  <c r="D22" i="31"/>
  <c r="I22" i="31" s="1"/>
  <c r="D29" i="31"/>
  <c r="I29" i="31" s="1"/>
  <c r="D30" i="31"/>
  <c r="I30" i="31" s="1"/>
  <c r="D4" i="31"/>
  <c r="I4" i="31" s="1"/>
  <c r="E28" i="31"/>
  <c r="D20" i="31"/>
  <c r="I20" i="31" s="1"/>
  <c r="D5" i="31"/>
  <c r="I5" i="31" s="1"/>
  <c r="D21" i="31"/>
  <c r="I21" i="31" s="1"/>
  <c r="D7" i="31"/>
  <c r="I7" i="31" s="1"/>
  <c r="D15" i="31"/>
  <c r="I15" i="31" s="1"/>
  <c r="D31" i="31"/>
  <c r="I31" i="31" s="1"/>
  <c r="D34" i="31"/>
  <c r="I34" i="31" s="1"/>
  <c r="D10" i="31"/>
  <c r="I10" i="31" s="1"/>
  <c r="D8" i="31"/>
  <c r="I8" i="31" s="1"/>
  <c r="D16" i="31"/>
  <c r="I16" i="31" s="1"/>
  <c r="D23" i="31"/>
  <c r="I23" i="31" s="1"/>
  <c r="D3" i="31"/>
  <c r="I3" i="31" s="1"/>
  <c r="D32" i="31"/>
  <c r="I32" i="31" s="1"/>
  <c r="D36" i="31"/>
  <c r="I36" i="31" s="1"/>
  <c r="E35" i="31"/>
  <c r="D24" i="31"/>
  <c r="I24" i="31" s="1"/>
  <c r="D9" i="31"/>
  <c r="I9" i="31" s="1"/>
  <c r="D17" i="31"/>
  <c r="I17" i="31" s="1"/>
  <c r="D25" i="31"/>
  <c r="I25" i="31" s="1"/>
  <c r="D33" i="31"/>
  <c r="I33" i="31" s="1"/>
  <c r="D25" i="7"/>
  <c r="G34" i="30" s="1"/>
  <c r="D92" i="7"/>
  <c r="G6" i="32" s="1"/>
  <c r="D24" i="7"/>
  <c r="G12" i="30" s="1"/>
  <c r="D62" i="7"/>
  <c r="G26" i="30" s="1"/>
  <c r="D86" i="7"/>
  <c r="G4" i="32" s="1"/>
  <c r="E65" i="7"/>
  <c r="H35" i="30" s="1"/>
  <c r="F35" i="30" s="1"/>
  <c r="D20" i="7"/>
  <c r="G18" i="30" s="1"/>
  <c r="D93" i="7"/>
  <c r="G7" i="32" s="1"/>
  <c r="E32" i="7"/>
  <c r="H8" i="30" s="1"/>
  <c r="F8" i="30" s="1"/>
  <c r="D34" i="7"/>
  <c r="G14" i="30" s="1"/>
  <c r="E34" i="7"/>
  <c r="H14" i="30" s="1"/>
  <c r="F14" i="30" s="1"/>
  <c r="E2" i="29"/>
  <c r="E57" i="7"/>
  <c r="H6" i="30" s="1"/>
  <c r="F6" i="30" s="1"/>
  <c r="E52" i="7"/>
  <c r="H7" i="30" s="1"/>
  <c r="F7" i="30" s="1"/>
  <c r="E58" i="7"/>
  <c r="H11" i="30" s="1"/>
  <c r="F11" i="30" s="1"/>
  <c r="E74" i="7"/>
  <c r="H17" i="30" s="1"/>
  <c r="F17" i="30" s="1"/>
  <c r="E12" i="7"/>
  <c r="H16" i="30" s="1"/>
  <c r="F16" i="30" s="1"/>
  <c r="E76" i="7"/>
  <c r="H24" i="30" s="1"/>
  <c r="F24" i="30" s="1"/>
  <c r="E22" i="7"/>
  <c r="H4" i="30" s="1"/>
  <c r="F4" i="30" s="1"/>
  <c r="E47" i="7"/>
  <c r="H22" i="30" s="1"/>
  <c r="F22" i="30" s="1"/>
  <c r="E17" i="7"/>
  <c r="H27" i="30" s="1"/>
  <c r="F27" i="30" s="1"/>
  <c r="E2" i="22"/>
  <c r="E73" i="7"/>
  <c r="H33" i="30" s="1"/>
  <c r="F33" i="30" s="1"/>
  <c r="D33" i="7"/>
  <c r="G15" i="30" s="1"/>
  <c r="E29" i="7"/>
  <c r="H10" i="30" s="1"/>
  <c r="F10" i="30" s="1"/>
  <c r="E43" i="7"/>
  <c r="H19" i="30" s="1"/>
  <c r="F19" i="30" s="1"/>
  <c r="E33" i="7"/>
  <c r="H15" i="30" s="1"/>
  <c r="F15" i="30" s="1"/>
  <c r="E75" i="7"/>
  <c r="H3" i="30" s="1"/>
  <c r="F3" i="30" s="1"/>
  <c r="E20" i="7"/>
  <c r="H18" i="30" s="1"/>
  <c r="F18" i="30" s="1"/>
  <c r="E44" i="7"/>
  <c r="H23" i="30" s="1"/>
  <c r="F23" i="30" s="1"/>
  <c r="D29" i="7"/>
  <c r="G10" i="30" s="1"/>
  <c r="E53" i="7"/>
  <c r="H21" i="30" s="1"/>
  <c r="F21" i="30" s="1"/>
  <c r="E41" i="7"/>
  <c r="H5" i="30" s="1"/>
  <c r="F5" i="30" s="1"/>
  <c r="E56" i="7"/>
  <c r="H20" i="30" s="1"/>
  <c r="F20" i="30" s="1"/>
  <c r="E16" i="7"/>
  <c r="H9" i="30" s="1"/>
  <c r="F9" i="30" s="1"/>
  <c r="E42" i="7"/>
  <c r="H25" i="30" s="1"/>
  <c r="F25" i="30" s="1"/>
  <c r="D61" i="7"/>
  <c r="G42" i="30" s="1"/>
  <c r="D52" i="7"/>
  <c r="G7" i="30" s="1"/>
  <c r="D21" i="7"/>
  <c r="G41" i="30" s="1"/>
  <c r="D22" i="7"/>
  <c r="G4" i="30" s="1"/>
  <c r="D32" i="7"/>
  <c r="G8" i="30" s="1"/>
  <c r="D11" i="7"/>
  <c r="G31" i="30" s="1"/>
  <c r="Q44" i="4"/>
  <c r="D8" i="7"/>
  <c r="G46" i="30" s="1"/>
  <c r="D48" i="7"/>
  <c r="G30" i="30" s="1"/>
  <c r="D17" i="7"/>
  <c r="G27" i="30" s="1"/>
  <c r="D37" i="7"/>
  <c r="G32" i="30" s="1"/>
  <c r="D10" i="7"/>
  <c r="G48" i="30" s="1"/>
  <c r="D23" i="7"/>
  <c r="G44" i="30" s="1"/>
  <c r="D47" i="7"/>
  <c r="G22" i="30" s="1"/>
  <c r="D16" i="7"/>
  <c r="G9" i="30" s="1"/>
  <c r="D74" i="7"/>
  <c r="G17" i="30" s="1"/>
  <c r="D44" i="7"/>
  <c r="G23" i="30" s="1"/>
  <c r="D2" i="7"/>
  <c r="G29" i="30" s="1"/>
  <c r="D12" i="7"/>
  <c r="G16" i="30" s="1"/>
  <c r="D9" i="7"/>
  <c r="G47" i="30" s="1"/>
  <c r="D73" i="7"/>
  <c r="G33" i="30" s="1"/>
  <c r="D40" i="7"/>
  <c r="G36" i="30" s="1"/>
  <c r="D76" i="7"/>
  <c r="G24" i="30" s="1"/>
  <c r="D58" i="7"/>
  <c r="G11" i="30" s="1"/>
  <c r="D43" i="7"/>
  <c r="G19" i="30" s="1"/>
  <c r="D42" i="7"/>
  <c r="G25" i="30" s="1"/>
  <c r="D65" i="7"/>
  <c r="G35" i="30" s="1"/>
  <c r="D59" i="7"/>
  <c r="G13" i="30" s="1"/>
  <c r="D41" i="7"/>
  <c r="G5" i="30" s="1"/>
  <c r="D75" i="7"/>
  <c r="G3" i="30" s="1"/>
  <c r="D60" i="7"/>
  <c r="G37" i="30" s="1"/>
  <c r="Q41" i="4"/>
  <c r="D53" i="7"/>
  <c r="G21" i="30" s="1"/>
  <c r="D56" i="7"/>
  <c r="G20" i="30" s="1"/>
  <c r="E11" i="7"/>
  <c r="H31" i="30" s="1"/>
  <c r="F31" i="30" s="1"/>
  <c r="E37" i="7"/>
  <c r="H32" i="30" s="1"/>
  <c r="F32" i="30" s="1"/>
  <c r="E40" i="7"/>
  <c r="H36" i="30" s="1"/>
  <c r="F36" i="30" s="1"/>
  <c r="E51" i="7"/>
  <c r="H38" i="30" s="1"/>
  <c r="F38" i="30" s="1"/>
  <c r="E3" i="7"/>
  <c r="H40" i="30" s="1"/>
  <c r="F40" i="30" s="1"/>
  <c r="E23" i="7"/>
  <c r="H44" i="30" s="1"/>
  <c r="F44" i="30" s="1"/>
  <c r="E8" i="7"/>
  <c r="H46" i="30" s="1"/>
  <c r="F46" i="30" s="1"/>
  <c r="E10" i="7"/>
  <c r="H48" i="30" s="1"/>
  <c r="F48" i="30" s="1"/>
  <c r="E48" i="7"/>
  <c r="H30" i="30" s="1"/>
  <c r="F30" i="30" s="1"/>
  <c r="N3" i="4"/>
  <c r="O3" i="4"/>
  <c r="G11" i="32" l="1"/>
  <c r="H11" i="32" s="1"/>
  <c r="F11" i="32" s="1"/>
  <c r="M89" i="7"/>
  <c r="N89" i="7" s="1"/>
  <c r="G9" i="32"/>
  <c r="H9" i="32" s="1"/>
  <c r="Q33" i="4"/>
  <c r="D2" i="31"/>
  <c r="I2" i="31" s="1"/>
  <c r="N54" i="4"/>
  <c r="BP95" i="7"/>
  <c r="H6" i="32"/>
  <c r="H7" i="32"/>
  <c r="M82" i="7"/>
  <c r="N81" i="7" s="1"/>
  <c r="G8" i="32"/>
  <c r="H4" i="32"/>
  <c r="D2" i="22"/>
  <c r="I2" i="22" s="1"/>
  <c r="M24" i="7"/>
  <c r="C112" i="7"/>
  <c r="E112" i="7" s="1"/>
  <c r="M29" i="7"/>
  <c r="M75" i="7"/>
  <c r="M42" i="7"/>
  <c r="M11" i="7"/>
  <c r="M86" i="7"/>
  <c r="N86" i="7" s="1"/>
  <c r="Q39" i="4"/>
  <c r="Q10" i="4"/>
  <c r="M41" i="7"/>
  <c r="M43" i="7"/>
  <c r="M12" i="7"/>
  <c r="M58" i="7"/>
  <c r="M92" i="7"/>
  <c r="M59" i="7"/>
  <c r="M76" i="7"/>
  <c r="M2" i="7"/>
  <c r="M22" i="7"/>
  <c r="M33" i="7"/>
  <c r="M53" i="7"/>
  <c r="M44" i="7"/>
  <c r="M17" i="7"/>
  <c r="M34" i="7"/>
  <c r="M62" i="7"/>
  <c r="M57" i="7"/>
  <c r="M74" i="7"/>
  <c r="M48" i="7"/>
  <c r="M52" i="7"/>
  <c r="M93" i="7"/>
  <c r="M68" i="7"/>
  <c r="Q46" i="4"/>
  <c r="M23" i="7"/>
  <c r="Q45" i="4"/>
  <c r="M61" i="7"/>
  <c r="Q43" i="4"/>
  <c r="M10" i="7"/>
  <c r="Q49" i="4"/>
  <c r="M21" i="7"/>
  <c r="Q42" i="4"/>
  <c r="M8" i="7"/>
  <c r="Q47" i="4"/>
  <c r="M9" i="7"/>
  <c r="Q48" i="4"/>
  <c r="Q19" i="4"/>
  <c r="Q17" i="4"/>
  <c r="M60" i="7"/>
  <c r="Q38" i="4"/>
  <c r="Q22" i="4"/>
  <c r="Q30" i="4"/>
  <c r="M32" i="7"/>
  <c r="D13" i="7"/>
  <c r="G2" i="30" s="1"/>
  <c r="Q9" i="4"/>
  <c r="Q20" i="4"/>
  <c r="Q18" i="4"/>
  <c r="Q31" i="4"/>
  <c r="Q25" i="4"/>
  <c r="Q15" i="4"/>
  <c r="Q34" i="4"/>
  <c r="Q21" i="4"/>
  <c r="M65" i="7"/>
  <c r="N65" i="7" s="1"/>
  <c r="Q14" i="4"/>
  <c r="Q24" i="4"/>
  <c r="Q35" i="4"/>
  <c r="Q32" i="4"/>
  <c r="Q13" i="4"/>
  <c r="Q4" i="4"/>
  <c r="Q11" i="4"/>
  <c r="Q12" i="4"/>
  <c r="Q28" i="4"/>
  <c r="Q6" i="4"/>
  <c r="Q26" i="4"/>
  <c r="Q23" i="4"/>
  <c r="Q7" i="4"/>
  <c r="Q37" i="4"/>
  <c r="Q27" i="4"/>
  <c r="Q36" i="4"/>
  <c r="Q16" i="4"/>
  <c r="Q5" i="4"/>
  <c r="Q8" i="4"/>
  <c r="M37" i="7"/>
  <c r="M20" i="7"/>
  <c r="M40" i="7"/>
  <c r="M51" i="7"/>
  <c r="M73" i="7"/>
  <c r="M16" i="7"/>
  <c r="M56" i="7"/>
  <c r="M47" i="7"/>
  <c r="M28" i="7"/>
  <c r="M3" i="7"/>
  <c r="M69" i="7"/>
  <c r="E13" i="7"/>
  <c r="H2" i="30" s="1"/>
  <c r="C98" i="7" l="1"/>
  <c r="BN95" i="7"/>
  <c r="C97" i="7" s="1"/>
  <c r="F6" i="32"/>
  <c r="F9" i="32"/>
  <c r="N92" i="7"/>
  <c r="F4" i="32"/>
  <c r="H8" i="32"/>
  <c r="F7" i="32"/>
  <c r="F2" i="30"/>
  <c r="N20" i="7"/>
  <c r="N2" i="7"/>
  <c r="N28" i="7"/>
  <c r="N51" i="7"/>
  <c r="M13" i="7"/>
  <c r="N16" i="7" s="1"/>
  <c r="N40" i="7"/>
  <c r="N68" i="7"/>
  <c r="N32" i="7"/>
  <c r="N56" i="7"/>
  <c r="C111" i="7"/>
  <c r="E113" i="7"/>
  <c r="Q3" i="4"/>
  <c r="N47" i="7"/>
  <c r="N73" i="7"/>
  <c r="F8" i="32" l="1"/>
  <c r="N8" i="7"/>
  <c r="BO96" i="7"/>
  <c r="BV96" i="7" s="1"/>
  <c r="E111" i="7"/>
</calcChain>
</file>

<file path=xl/sharedStrings.xml><?xml version="1.0" encoding="utf-8"?>
<sst xmlns="http://schemas.openxmlformats.org/spreadsheetml/2006/main" count="2255" uniqueCount="357">
  <si>
    <t xml:space="preserve">WEEK NR. </t>
  </si>
  <si>
    <t>C1</t>
  </si>
  <si>
    <t>TEXTILE/OTHERS</t>
  </si>
  <si>
    <t>SHOES (TEMPE)</t>
  </si>
  <si>
    <t>ECOM</t>
  </si>
  <si>
    <t xml:space="preserve">TOTAL </t>
  </si>
  <si>
    <t>INTERSHOPS</t>
  </si>
  <si>
    <t>TEXTILE</t>
  </si>
  <si>
    <t>TIPOLOGIA MEZZO</t>
  </si>
  <si>
    <t>CODICE VETTORE</t>
  </si>
  <si>
    <t>TARGA</t>
  </si>
  <si>
    <t>AUTISTA</t>
  </si>
  <si>
    <t>ROUTE ID</t>
  </si>
  <si>
    <t>STORE
CODE</t>
  </si>
  <si>
    <t>BRAND</t>
  </si>
  <si>
    <t>STORE</t>
  </si>
  <si>
    <t>DELIVERY
DAY</t>
  </si>
  <si>
    <t>PLANNED
CRTS TEXTILE</t>
  </si>
  <si>
    <t>RECEIVED
CRTS TEXTILE</t>
  </si>
  <si>
    <t>PLANNED
CRTS OTHERS</t>
  </si>
  <si>
    <t>RECEIVED
CRTS OTHERS</t>
  </si>
  <si>
    <t>VOLUME</t>
  </si>
  <si>
    <t>WEIGHT</t>
  </si>
  <si>
    <t xml:space="preserve">PLANNED
CRTS </t>
  </si>
  <si>
    <t>RECEIVED
CRTS</t>
  </si>
  <si>
    <t>PLANNED
CRTS</t>
  </si>
  <si>
    <t>TOTAL
VOLUME</t>
  </si>
  <si>
    <t>TOTAL
WEIGHT</t>
  </si>
  <si>
    <t>ID STORE
SENDER</t>
  </si>
  <si>
    <t>TOTAL
CRTS</t>
  </si>
  <si>
    <t>TOTAL 
UNITS</t>
  </si>
  <si>
    <t>BERSHKA</t>
  </si>
  <si>
    <t xml:space="preserve">TER-GRAN SASSO </t>
  </si>
  <si>
    <t>GIOVEDI'</t>
  </si>
  <si>
    <t xml:space="preserve">ROM-ROMA EST   </t>
  </si>
  <si>
    <t xml:space="preserve">ROM-P.DI ROMA  </t>
  </si>
  <si>
    <t xml:space="preserve">ROM-GRAN ROMA  </t>
  </si>
  <si>
    <t>MERCOLEDI'</t>
  </si>
  <si>
    <t xml:space="preserve">ROM-EUROMA2    </t>
  </si>
  <si>
    <t>PER-COLLESTRADA</t>
  </si>
  <si>
    <t>LATI-LATINAFIOR</t>
  </si>
  <si>
    <t xml:space="preserve">FIUM-LEONARDO  </t>
  </si>
  <si>
    <t>CITT-PESCARA NO</t>
  </si>
  <si>
    <t xml:space="preserve">CHIETI-MEGALO  </t>
  </si>
  <si>
    <t>MASSIMO DUTTI</t>
  </si>
  <si>
    <t xml:space="preserve">OYSHO  </t>
  </si>
  <si>
    <t>ROM-OTTAVIANO</t>
  </si>
  <si>
    <t>PULL&amp;BEAR</t>
  </si>
  <si>
    <t>ROM-EUROMA2 APT0</t>
  </si>
  <si>
    <t>5349B</t>
  </si>
  <si>
    <t>ROM-EUROMA2 APT9</t>
  </si>
  <si>
    <t>PER-COLLESTRADA APT0</t>
  </si>
  <si>
    <t>6525B</t>
  </si>
  <si>
    <t xml:space="preserve">PULL&amp;BEAR </t>
  </si>
  <si>
    <t>PER-COLLESTRADA APT9</t>
  </si>
  <si>
    <t xml:space="preserve">ASC-AL BATTENT </t>
  </si>
  <si>
    <t>STRADIVARIUS</t>
  </si>
  <si>
    <t>ROM-VIA TUSCOLA</t>
  </si>
  <si>
    <t xml:space="preserve">PES-VITTORIO E </t>
  </si>
  <si>
    <t xml:space="preserve">ZARA   </t>
  </si>
  <si>
    <t>ZARA SHOES</t>
  </si>
  <si>
    <t xml:space="preserve">ROM-VIA APPIA  </t>
  </si>
  <si>
    <t>ZARA</t>
  </si>
  <si>
    <t>ROM-P.DI ROMA  APT 0</t>
  </si>
  <si>
    <t>ROM-P.DI ROMA  APT0</t>
  </si>
  <si>
    <t>3680B</t>
  </si>
  <si>
    <t>ROM-P.DI ROMA  APT9</t>
  </si>
  <si>
    <t xml:space="preserve">ROM-P BOCCONI  </t>
  </si>
  <si>
    <t xml:space="preserve">CHIETI-MEGALO APT0  </t>
  </si>
  <si>
    <t>3503B</t>
  </si>
  <si>
    <t>CHIETI-MEGALO APT9</t>
  </si>
  <si>
    <t>ZARA HOME</t>
  </si>
  <si>
    <t>ROM-COLA RIENZO</t>
  </si>
  <si>
    <t xml:space="preserve">MAC-ADRIATICO  </t>
  </si>
  <si>
    <t>Store ID</t>
  </si>
  <si>
    <t>Store</t>
  </si>
  <si>
    <t>PUNTO VENDITA</t>
  </si>
  <si>
    <t>CC Chieti Megalò</t>
  </si>
  <si>
    <t>OYSHO</t>
  </si>
  <si>
    <t>C.C.La Porta di Roma</t>
  </si>
  <si>
    <t>C.C. La Porta di Roma</t>
  </si>
  <si>
    <t>C.C. IL CUORE ADRIATICO</t>
  </si>
  <si>
    <t>CC LATINA</t>
  </si>
  <si>
    <t xml:space="preserve">CC GRAN ROMA </t>
  </si>
  <si>
    <t>C.C. Al Battente</t>
  </si>
  <si>
    <t>C. C. Collestrada</t>
  </si>
  <si>
    <t>CC Pescara Nord</t>
  </si>
  <si>
    <t>Pescara</t>
  </si>
  <si>
    <t>C.C. Gran sasso</t>
  </si>
  <si>
    <t>CASTEL GIUBILEO</t>
  </si>
  <si>
    <t xml:space="preserve">CC Roma EST </t>
  </si>
  <si>
    <t>TEXTILE
ATTESI</t>
  </si>
  <si>
    <t>OTHER
ATTESI</t>
  </si>
  <si>
    <t>SHOES ATTESI</t>
  </si>
  <si>
    <t>ECOM ATTESI</t>
  </si>
  <si>
    <t>STORE ID</t>
  </si>
  <si>
    <t>SECONDE USCITE</t>
  </si>
  <si>
    <t>PRIMA USCITA</t>
  </si>
  <si>
    <t>9226 + 9872</t>
  </si>
  <si>
    <t>SECONDA USCITA</t>
  </si>
  <si>
    <t>ROMA VIA APPIA</t>
  </si>
  <si>
    <t>ROMA VIA TUSCOLANA</t>
  </si>
  <si>
    <t>ROMA VIA OTTAVIANO</t>
  </si>
  <si>
    <t>ROMA 
COLA RIENZO</t>
  </si>
  <si>
    <t>CC PARCO LEONARDO</t>
  </si>
  <si>
    <t>CC EUROMA2
GIRO 1</t>
  </si>
  <si>
    <t>CC EUROMA2
GIRO 2</t>
  </si>
  <si>
    <t>CC EUROMA 2 B9</t>
  </si>
  <si>
    <t>C.C.La Porta di Roma B9</t>
  </si>
  <si>
    <t>CC Chieti Megalò B9</t>
  </si>
  <si>
    <t>C. C. Collestrada B9</t>
  </si>
  <si>
    <t>PEDANE</t>
  </si>
  <si>
    <t>Etichette di riga</t>
  </si>
  <si>
    <t>Totale complessivo</t>
  </si>
  <si>
    <t>ABBIGLIAMENTO</t>
  </si>
  <si>
    <t>SCARPE</t>
  </si>
  <si>
    <t>GRUCCE</t>
  </si>
  <si>
    <t>ANTITACHEGGIO</t>
  </si>
  <si>
    <t>5641-MAC-ADRIATICO</t>
  </si>
  <si>
    <t>8364-ROM-ROMA EST</t>
  </si>
  <si>
    <t>8428-ROM-EUROMA2</t>
  </si>
  <si>
    <t>8453-PER-COLLESTRADA</t>
  </si>
  <si>
    <t>8601-TER-GRAN SASSO</t>
  </si>
  <si>
    <t>11796-CITT-PESCARA NO</t>
  </si>
  <si>
    <t>12899-ROM-GRAN ROMA</t>
  </si>
  <si>
    <t>14825-ROM-PORTA DI R</t>
  </si>
  <si>
    <t>TOTAL</t>
  </si>
  <si>
    <t>5306-ROM-ROMA EST</t>
  </si>
  <si>
    <t>5405-MAC-ADRIATICO</t>
  </si>
  <si>
    <t>6525-PER-COLLESTRADA</t>
  </si>
  <si>
    <t>6760-ROM-P.DI ROMA</t>
  </si>
  <si>
    <t>10265-PES-VITTORIO E</t>
  </si>
  <si>
    <t>10504-ROM-GRAN ROMA</t>
  </si>
  <si>
    <t>11629-ASC-AL BATTENT</t>
  </si>
  <si>
    <t>12093-ROM-GRAN ROMA</t>
  </si>
  <si>
    <t>12152-TER-GRAN SASSO</t>
  </si>
  <si>
    <t>1265-ROM-VIA APPIA</t>
  </si>
  <si>
    <t>3534-ROM-ROMA EST</t>
  </si>
  <si>
    <t>3591-ROM-EUROMA2</t>
  </si>
  <si>
    <t>3680-ROM-P.DI ROMA</t>
  </si>
  <si>
    <t>9226-ROM-P BOCCONI</t>
  </si>
  <si>
    <t>12059-ROM-GRAN ROMA</t>
  </si>
  <si>
    <t>12154-ASC-AL BATTENT</t>
  </si>
  <si>
    <t>12271-TER-GRAN SASSO</t>
  </si>
  <si>
    <t>Somma di Enviado3</t>
  </si>
  <si>
    <t>MC</t>
  </si>
  <si>
    <t xml:space="preserve">TOTALI </t>
  </si>
  <si>
    <t>TOTALI TEORICI</t>
  </si>
  <si>
    <t>TOTALI MC</t>
  </si>
  <si>
    <t>APPESI</t>
  </si>
  <si>
    <t>STESI</t>
  </si>
  <si>
    <t xml:space="preserve"> PEZZI 3680</t>
  </si>
  <si>
    <t>https://extranet.inditex.com/AgenteAduanas/home.html?method=getHome</t>
  </si>
  <si>
    <t>Utente</t>
  </si>
  <si>
    <t>plt_it_transmec_ro</t>
  </si>
  <si>
    <t>iSmPEvvukV9-</t>
  </si>
  <si>
    <t>Psw</t>
  </si>
  <si>
    <t>TOTALI</t>
  </si>
  <si>
    <t>2917-ROM-EUROMA2</t>
  </si>
  <si>
    <t xml:space="preserve"> PEZZI 9226</t>
  </si>
  <si>
    <t>2414-ROM-EUROMA2</t>
  </si>
  <si>
    <t>Etichette di colonna</t>
  </si>
  <si>
    <t>Somma di PEDANE</t>
  </si>
  <si>
    <t>VIA DEL CORSO</t>
  </si>
  <si>
    <t>1755-ROM-EUROMA2</t>
  </si>
  <si>
    <t>1971-ROM-P.DI ROMA</t>
  </si>
  <si>
    <t>14010-ROM-OTTAVIANO</t>
  </si>
  <si>
    <t>CHECK</t>
  </si>
  <si>
    <t>PLATFORM</t>
  </si>
  <si>
    <t>RM</t>
  </si>
  <si>
    <t>DATE</t>
  </si>
  <si>
    <t xml:space="preserve"> </t>
  </si>
  <si>
    <t>CD2-IT-ROMA</t>
  </si>
  <si>
    <t>Tienda</t>
  </si>
  <si>
    <t>P. colgada</t>
  </si>
  <si>
    <t>Paquetería</t>
  </si>
  <si>
    <t>Peso</t>
  </si>
  <si>
    <t>Volumen</t>
  </si>
  <si>
    <t>Bultos</t>
  </si>
  <si>
    <t>Confirm.</t>
  </si>
  <si>
    <t>Enviado</t>
  </si>
  <si>
    <t>Entrega</t>
  </si>
  <si>
    <t>Diferen.</t>
  </si>
  <si>
    <t>Fecha</t>
  </si>
  <si>
    <t>Inicio</t>
  </si>
  <si>
    <t>Fin</t>
  </si>
  <si>
    <t>Observaciones</t>
  </si>
  <si>
    <t>APRIRE LA PAGINA EXTRANET</t>
  </si>
  <si>
    <t>SELEZIONARE LE DATE DI RIFERIMENTO (LUN - MERC o GIOV - DOM)</t>
  </si>
  <si>
    <t>SELEZIONARE TUTTE LE RIGHE E CLICCARE SU "GROUPO DE ENTREGA"</t>
  </si>
  <si>
    <t>NELLA FINESTRA CHE SI APRE C'E ' IL LINK PER IL FILE XLS. SALVARLO COME "TOTAL" NELLA CARTELLA "ANALISI_ZARA"</t>
  </si>
  <si>
    <t>SELEZIONARE TUTTE LE RIGHE "ELCHE" E CLICCARE SU "GROUPO DE ENTREGA"</t>
  </si>
  <si>
    <t>NELLA FINESTRA CHE SI APRE C'E ' IL LINK PER IL FILE XLS. SALVARLO COME "SHOES" NELLA CARTELLA "ANALISI_ZARA"</t>
  </si>
  <si>
    <t>SELEZIONARE TUTTE LE RIGHE "ECOM" E CLICCARE SU "GROUPO DE ENTREGA"</t>
  </si>
  <si>
    <t>NELLA FINESTRA CHE SI APRE C'E ' IL LINK PER IL FILE XLS. SALVARLO COME "ECOM" NELLA CARTELLA "ANALISI_ZARA"</t>
  </si>
  <si>
    <t>SELEZIONARE TUTTE LE RIGHE ESCLUDENDO "ELCHE" E "ECOM" E CLICCARE SU "GROUPO DE ENTREGA"</t>
  </si>
  <si>
    <t>NELLA FINESTRA CHE SI APRE C'E ' IL LINK PER IL FILE XLS. SALVARLO COME "TEXILE" NELLA CARTELLA "ANALISI_ZARA"</t>
  </si>
  <si>
    <t>SELEZIONARE OGNI SINGOLA RIGA DELLA SELEZIONE PRECEDENTE (TUTTO TRANNE ELCHE E ECOM) E CLICCARE SU "ENTREGA"</t>
  </si>
  <si>
    <t>SE NELLA FINESTRA CHE SI APRIRA' SARANNO PRESENTI COLLI DI TIPO "OTHER" PROCEDERE CON IL SALVATAGGIO DELL'XLS NELLA CARTELLA "OTHER" PRESENTE IN "ANALISI_ZARA" NUMERANDOLI DA 1 A XX</t>
  </si>
  <si>
    <t>PROCEDERE PER OGNI RIGA DI TIPO TEXILE</t>
  </si>
  <si>
    <t>PREMERE IL TASTO -&gt;</t>
  </si>
  <si>
    <t>SVILUPPO</t>
  </si>
  <si>
    <t>3680 /0</t>
  </si>
  <si>
    <t>PLT</t>
  </si>
  <si>
    <t>BETA</t>
  </si>
  <si>
    <t>STANDER</t>
  </si>
  <si>
    <t>NEGOZIO</t>
  </si>
  <si>
    <t>7593-ROM-VIA TUSCOLA</t>
  </si>
  <si>
    <t>3503-CHIETI-MEGALO</t>
  </si>
  <si>
    <t>16060-LATI-LATINAFIOR</t>
  </si>
  <si>
    <t>P&amp;B</t>
  </si>
  <si>
    <t>CHIETI MEGALO</t>
  </si>
  <si>
    <t>2972-MAC-ADRIATICO</t>
  </si>
  <si>
    <t>5367-ROM-P.DI ROMA</t>
  </si>
  <si>
    <t>1984-ROM-COLA RIENZO</t>
  </si>
  <si>
    <t>COLLI</t>
  </si>
  <si>
    <t>TIPO MEZZO</t>
  </si>
  <si>
    <t>LA CELESSICA</t>
  </si>
  <si>
    <t>MDL</t>
  </si>
  <si>
    <t>ZARA HOME APP</t>
  </si>
  <si>
    <t>/0</t>
  </si>
  <si>
    <t>/8</t>
  </si>
  <si>
    <t>2898-ROM-ROMA EST</t>
  </si>
  <si>
    <t>5349-ROM-EUROMA2</t>
  </si>
  <si>
    <t>1984B</t>
  </si>
  <si>
    <t>5367B</t>
  </si>
  <si>
    <t>ORIENTA</t>
  </si>
  <si>
    <t>4518-ROM-EUROMA2</t>
  </si>
  <si>
    <t>TERZA USCITA</t>
  </si>
  <si>
    <t>VETTORE</t>
  </si>
  <si>
    <t>VARI</t>
  </si>
  <si>
    <t>TOTALE PEDANE</t>
  </si>
  <si>
    <t>VETTORE AUTISTA</t>
  </si>
  <si>
    <t>COD.MEZZO</t>
  </si>
  <si>
    <t xml:space="preserve"> SUPPORTO</t>
  </si>
  <si>
    <t>BILICO 33</t>
  </si>
  <si>
    <t>MOTRICE 18</t>
  </si>
  <si>
    <t>MOTRICE 14</t>
  </si>
  <si>
    <t>MOTRICE EE 18</t>
  </si>
  <si>
    <t>MOTRICE EE 14</t>
  </si>
  <si>
    <t>FURGONE 8</t>
  </si>
  <si>
    <t>MOTRICE 14x3</t>
  </si>
  <si>
    <t>SI - FURGONE</t>
  </si>
  <si>
    <t>SI - BILICO</t>
  </si>
  <si>
    <t>2068 - 2158</t>
  </si>
  <si>
    <t>codSGA</t>
  </si>
  <si>
    <t>cod neg</t>
  </si>
  <si>
    <t>cc</t>
  </si>
  <si>
    <t>marchio</t>
  </si>
  <si>
    <t>Raggruppamento</t>
  </si>
  <si>
    <t>DATA_CARICO</t>
  </si>
  <si>
    <t>DATA_SCARICO</t>
  </si>
  <si>
    <t>COD_DESTINATARIO</t>
  </si>
  <si>
    <t>PESO</t>
  </si>
  <si>
    <t>Previsión grupo de envío</t>
  </si>
  <si>
    <t>Envíos incluidos:</t>
  </si>
  <si>
    <t>Resumen por tienda:</t>
  </si>
  <si>
    <t>No</t>
  </si>
  <si>
    <t>PEZZI 3591</t>
  </si>
  <si>
    <t>16351-CHIETI-MEGALO</t>
  </si>
  <si>
    <t>CHIETI</t>
  </si>
  <si>
    <t>CORREZIONE PROFUM</t>
  </si>
  <si>
    <t>C. ORIENTA</t>
  </si>
  <si>
    <t>TOTALE PEZZI</t>
  </si>
  <si>
    <t>LOGITALIA</t>
  </si>
  <si>
    <t>BILICO x 3</t>
  </si>
  <si>
    <t>16564-CHIETI-MEGALO</t>
  </si>
  <si>
    <t>ZA1</t>
  </si>
  <si>
    <t>ZA2</t>
  </si>
  <si>
    <t>ZA3</t>
  </si>
  <si>
    <t>ZA4</t>
  </si>
  <si>
    <t>ZA5</t>
  </si>
  <si>
    <t>ZA6</t>
  </si>
  <si>
    <t>ZA7</t>
  </si>
  <si>
    <t>ZA8</t>
  </si>
  <si>
    <t>ZA9</t>
  </si>
  <si>
    <t>ZA10</t>
  </si>
  <si>
    <t>ZA11</t>
  </si>
  <si>
    <t>ZA12</t>
  </si>
  <si>
    <t>ZA13</t>
  </si>
  <si>
    <t>ZA14</t>
  </si>
  <si>
    <t>ZA15</t>
  </si>
  <si>
    <t>RAGG</t>
  </si>
  <si>
    <t>RAGG_VERO</t>
  </si>
  <si>
    <t>SI - MOTRICE</t>
  </si>
  <si>
    <t>2435-ROM-P.DI ROMA</t>
  </si>
  <si>
    <t>8428B</t>
  </si>
  <si>
    <t>14825B</t>
  </si>
  <si>
    <t>ZA16</t>
  </si>
  <si>
    <t>ZA17</t>
  </si>
  <si>
    <t>ZA18</t>
  </si>
  <si>
    <t>ZA19</t>
  </si>
  <si>
    <t>TT</t>
  </si>
  <si>
    <t>COD_MITTENTE</t>
  </si>
  <si>
    <t>GIRO</t>
  </si>
  <si>
    <t>MAGAZZINO_CARICO</t>
  </si>
  <si>
    <t>MAGAZZINO_SCARICO</t>
  </si>
  <si>
    <t>MAMONT</t>
  </si>
  <si>
    <t>16647-CHIETI-MEGALO</t>
  </si>
  <si>
    <t>16723-PER-COLLESTRAD</t>
  </si>
  <si>
    <t>16723B</t>
  </si>
  <si>
    <t>SEBARADO BOCC</t>
  </si>
  <si>
    <t>CORREZIONE PROFUMI</t>
  </si>
  <si>
    <t>ISTRUZIONI</t>
  </si>
  <si>
    <t>16037-LATI-LATINAFIOR</t>
  </si>
  <si>
    <t>16269-LATI-LATINAFIOR</t>
  </si>
  <si>
    <t>0,04</t>
  </si>
  <si>
    <t>15733-ALM-E-IT-ROMA</t>
  </si>
  <si>
    <t>17019-ROM-PALAZZO RU</t>
  </si>
  <si>
    <t>ROM-PALAZZO RU</t>
  </si>
  <si>
    <t>0,13</t>
  </si>
  <si>
    <t>(vuoto)</t>
  </si>
  <si>
    <t>RUSPOLI</t>
  </si>
  <si>
    <t>ZA20</t>
  </si>
  <si>
    <t>14010B</t>
  </si>
  <si>
    <t>FURTUNA DRAGOS</t>
  </si>
  <si>
    <t>GALLO LOGISTICA</t>
  </si>
  <si>
    <t>7501-TOR-VIA ROMA</t>
  </si>
  <si>
    <t>2,99</t>
  </si>
  <si>
    <t>3,27</t>
  </si>
  <si>
    <t>9,50</t>
  </si>
  <si>
    <t>1,06</t>
  </si>
  <si>
    <t>2,00</t>
  </si>
  <si>
    <t>3,58</t>
  </si>
  <si>
    <t>3,87</t>
  </si>
  <si>
    <t>4,31</t>
  </si>
  <si>
    <t>23,44</t>
  </si>
  <si>
    <t>4,66</t>
  </si>
  <si>
    <t>2,38</t>
  </si>
  <si>
    <t>7,53</t>
  </si>
  <si>
    <t>3,98</t>
  </si>
  <si>
    <t>5,14</t>
  </si>
  <si>
    <t>3,08</t>
  </si>
  <si>
    <t>5,39</t>
  </si>
  <si>
    <t>1,85</t>
  </si>
  <si>
    <t>3,47</t>
  </si>
  <si>
    <t>2,56</t>
  </si>
  <si>
    <t>2,43</t>
  </si>
  <si>
    <t>3,07</t>
  </si>
  <si>
    <t>4,24</t>
  </si>
  <si>
    <t>1,69</t>
  </si>
  <si>
    <t>0,76</t>
  </si>
  <si>
    <t>2,06</t>
  </si>
  <si>
    <t>0,80</t>
  </si>
  <si>
    <t>1,03</t>
  </si>
  <si>
    <t>1,60</t>
  </si>
  <si>
    <t>2,67</t>
  </si>
  <si>
    <t>3,33</t>
  </si>
  <si>
    <t>0,84</t>
  </si>
  <si>
    <t>2,57</t>
  </si>
  <si>
    <t>6,50</t>
  </si>
  <si>
    <t>11,26</t>
  </si>
  <si>
    <t>15,59</t>
  </si>
  <si>
    <t>AJ.CUBICAJE W43 ROMA -  + ZHOM [21/10/2026],R0878BCR + ZGZA [21/10/2026],BSK ROMA DECO SESE CONSOL [20/10/2026],MD ROMA 10 B EXTRAS ITALIA + 20261020  + MDUT [20/10/2026],PAQUETERIA ITALIA [20/10/2026],R0894BDN + ZGZA [20/10/2026],R4366BDB + MECO [20/10/2026],R7739BCK + MECO [20/10/2026],R9177BDP + ITA TRT + 20261020 + TMP3 [20/10/2026],BSK ONT5 +  ROMA + BERSHKA ONTIGOLA 5 [19/10/2026],ECOM ROMA BSK + BSK-EC-ONTÍGOLA [19/10/2026],ECOM ROMA OYS + OYSHO-EC-ONTÍGOLA [19/10/2026],ECOM ROMA PB + PB-EC-ONTIGOLA 4 [19/10/2026],ECOM ROMA ZHO TRANS + ZH-EC-ONTIGOLA 4 [19/10/2026],ITALIA + 20261019  + MDUT [19/10/2026],ITALIA SUR + OYSHO [19/10/2026],ITALIA SUR_1 + OYSHO [19/10/2026],OV50PV + INDITEX - LELYSTAD [19/10/2026],PBO ITALY + NEWWEAR ONTIGOLA 5 [19/10/2026],R0878BCR + INDITEX-MALPICA [19/10/2026],R1271BDN + ARTX [19/10/2026],R1606BDN + INDITEX-MALPICA [19/10/2026],R3425BDM + ITA TRANS ROMA + TMP3 [19/10/2026],R3958BCV + INDITEX - LELYSTAD [19/10/2026],R5926BCY - IT ITALIA - P ROMA + STRA [19/10/2026],R5979BDR - IT ITALIA - P ROMA + STRA [19/10/2026],R7346BDN + ITA TRANS ROMA + TMP3 [19/10/2026],R7880BCM PBC ITALY + P&amp;BC [19/10/2026],R8408BCZ + INDITEX - LELYSTAD [19/10/2026],R9819BCV BSK ROMA +FERCAM DIRECTO [19/10/2026],R9840BDP PBC ITALY + P&amp;BC [19/10/2026],ROMA -  + ZHOM [19/10/2026],ROMA - R4448BCM + HOME ONTIGOLA 4 [19/10/2026]</t>
  </si>
  <si>
    <t>PAQUETERIA ITALIA [20/10/2026],R9177BDP + ITA TRT + 20261020 + TMP3 [20/10/2026],R3425BDM + ITA TRANS ROMA + TMP3 [19/10/2026],R7346BDN + ITA TRANS ROMA + TMP3 [19/10/2026]</t>
  </si>
  <si>
    <t>ECOM ROMA BSK + BSK-EC-ONTÍGOLA [19/10/2026],ECOM ROMA OYS + OYSHO-EC-ONTÍGOLA [19/10/2026],ECOM ROMA PB + PB-EC-ONTIGOLA 4 [19/10/2026],ECOM ROMA ZHO TRANS + ZH-EC-ONTIGOLA 4 [19/10/2026]</t>
  </si>
  <si>
    <t>AJ.CUBICAJE W43 ROMA -  + ZHOM [21/10/2026],R0878BCR + ZGZA [21/10/2026],BSK ROMA DECO SESE CONSOL [20/10/2026],MD ROMA 10 B EXTRAS ITALIA + 20261020  + MDUT [20/10/2026],PAQUETERIA ITALIA [20/10/2026],R0894BDN + ZGZA [20/10/2026],R4366BDB + MECO [20/10/2026],R7739BCK + MECO [20/10/2026],R9177BDP + ITA TRT + 20261020 + TMP3 [20/10/2026],BSK ONT5 +  ROMA + BERSHKA ONTIGOLA 5 [19/10/2026],ITALIA + 20261019  + MDUT [19/10/2026],ITALIA SUR + OYSHO [19/10/2026],ITALIA SUR_1 + OYSHO [19/10/2026],OV50PV + INDITEX - LELYSTAD [19/10/2026],PBO ITALY + NEWWEAR ONTIGOLA 5 [19/10/2026],R0878BCR + INDITEX-MALPICA [19/10/2026],R1271BDN + ARTX [19/10/2026],R1606BDN + INDITEX-MALPICA [19/10/2026],R3958BCV + INDITEX - LELYSTAD [19/10/2026],R5926BCY - IT ITALIA - P ROMA + STRA [19/10/2026],R5979BDR - IT ITALIA - P ROMA + STRA [19/10/2026],R7880BCM PBC ITALY + P&amp;BC [19/10/2026],R8408BCZ + INDITEX - LELYSTAD [19/10/2026],R9819BCV BSK ROMA +FERCAM DIRECTO [19/10/2026],R9840BDP PBC ITALY + P&amp;BC [19/10/2026],ROMA -  + ZHOM [19/10/2026],ROMA - R4448BCM + HOME ONTIGOLA 4 [19/10/2026]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</si>
</sst>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0.000"/>
    <numFmt numFmtId="167" formatCode="#,###,##0"/>
    <numFmt numFmtId="168" formatCode="#,###,##0.00"/>
    <numFmt numFmtId="169" formatCode="\te\x\t"/>
    <numFmt numFmtId="170" formatCode="0.0"/>
  </numFmts>
  <fonts count="83" x14ac:knownFonts="1">
    <font>
      <sz val="11"/>
      <color theme="1"/>
      <name val="Calibri"/>
    </font>
    <font>
      <b/>
      <sz val="10"/>
      <color theme="1"/>
      <name val="Calibri"/>
      <family val="2"/>
    </font>
    <font>
      <sz val="11"/>
      <name val="Calibr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rgb="FF000000"/>
      <name val="Calibri"/>
      <family val="2"/>
    </font>
    <font>
      <sz val="8"/>
      <color rgb="FFFF0000"/>
      <name val="Calibri"/>
      <family val="2"/>
    </font>
    <font>
      <sz val="8"/>
      <name val="Calibri"/>
      <family val="2"/>
    </font>
    <font>
      <sz val="11"/>
      <color theme="1"/>
      <name val="Calibri"/>
      <family val="2"/>
    </font>
    <font>
      <b/>
      <sz val="8"/>
      <name val="Calibri"/>
      <family val="2"/>
    </font>
    <font>
      <sz val="11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8"/>
      <color rgb="FF00000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sz val="11"/>
      <color theme="1"/>
      <name val="Calibri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1"/>
      <color rgb="FFC00000"/>
      <name val="Calibri"/>
      <family val="2"/>
      <scheme val="minor"/>
    </font>
    <font>
      <b/>
      <sz val="10"/>
      <color theme="1"/>
      <name val="Arial"/>
      <family val="2"/>
    </font>
    <font>
      <b/>
      <i/>
      <sz val="14"/>
      <color theme="1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9"/>
      <color rgb="FFFF0000"/>
      <name val="Arial"/>
      <family val="2"/>
    </font>
    <font>
      <sz val="16"/>
      <color rgb="FFFF0000"/>
      <name val="Arial"/>
      <family val="2"/>
    </font>
    <font>
      <b/>
      <sz val="8"/>
      <color rgb="FFFF0000"/>
      <name val="Arial"/>
      <family val="2"/>
    </font>
    <font>
      <u/>
      <sz val="11"/>
      <color theme="10"/>
      <name val="Calibri"/>
      <family val="2"/>
    </font>
    <font>
      <b/>
      <sz val="9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</font>
    <font>
      <sz val="9"/>
      <color theme="1"/>
      <name val="Arial"/>
      <family val="2"/>
    </font>
    <font>
      <b/>
      <sz val="20"/>
      <color theme="1"/>
      <name val="Arial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ajor"/>
    </font>
    <font>
      <b/>
      <sz val="8"/>
      <name val="Calibri"/>
      <family val="2"/>
      <scheme val="major"/>
    </font>
    <font>
      <sz val="8"/>
      <color theme="1"/>
      <name val="Calibri"/>
      <family val="2"/>
      <scheme val="major"/>
    </font>
    <font>
      <b/>
      <sz val="8"/>
      <color theme="1"/>
      <name val="Calibri"/>
      <family val="2"/>
      <scheme val="major"/>
    </font>
    <font>
      <sz val="8"/>
      <color rgb="FF000000"/>
      <name val="Calibri"/>
      <family val="2"/>
      <scheme val="maj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name val="Calibri"/>
      <family val="2"/>
    </font>
    <font>
      <sz val="12"/>
      <color rgb="FF00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DBE5F1"/>
        <bgColor rgb="FFDBE5F1"/>
      </patternFill>
    </fill>
    <fill>
      <patternFill patternType="solid">
        <fgColor rgb="FFA5A5A5"/>
        <bgColor rgb="FFA5A5A5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E5E4E4"/>
        <bgColor rgb="FFE5E4E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F5F5F5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rgb="FFDBE5F1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5D9F1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E5E4E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rgb="FFF5F5F5"/>
      </patternFill>
    </fill>
  </fills>
  <borders count="8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ashDot">
        <color indexed="23"/>
      </left>
      <right style="dashDot">
        <color indexed="23"/>
      </right>
      <top style="dashDot">
        <color indexed="23"/>
      </top>
      <bottom style="dashDot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rgb="FF000000"/>
      </top>
      <bottom style="thin">
        <color indexed="64"/>
      </bottom>
      <diagonal/>
    </border>
  </borders>
  <cellStyleXfs count="19">
    <xf numFmtId="0" fontId="0" fillId="0" borderId="0"/>
    <xf numFmtId="164" fontId="8" fillId="0" borderId="0" applyFont="0" applyFill="0" applyBorder="0" applyAlignment="0" applyProtection="0"/>
    <xf numFmtId="0" fontId="10" fillId="0" borderId="6"/>
    <xf numFmtId="0" fontId="12" fillId="0" borderId="6"/>
    <xf numFmtId="0" fontId="26" fillId="0" borderId="6"/>
    <xf numFmtId="0" fontId="27" fillId="0" borderId="6"/>
    <xf numFmtId="0" fontId="28" fillId="0" borderId="6"/>
    <xf numFmtId="0" fontId="29" fillId="0" borderId="6"/>
    <xf numFmtId="0" fontId="30" fillId="0" borderId="6"/>
    <xf numFmtId="0" fontId="31" fillId="0" borderId="6"/>
    <xf numFmtId="0" fontId="32" fillId="0" borderId="6"/>
    <xf numFmtId="0" fontId="33" fillId="0" borderId="6"/>
    <xf numFmtId="9" fontId="34" fillId="0" borderId="0" applyFont="0" applyFill="0" applyBorder="0" applyAlignment="0" applyProtection="0"/>
    <xf numFmtId="0" fontId="34" fillId="0" borderId="6"/>
    <xf numFmtId="164" fontId="8" fillId="0" borderId="6" applyFont="0" applyFill="0" applyBorder="0" applyAlignment="0" applyProtection="0"/>
    <xf numFmtId="0" fontId="36" fillId="0" borderId="6"/>
    <xf numFmtId="0" fontId="37" fillId="0" borderId="6"/>
    <xf numFmtId="0" fontId="38" fillId="0" borderId="6"/>
    <xf numFmtId="0" fontId="50" fillId="0" borderId="0" applyNumberFormat="0" applyFill="0" applyBorder="0" applyAlignment="0" applyProtection="0"/>
  </cellStyleXfs>
  <cellXfs count="576">
    <xf numFmtId="0" fontId="0" fillId="0" borderId="0" xfId="0" applyFont="1" applyAlignment="1"/>
    <xf numFmtId="0" fontId="0" fillId="0" borderId="0" xfId="0" applyFont="1" applyAlignment="1"/>
    <xf numFmtId="0" fontId="17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6" borderId="7" xfId="2" applyFont="1" applyFill="1" applyBorder="1" applyAlignment="1">
      <alignment horizontal="center" vertical="center" wrapText="1" readingOrder="1"/>
    </xf>
    <xf numFmtId="0" fontId="17" fillId="0" borderId="15" xfId="0" applyFont="1" applyBorder="1" applyAlignment="1">
      <alignment horizontal="center" vertical="center"/>
    </xf>
    <xf numFmtId="0" fontId="14" fillId="6" borderId="7" xfId="2" applyFont="1" applyFill="1" applyBorder="1" applyAlignment="1">
      <alignment horizontal="center" vertical="center" wrapText="1" readingOrder="1"/>
    </xf>
    <xf numFmtId="0" fontId="21" fillId="0" borderId="7" xfId="0" applyFont="1" applyBorder="1" applyAlignment="1">
      <alignment horizontal="center" vertical="center" wrapText="1"/>
    </xf>
    <xf numFmtId="0" fontId="21" fillId="9" borderId="7" xfId="2" applyFont="1" applyFill="1" applyBorder="1" applyAlignment="1">
      <alignment horizontal="center" vertical="center" wrapText="1" readingOrder="1"/>
    </xf>
    <xf numFmtId="0" fontId="21" fillId="0" borderId="15" xfId="0" applyFont="1" applyBorder="1" applyAlignment="1">
      <alignment horizontal="center" vertical="center" wrapText="1"/>
    </xf>
    <xf numFmtId="0" fontId="14" fillId="6" borderId="17" xfId="2" applyFont="1" applyFill="1" applyBorder="1" applyAlignment="1">
      <alignment horizontal="center" vertical="center" wrapText="1" readingOrder="1"/>
    </xf>
    <xf numFmtId="0" fontId="21" fillId="9" borderId="15" xfId="2" applyFont="1" applyFill="1" applyBorder="1" applyAlignment="1">
      <alignment horizontal="center" vertical="center" wrapText="1" readingOrder="1"/>
    </xf>
    <xf numFmtId="0" fontId="12" fillId="0" borderId="7" xfId="3" applyFont="1" applyBorder="1" applyAlignment="1">
      <alignment horizontal="center" vertical="center" wrapText="1"/>
    </xf>
    <xf numFmtId="0" fontId="12" fillId="7" borderId="7" xfId="3" applyFont="1" applyFill="1" applyBorder="1" applyAlignment="1">
      <alignment horizontal="center" vertical="center" wrapText="1"/>
    </xf>
    <xf numFmtId="0" fontId="21" fillId="0" borderId="7" xfId="2" applyFont="1" applyBorder="1" applyAlignment="1">
      <alignment horizontal="center" vertical="center" wrapText="1" readingOrder="1"/>
    </xf>
    <xf numFmtId="0" fontId="12" fillId="0" borderId="15" xfId="3" applyFont="1" applyBorder="1" applyAlignment="1">
      <alignment horizontal="center" vertical="center" wrapText="1"/>
    </xf>
    <xf numFmtId="0" fontId="21" fillId="0" borderId="15" xfId="2" applyFont="1" applyBorder="1" applyAlignment="1">
      <alignment horizontal="center" vertical="center" wrapText="1" readingOrder="1"/>
    </xf>
    <xf numFmtId="0" fontId="21" fillId="7" borderId="7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8" borderId="7" xfId="0" applyFont="1" applyFill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21" fillId="7" borderId="7" xfId="2" applyFont="1" applyFill="1" applyBorder="1" applyAlignment="1">
      <alignment horizontal="center" vertical="center" wrapText="1" readingOrder="1"/>
    </xf>
    <xf numFmtId="0" fontId="14" fillId="6" borderId="16" xfId="2" applyFont="1" applyFill="1" applyBorder="1" applyAlignment="1">
      <alignment horizontal="center" vertical="center" wrapText="1" readingOrder="1"/>
    </xf>
    <xf numFmtId="0" fontId="15" fillId="0" borderId="14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5" fillId="10" borderId="14" xfId="2" applyFont="1" applyFill="1" applyBorder="1" applyAlignment="1">
      <alignment horizontal="center" vertical="center" wrapText="1" readingOrder="1"/>
    </xf>
    <xf numFmtId="0" fontId="19" fillId="0" borderId="14" xfId="0" applyFont="1" applyBorder="1" applyAlignment="1">
      <alignment horizontal="center" vertical="center"/>
    </xf>
    <xf numFmtId="0" fontId="23" fillId="0" borderId="13" xfId="3" applyFont="1" applyBorder="1" applyAlignment="1">
      <alignment horizontal="center" vertical="center" wrapText="1"/>
    </xf>
    <xf numFmtId="0" fontId="23" fillId="0" borderId="14" xfId="3" applyFont="1" applyBorder="1" applyAlignment="1">
      <alignment horizontal="center" vertical="center" wrapText="1"/>
    </xf>
    <xf numFmtId="0" fontId="15" fillId="0" borderId="13" xfId="2" applyFont="1" applyBorder="1" applyAlignment="1">
      <alignment horizontal="center" vertical="center" wrapText="1" readingOrder="1"/>
    </xf>
    <xf numFmtId="0" fontId="23" fillId="8" borderId="13" xfId="3" applyFont="1" applyFill="1" applyBorder="1" applyAlignment="1">
      <alignment horizontal="center" vertical="center" wrapText="1"/>
    </xf>
    <xf numFmtId="0" fontId="23" fillId="8" borderId="14" xfId="3" applyFont="1" applyFill="1" applyBorder="1" applyAlignment="1">
      <alignment horizontal="center" vertical="center" wrapText="1"/>
    </xf>
    <xf numFmtId="0" fontId="22" fillId="8" borderId="15" xfId="0" applyFont="1" applyFill="1" applyBorder="1" applyAlignment="1">
      <alignment horizontal="center" vertical="center"/>
    </xf>
    <xf numFmtId="0" fontId="15" fillId="9" borderId="13" xfId="2" applyFont="1" applyFill="1" applyBorder="1" applyAlignment="1">
      <alignment horizontal="center" vertical="center" wrapText="1" readingOrder="1"/>
    </xf>
    <xf numFmtId="0" fontId="21" fillId="10" borderId="15" xfId="2" applyFont="1" applyFill="1" applyBorder="1" applyAlignment="1">
      <alignment horizontal="center" vertical="center" wrapText="1" readingOrder="1"/>
    </xf>
    <xf numFmtId="0" fontId="12" fillId="8" borderId="15" xfId="3" applyFont="1" applyFill="1" applyBorder="1" applyAlignment="1">
      <alignment horizontal="center" vertical="center" wrapText="1"/>
    </xf>
    <xf numFmtId="0" fontId="15" fillId="10" borderId="13" xfId="2" applyFont="1" applyFill="1" applyBorder="1" applyAlignment="1">
      <alignment horizontal="center" vertical="center" wrapText="1" readingOrder="1"/>
    </xf>
    <xf numFmtId="0" fontId="22" fillId="0" borderId="7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 readingOrder="1"/>
    </xf>
    <xf numFmtId="166" fontId="16" fillId="0" borderId="0" xfId="0" applyNumberFormat="1" applyFont="1" applyAlignment="1">
      <alignment horizontal="center" vertical="center"/>
    </xf>
    <xf numFmtId="0" fontId="14" fillId="6" borderId="13" xfId="2" applyFont="1" applyFill="1" applyBorder="1" applyAlignment="1">
      <alignment horizontal="center" vertical="center" wrapText="1" readingOrder="1"/>
    </xf>
    <xf numFmtId="0" fontId="15" fillId="7" borderId="13" xfId="2" applyFont="1" applyFill="1" applyBorder="1" applyAlignment="1">
      <alignment horizontal="center" vertical="center" wrapText="1" readingOrder="1"/>
    </xf>
    <xf numFmtId="0" fontId="15" fillId="6" borderId="13" xfId="2" applyFont="1" applyFill="1" applyBorder="1" applyAlignment="1">
      <alignment horizontal="center" vertical="center" wrapText="1" readingOrder="1"/>
    </xf>
    <xf numFmtId="0" fontId="15" fillId="7" borderId="13" xfId="0" applyFont="1" applyFill="1" applyBorder="1" applyAlignment="1">
      <alignment horizontal="center" vertical="center" wrapText="1"/>
    </xf>
    <xf numFmtId="0" fontId="23" fillId="7" borderId="14" xfId="3" applyFont="1" applyFill="1" applyBorder="1" applyAlignment="1">
      <alignment horizontal="center" vertical="center" wrapText="1"/>
    </xf>
    <xf numFmtId="0" fontId="12" fillId="7" borderId="15" xfId="0" applyFont="1" applyFill="1" applyBorder="1" applyAlignment="1">
      <alignment horizontal="center" vertical="center" wrapText="1"/>
    </xf>
    <xf numFmtId="0" fontId="12" fillId="7" borderId="15" xfId="3" applyFont="1" applyFill="1" applyBorder="1" applyAlignment="1">
      <alignment horizontal="center" vertical="center" wrapText="1"/>
    </xf>
    <xf numFmtId="0" fontId="11" fillId="6" borderId="17" xfId="2" applyFont="1" applyFill="1" applyBorder="1" applyAlignment="1">
      <alignment horizontal="center" vertical="center" wrapText="1" readingOrder="1"/>
    </xf>
    <xf numFmtId="0" fontId="16" fillId="0" borderId="0" xfId="0" quotePrefix="1" applyFont="1" applyAlignment="1">
      <alignment horizontal="center" vertical="center"/>
    </xf>
    <xf numFmtId="0" fontId="26" fillId="0" borderId="6" xfId="4"/>
    <xf numFmtId="167" fontId="26" fillId="0" borderId="6" xfId="4" applyNumberFormat="1"/>
    <xf numFmtId="0" fontId="27" fillId="0" borderId="6" xfId="5"/>
    <xf numFmtId="167" fontId="27" fillId="0" borderId="6" xfId="5" applyNumberFormat="1" applyAlignment="1">
      <alignment horizontal="right"/>
    </xf>
    <xf numFmtId="0" fontId="27" fillId="0" borderId="6" xfId="5"/>
    <xf numFmtId="167" fontId="27" fillId="0" borderId="6" xfId="5" applyNumberFormat="1" applyAlignment="1">
      <alignment horizontal="right"/>
    </xf>
    <xf numFmtId="0" fontId="27" fillId="0" borderId="6" xfId="5"/>
    <xf numFmtId="167" fontId="27" fillId="0" borderId="6" xfId="5" applyNumberFormat="1" applyAlignment="1">
      <alignment horizontal="right"/>
    </xf>
    <xf numFmtId="2" fontId="0" fillId="0" borderId="0" xfId="0" applyNumberFormat="1" applyFont="1" applyAlignment="1"/>
    <xf numFmtId="0" fontId="16" fillId="0" borderId="7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21" fillId="10" borderId="7" xfId="2" applyFont="1" applyFill="1" applyBorder="1" applyAlignment="1">
      <alignment horizontal="center" vertical="center" wrapText="1" readingOrder="1"/>
    </xf>
    <xf numFmtId="0" fontId="12" fillId="8" borderId="7" xfId="3" applyFont="1" applyFill="1" applyBorder="1" applyAlignment="1">
      <alignment horizontal="center" vertical="center" wrapText="1"/>
    </xf>
    <xf numFmtId="0" fontId="0" fillId="0" borderId="0" xfId="0"/>
    <xf numFmtId="0" fontId="0" fillId="8" borderId="0" xfId="0" applyFont="1" applyFill="1" applyAlignment="1"/>
    <xf numFmtId="0" fontId="11" fillId="6" borderId="7" xfId="2" applyFont="1" applyFill="1" applyBorder="1" applyAlignment="1">
      <alignment horizontal="center" vertical="center" wrapText="1" readingOrder="1"/>
    </xf>
    <xf numFmtId="0" fontId="0" fillId="0" borderId="7" xfId="0" applyFont="1" applyBorder="1" applyAlignment="1">
      <alignment horizontal="center" vertical="center"/>
    </xf>
    <xf numFmtId="0" fontId="0" fillId="0" borderId="7" xfId="0" pivotButton="1" applyFont="1" applyBorder="1" applyAlignment="1">
      <alignment horizontal="center" vertical="center"/>
    </xf>
    <xf numFmtId="0" fontId="0" fillId="0" borderId="6" xfId="13" applyFont="1" applyProtection="1">
      <protection locked="0"/>
    </xf>
    <xf numFmtId="165" fontId="2" fillId="0" borderId="6" xfId="14" applyNumberFormat="1" applyFont="1" applyProtection="1">
      <protection locked="0"/>
    </xf>
    <xf numFmtId="165" fontId="2" fillId="0" borderId="6" xfId="14" applyNumberFormat="1" applyFont="1" applyAlignment="1" applyProtection="1">
      <protection locked="0"/>
    </xf>
    <xf numFmtId="164" fontId="2" fillId="0" borderId="6" xfId="14" applyFont="1" applyAlignment="1" applyProtection="1">
      <protection locked="0"/>
    </xf>
    <xf numFmtId="0" fontId="2" fillId="0" borderId="6" xfId="13" applyFont="1" applyProtection="1">
      <protection locked="0"/>
    </xf>
    <xf numFmtId="0" fontId="7" fillId="0" borderId="6" xfId="13" applyFont="1" applyProtection="1">
      <protection locked="0"/>
    </xf>
    <xf numFmtId="0" fontId="7" fillId="0" borderId="6" xfId="13" applyFont="1" applyAlignment="1" applyProtection="1">
      <alignment horizontal="center" vertical="center"/>
      <protection locked="0"/>
    </xf>
    <xf numFmtId="0" fontId="9" fillId="2" borderId="2" xfId="13" applyFont="1" applyFill="1" applyBorder="1" applyAlignment="1" applyProtection="1">
      <alignment horizontal="center" vertical="center"/>
      <protection locked="0"/>
    </xf>
    <xf numFmtId="165" fontId="9" fillId="2" borderId="32" xfId="14" applyNumberFormat="1" applyFont="1" applyFill="1" applyBorder="1" applyAlignment="1" applyProtection="1">
      <alignment horizontal="center" vertical="center" wrapText="1"/>
      <protection locked="0"/>
    </xf>
    <xf numFmtId="0" fontId="9" fillId="2" borderId="32" xfId="13" applyFont="1" applyFill="1" applyBorder="1" applyAlignment="1" applyProtection="1">
      <alignment horizontal="center" vertical="center" wrapText="1"/>
      <protection locked="0"/>
    </xf>
    <xf numFmtId="165" fontId="9" fillId="2" borderId="33" xfId="14" applyNumberFormat="1" applyFont="1" applyFill="1" applyBorder="1" applyAlignment="1" applyProtection="1">
      <alignment horizontal="center" vertical="center" wrapText="1"/>
      <protection locked="0"/>
    </xf>
    <xf numFmtId="0" fontId="9" fillId="2" borderId="34" xfId="13" applyFont="1" applyFill="1" applyBorder="1" applyAlignment="1" applyProtection="1">
      <alignment horizontal="center" vertical="center" wrapText="1"/>
      <protection locked="0"/>
    </xf>
    <xf numFmtId="165" fontId="7" fillId="0" borderId="39" xfId="14" applyNumberFormat="1" applyFont="1" applyBorder="1" applyAlignment="1" applyProtection="1">
      <alignment vertical="center"/>
      <protection locked="0"/>
    </xf>
    <xf numFmtId="165" fontId="7" fillId="0" borderId="38" xfId="14" applyNumberFormat="1" applyFont="1" applyBorder="1" applyAlignment="1" applyProtection="1">
      <alignment vertical="center"/>
      <protection locked="0"/>
    </xf>
    <xf numFmtId="164" fontId="7" fillId="0" borderId="43" xfId="14" applyFont="1" applyBorder="1" applyProtection="1"/>
    <xf numFmtId="164" fontId="7" fillId="0" borderId="44" xfId="14" applyFont="1" applyBorder="1" applyProtection="1"/>
    <xf numFmtId="165" fontId="7" fillId="0" borderId="44" xfId="14" applyNumberFormat="1" applyFont="1" applyBorder="1" applyProtection="1">
      <protection locked="0"/>
    </xf>
    <xf numFmtId="165" fontId="7" fillId="0" borderId="29" xfId="14" applyNumberFormat="1" applyFont="1" applyBorder="1" applyProtection="1">
      <protection locked="0"/>
    </xf>
    <xf numFmtId="165" fontId="7" fillId="0" borderId="44" xfId="14" applyNumberFormat="1" applyFont="1" applyBorder="1" applyAlignment="1" applyProtection="1">
      <alignment vertical="center"/>
      <protection locked="0"/>
    </xf>
    <xf numFmtId="165" fontId="7" fillId="0" borderId="29" xfId="14" applyNumberFormat="1" applyFont="1" applyBorder="1" applyAlignment="1" applyProtection="1">
      <alignment vertical="center"/>
      <protection locked="0"/>
    </xf>
    <xf numFmtId="165" fontId="7" fillId="3" borderId="43" xfId="14" applyNumberFormat="1" applyFont="1" applyFill="1" applyBorder="1" applyProtection="1"/>
    <xf numFmtId="165" fontId="7" fillId="3" borderId="28" xfId="14" applyNumberFormat="1" applyFont="1" applyFill="1" applyBorder="1" applyProtection="1"/>
    <xf numFmtId="164" fontId="7" fillId="3" borderId="28" xfId="14" applyFont="1" applyFill="1" applyBorder="1" applyProtection="1"/>
    <xf numFmtId="164" fontId="7" fillId="3" borderId="44" xfId="14" applyFont="1" applyFill="1" applyBorder="1" applyProtection="1"/>
    <xf numFmtId="165" fontId="7" fillId="3" borderId="43" xfId="14" applyNumberFormat="1" applyFont="1" applyFill="1" applyBorder="1" applyAlignment="1" applyProtection="1">
      <alignment horizontal="center"/>
    </xf>
    <xf numFmtId="165" fontId="7" fillId="3" borderId="28" xfId="14" applyNumberFormat="1" applyFont="1" applyFill="1" applyBorder="1" applyAlignment="1" applyProtection="1">
      <alignment horizontal="center"/>
    </xf>
    <xf numFmtId="164" fontId="7" fillId="3" borderId="28" xfId="14" applyFont="1" applyFill="1" applyBorder="1" applyAlignment="1" applyProtection="1">
      <alignment horizontal="center"/>
    </xf>
    <xf numFmtId="164" fontId="7" fillId="3" borderId="44" xfId="14" applyFont="1" applyFill="1" applyBorder="1" applyAlignment="1" applyProtection="1">
      <alignment vertical="center"/>
    </xf>
    <xf numFmtId="165" fontId="7" fillId="16" borderId="43" xfId="14" applyNumberFormat="1" applyFont="1" applyFill="1" applyBorder="1" applyProtection="1"/>
    <xf numFmtId="165" fontId="7" fillId="16" borderId="28" xfId="14" applyNumberFormat="1" applyFont="1" applyFill="1" applyBorder="1" applyProtection="1"/>
    <xf numFmtId="0" fontId="32" fillId="0" borderId="6" xfId="10"/>
    <xf numFmtId="168" fontId="32" fillId="0" borderId="6" xfId="10" applyNumberFormat="1"/>
    <xf numFmtId="167" fontId="32" fillId="0" borderId="6" xfId="10" applyNumberFormat="1"/>
    <xf numFmtId="0" fontId="0" fillId="0" borderId="0" xfId="0" applyAlignment="1">
      <alignment horizontal="center" vertical="center"/>
    </xf>
    <xf numFmtId="0" fontId="38" fillId="0" borderId="6" xfId="17"/>
    <xf numFmtId="168" fontId="38" fillId="0" borderId="6" xfId="17" applyNumberFormat="1"/>
    <xf numFmtId="167" fontId="38" fillId="0" borderId="6" xfId="17" applyNumberFormat="1"/>
    <xf numFmtId="0" fontId="38" fillId="0" borderId="6" xfId="17"/>
    <xf numFmtId="168" fontId="38" fillId="0" borderId="6" xfId="17" applyNumberFormat="1"/>
    <xf numFmtId="167" fontId="38" fillId="0" borderId="6" xfId="17" applyNumberFormat="1"/>
    <xf numFmtId="0" fontId="38" fillId="0" borderId="6" xfId="17"/>
    <xf numFmtId="168" fontId="38" fillId="0" borderId="6" xfId="17" applyNumberFormat="1"/>
    <xf numFmtId="167" fontId="38" fillId="0" borderId="6" xfId="17" applyNumberFormat="1"/>
    <xf numFmtId="0" fontId="38" fillId="0" borderId="6" xfId="17"/>
    <xf numFmtId="168" fontId="38" fillId="0" borderId="6" xfId="17" applyNumberFormat="1"/>
    <xf numFmtId="167" fontId="38" fillId="0" borderId="6" xfId="17" applyNumberFormat="1"/>
    <xf numFmtId="0" fontId="38" fillId="0" borderId="6" xfId="17"/>
    <xf numFmtId="168" fontId="38" fillId="0" borderId="6" xfId="17" applyNumberFormat="1"/>
    <xf numFmtId="167" fontId="38" fillId="0" borderId="6" xfId="17" applyNumberFormat="1"/>
    <xf numFmtId="0" fontId="38" fillId="0" borderId="6" xfId="17"/>
    <xf numFmtId="168" fontId="38" fillId="0" borderId="6" xfId="17" applyNumberFormat="1"/>
    <xf numFmtId="167" fontId="38" fillId="0" borderId="6" xfId="17" applyNumberFormat="1"/>
    <xf numFmtId="0" fontId="38" fillId="0" borderId="6" xfId="17"/>
    <xf numFmtId="168" fontId="38" fillId="0" borderId="6" xfId="17" applyNumberFormat="1"/>
    <xf numFmtId="167" fontId="38" fillId="0" borderId="6" xfId="17" applyNumberFormat="1"/>
    <xf numFmtId="0" fontId="39" fillId="17" borderId="0" xfId="0" applyFont="1" applyFill="1"/>
    <xf numFmtId="0" fontId="0" fillId="0" borderId="0" xfId="0" applyAlignment="1">
      <alignment horizontal="left"/>
    </xf>
    <xf numFmtId="0" fontId="39" fillId="18" borderId="25" xfId="0" applyFont="1" applyFill="1" applyBorder="1"/>
    <xf numFmtId="167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67" fontId="40" fillId="19" borderId="0" xfId="0" applyNumberFormat="1" applyFont="1" applyFill="1" applyAlignment="1">
      <alignment horizontal="right"/>
    </xf>
    <xf numFmtId="168" fontId="40" fillId="19" borderId="0" xfId="0" applyNumberFormat="1" applyFont="1" applyFill="1" applyAlignment="1">
      <alignment horizontal="right"/>
    </xf>
    <xf numFmtId="0" fontId="40" fillId="18" borderId="25" xfId="0" applyFont="1" applyFill="1" applyBorder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2" fontId="14" fillId="6" borderId="7" xfId="14" applyNumberFormat="1" applyFont="1" applyFill="1" applyBorder="1" applyAlignment="1">
      <alignment horizontal="center" vertical="center" wrapText="1" readingOrder="1"/>
    </xf>
    <xf numFmtId="2" fontId="13" fillId="8" borderId="7" xfId="14" applyNumberFormat="1" applyFont="1" applyFill="1" applyBorder="1" applyAlignment="1">
      <alignment horizontal="center" vertical="center" wrapText="1"/>
    </xf>
    <xf numFmtId="2" fontId="13" fillId="7" borderId="7" xfId="14" applyNumberFormat="1" applyFont="1" applyFill="1" applyBorder="1" applyAlignment="1">
      <alignment horizontal="center" vertical="center" wrapText="1"/>
    </xf>
    <xf numFmtId="164" fontId="16" fillId="0" borderId="6" xfId="14" applyFont="1" applyAlignment="1">
      <alignment horizontal="center" vertical="center"/>
    </xf>
    <xf numFmtId="0" fontId="1" fillId="0" borderId="28" xfId="0" applyFont="1" applyBorder="1" applyProtection="1"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applyFont="1" applyProtection="1">
      <protection locked="0"/>
    </xf>
    <xf numFmtId="0" fontId="1" fillId="20" borderId="28" xfId="0" applyFont="1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5" fillId="0" borderId="37" xfId="0" applyFont="1" applyBorder="1" applyAlignment="1">
      <alignment horizontal="center" vertical="center" wrapText="1"/>
    </xf>
    <xf numFmtId="0" fontId="3" fillId="0" borderId="43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3" fillId="0" borderId="29" xfId="0" applyFont="1" applyBorder="1"/>
    <xf numFmtId="0" fontId="3" fillId="21" borderId="28" xfId="0" applyFont="1" applyFill="1" applyBorder="1" applyAlignment="1">
      <alignment horizontal="center"/>
    </xf>
    <xf numFmtId="0" fontId="3" fillId="0" borderId="28" xfId="0" applyFont="1" applyBorder="1" applyAlignment="1">
      <alignment horizontal="center" vertical="center" wrapText="1"/>
    </xf>
    <xf numFmtId="0" fontId="3" fillId="5" borderId="28" xfId="0" applyFont="1" applyFill="1" applyBorder="1" applyAlignment="1">
      <alignment horizontal="center"/>
    </xf>
    <xf numFmtId="0" fontId="7" fillId="0" borderId="29" xfId="0" applyFont="1" applyBorder="1"/>
    <xf numFmtId="0" fontId="3" fillId="14" borderId="28" xfId="0" applyFont="1" applyFill="1" applyBorder="1" applyAlignment="1">
      <alignment horizont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vertical="center"/>
    </xf>
    <xf numFmtId="0" fontId="3" fillId="5" borderId="28" xfId="0" applyFont="1" applyFill="1" applyBorder="1" applyAlignment="1">
      <alignment horizontal="center" vertical="center"/>
    </xf>
    <xf numFmtId="0" fontId="3" fillId="21" borderId="28" xfId="0" applyFont="1" applyFill="1" applyBorder="1" applyAlignment="1">
      <alignment horizontal="center" vertical="center"/>
    </xf>
    <xf numFmtId="0" fontId="3" fillId="0" borderId="47" xfId="0" applyFont="1" applyBorder="1" applyAlignment="1">
      <alignment horizontal="center"/>
    </xf>
    <xf numFmtId="0" fontId="3" fillId="0" borderId="48" xfId="0" applyFont="1" applyBorder="1" applyAlignment="1">
      <alignment horizontal="center" vertical="center"/>
    </xf>
    <xf numFmtId="0" fontId="5" fillId="0" borderId="48" xfId="0" applyFont="1" applyBorder="1" applyAlignment="1">
      <alignment horizontal="center" vertical="center" wrapText="1"/>
    </xf>
    <xf numFmtId="0" fontId="7" fillId="0" borderId="43" xfId="0" applyFont="1" applyBorder="1" applyProtection="1">
      <protection locked="0"/>
    </xf>
    <xf numFmtId="0" fontId="7" fillId="3" borderId="45" xfId="0" applyFont="1" applyFill="1" applyBorder="1"/>
    <xf numFmtId="0" fontId="7" fillId="0" borderId="29" xfId="0" applyFont="1" applyBorder="1" applyAlignment="1" applyProtection="1">
      <alignment vertical="center"/>
      <protection locked="0"/>
    </xf>
    <xf numFmtId="0" fontId="2" fillId="0" borderId="46" xfId="0" applyFont="1" applyBorder="1" applyAlignment="1">
      <alignment horizontal="right" wrapText="1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0" borderId="29" xfId="0" applyFont="1" applyBorder="1" applyProtection="1">
      <protection locked="0"/>
    </xf>
    <xf numFmtId="0" fontId="7" fillId="0" borderId="43" xfId="0" applyFont="1" applyBorder="1" applyAlignment="1" applyProtection="1">
      <alignment vertical="center"/>
      <protection locked="0"/>
    </xf>
    <xf numFmtId="0" fontId="7" fillId="4" borderId="29" xfId="0" applyFont="1" applyFill="1" applyBorder="1" applyProtection="1">
      <protection locked="0"/>
    </xf>
    <xf numFmtId="0" fontId="7" fillId="0" borderId="4" xfId="0" applyFont="1" applyBorder="1" applyProtection="1">
      <protection locked="0"/>
    </xf>
    <xf numFmtId="0" fontId="7" fillId="0" borderId="45" xfId="0" applyFont="1" applyBorder="1" applyProtection="1">
      <protection locked="0"/>
    </xf>
    <xf numFmtId="0" fontId="7" fillId="4" borderId="5" xfId="0" applyFont="1" applyFill="1" applyBorder="1" applyAlignment="1" applyProtection="1">
      <alignment horizontal="center" vertical="center"/>
      <protection locked="0"/>
    </xf>
    <xf numFmtId="165" fontId="9" fillId="2" borderId="54" xfId="14" applyNumberFormat="1" applyFont="1" applyFill="1" applyBorder="1" applyAlignment="1" applyProtection="1">
      <alignment horizontal="center" vertical="center" wrapText="1"/>
      <protection locked="0"/>
    </xf>
    <xf numFmtId="165" fontId="9" fillId="13" borderId="8" xfId="14" applyNumberFormat="1" applyFont="1" applyFill="1" applyBorder="1" applyAlignment="1" applyProtection="1">
      <alignment horizontal="center" vertical="center" wrapText="1"/>
      <protection locked="0"/>
    </xf>
    <xf numFmtId="165" fontId="9" fillId="2" borderId="8" xfId="14" applyNumberFormat="1" applyFont="1" applyFill="1" applyBorder="1" applyAlignment="1" applyProtection="1">
      <alignment horizontal="center" vertical="center" wrapText="1"/>
      <protection locked="0"/>
    </xf>
    <xf numFmtId="164" fontId="9" fillId="2" borderId="8" xfId="14" applyFont="1" applyFill="1" applyBorder="1" applyAlignment="1" applyProtection="1">
      <alignment horizontal="center" vertical="center" wrapText="1"/>
      <protection locked="0"/>
    </xf>
    <xf numFmtId="164" fontId="9" fillId="2" borderId="55" xfId="14" applyFont="1" applyFill="1" applyBorder="1" applyAlignment="1" applyProtection="1">
      <alignment horizontal="center" vertical="center" wrapText="1"/>
      <protection locked="0"/>
    </xf>
    <xf numFmtId="1" fontId="24" fillId="12" borderId="7" xfId="0" applyNumberFormat="1" applyFont="1" applyFill="1" applyBorder="1" applyAlignment="1">
      <alignment vertical="center"/>
    </xf>
    <xf numFmtId="0" fontId="16" fillId="8" borderId="13" xfId="0" applyFont="1" applyFill="1" applyBorder="1" applyAlignment="1">
      <alignment horizontal="center" vertical="center"/>
    </xf>
    <xf numFmtId="165" fontId="17" fillId="8" borderId="7" xfId="1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9" fontId="21" fillId="8" borderId="6" xfId="12" applyFont="1" applyFill="1" applyBorder="1" applyAlignment="1">
      <alignment horizontal="center" vertical="center"/>
    </xf>
    <xf numFmtId="2" fontId="17" fillId="8" borderId="7" xfId="0" applyNumberFormat="1" applyFont="1" applyFill="1" applyBorder="1" applyAlignment="1">
      <alignment horizontal="center" vertical="center"/>
    </xf>
    <xf numFmtId="0" fontId="16" fillId="8" borderId="7" xfId="0" applyFont="1" applyFill="1" applyBorder="1" applyAlignment="1">
      <alignment horizontal="center" vertical="center"/>
    </xf>
    <xf numFmtId="0" fontId="19" fillId="8" borderId="18" xfId="0" applyFont="1" applyFill="1" applyBorder="1" applyAlignment="1">
      <alignment horizontal="center" vertical="center"/>
    </xf>
    <xf numFmtId="0" fontId="22" fillId="8" borderId="6" xfId="0" applyFont="1" applyFill="1" applyBorder="1" applyAlignment="1">
      <alignment horizontal="center" vertical="center"/>
    </xf>
    <xf numFmtId="164" fontId="16" fillId="8" borderId="6" xfId="14" applyFont="1" applyFill="1" applyBorder="1" applyAlignment="1">
      <alignment horizontal="center" vertical="center"/>
    </xf>
    <xf numFmtId="165" fontId="22" fillId="8" borderId="6" xfId="1" applyNumberFormat="1" applyFont="1" applyFill="1" applyBorder="1" applyAlignment="1">
      <alignment horizontal="center" vertical="center"/>
    </xf>
    <xf numFmtId="0" fontId="19" fillId="8" borderId="16" xfId="0" applyFont="1" applyFill="1" applyBorder="1" applyAlignment="1">
      <alignment horizontal="center" vertical="center"/>
    </xf>
    <xf numFmtId="0" fontId="42" fillId="8" borderId="17" xfId="0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center" vertical="center"/>
    </xf>
    <xf numFmtId="1" fontId="19" fillId="8" borderId="7" xfId="0" applyNumberFormat="1" applyFont="1" applyFill="1" applyBorder="1" applyAlignment="1">
      <alignment horizontal="center" vertical="center"/>
    </xf>
    <xf numFmtId="0" fontId="41" fillId="8" borderId="7" xfId="0" applyFont="1" applyFill="1" applyBorder="1" applyAlignment="1">
      <alignment vertical="center"/>
    </xf>
    <xf numFmtId="0" fontId="19" fillId="8" borderId="14" xfId="0" applyFont="1" applyFill="1" applyBorder="1" applyAlignment="1">
      <alignment horizontal="center" vertical="center"/>
    </xf>
    <xf numFmtId="1" fontId="19" fillId="8" borderId="15" xfId="0" applyNumberFormat="1" applyFont="1" applyFill="1" applyBorder="1" applyAlignment="1">
      <alignment horizontal="center" vertical="center"/>
    </xf>
    <xf numFmtId="0" fontId="41" fillId="8" borderId="15" xfId="0" applyFont="1" applyFill="1" applyBorder="1" applyAlignment="1">
      <alignment vertical="center"/>
    </xf>
    <xf numFmtId="0" fontId="17" fillId="8" borderId="23" xfId="0" applyFont="1" applyFill="1" applyBorder="1" applyAlignment="1">
      <alignment horizontal="center" vertical="center"/>
    </xf>
    <xf numFmtId="0" fontId="16" fillId="8" borderId="23" xfId="0" applyFont="1" applyFill="1" applyBorder="1" applyAlignment="1">
      <alignment horizontal="center" vertical="center"/>
    </xf>
    <xf numFmtId="0" fontId="17" fillId="8" borderId="17" xfId="0" applyFont="1" applyFill="1" applyBorder="1" applyAlignment="1">
      <alignment horizontal="center" vertical="center"/>
    </xf>
    <xf numFmtId="0" fontId="17" fillId="8" borderId="57" xfId="0" applyFont="1" applyFill="1" applyBorder="1" applyAlignment="1">
      <alignment horizontal="center" vertical="center"/>
    </xf>
    <xf numFmtId="0" fontId="17" fillId="8" borderId="53" xfId="0" applyFont="1" applyFill="1" applyBorder="1" applyAlignment="1">
      <alignment horizontal="center" vertical="center"/>
    </xf>
    <xf numFmtId="2" fontId="14" fillId="6" borderId="17" xfId="14" applyNumberFormat="1" applyFont="1" applyFill="1" applyBorder="1" applyAlignment="1">
      <alignment horizontal="center" vertical="center" wrapText="1" readingOrder="1"/>
    </xf>
    <xf numFmtId="0" fontId="49" fillId="6" borderId="7" xfId="2" applyFont="1" applyFill="1" applyBorder="1" applyAlignment="1">
      <alignment horizontal="center" vertical="center" wrapText="1" readingOrder="1"/>
    </xf>
    <xf numFmtId="0" fontId="46" fillId="0" borderId="0" xfId="0" applyFont="1"/>
    <xf numFmtId="0" fontId="47" fillId="6" borderId="7" xfId="2" applyFont="1" applyFill="1" applyBorder="1" applyAlignment="1">
      <alignment horizontal="center" vertical="center" wrapText="1" readingOrder="1"/>
    </xf>
    <xf numFmtId="0" fontId="48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5" fontId="17" fillId="8" borderId="6" xfId="1" applyNumberFormat="1" applyFont="1" applyFill="1" applyBorder="1" applyAlignment="1">
      <alignment horizontal="center" vertical="center"/>
    </xf>
    <xf numFmtId="164" fontId="43" fillId="8" borderId="7" xfId="14" applyFont="1" applyFill="1" applyBorder="1" applyAlignment="1">
      <alignment vertical="center"/>
    </xf>
    <xf numFmtId="0" fontId="46" fillId="0" borderId="7" xfId="0" applyFont="1" applyBorder="1"/>
    <xf numFmtId="0" fontId="46" fillId="0" borderId="6" xfId="0" applyFont="1" applyBorder="1"/>
    <xf numFmtId="0" fontId="16" fillId="8" borderId="18" xfId="0" applyFont="1" applyFill="1" applyBorder="1" applyAlignment="1">
      <alignment horizontal="center" vertical="center"/>
    </xf>
    <xf numFmtId="164" fontId="43" fillId="8" borderId="15" xfId="14" applyFont="1" applyFill="1" applyBorder="1" applyAlignment="1">
      <alignment vertical="center"/>
    </xf>
    <xf numFmtId="0" fontId="46" fillId="0" borderId="15" xfId="0" applyFont="1" applyBorder="1"/>
    <xf numFmtId="0" fontId="46" fillId="8" borderId="6" xfId="0" applyFont="1" applyFill="1" applyBorder="1"/>
    <xf numFmtId="0" fontId="46" fillId="8" borderId="23" xfId="0" applyFont="1" applyFill="1" applyBorder="1"/>
    <xf numFmtId="0" fontId="16" fillId="8" borderId="16" xfId="0" applyFont="1" applyFill="1" applyBorder="1" applyAlignment="1">
      <alignment horizontal="center" vertical="center"/>
    </xf>
    <xf numFmtId="165" fontId="17" fillId="8" borderId="17" xfId="1" applyNumberFormat="1" applyFont="1" applyFill="1" applyBorder="1" applyAlignment="1">
      <alignment horizontal="center" vertical="center"/>
    </xf>
    <xf numFmtId="164" fontId="17" fillId="8" borderId="56" xfId="14" applyFont="1" applyFill="1" applyBorder="1" applyAlignment="1">
      <alignment horizontal="center" vertical="center"/>
    </xf>
    <xf numFmtId="164" fontId="17" fillId="8" borderId="57" xfId="14" applyFont="1" applyFill="1" applyBorder="1" applyAlignment="1">
      <alignment horizontal="center" vertical="center"/>
    </xf>
    <xf numFmtId="164" fontId="16" fillId="8" borderId="57" xfId="14" applyFont="1" applyFill="1" applyBorder="1" applyAlignment="1">
      <alignment horizontal="center" vertical="center"/>
    </xf>
    <xf numFmtId="165" fontId="17" fillId="8" borderId="57" xfId="14" applyNumberFormat="1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/>
    </xf>
    <xf numFmtId="165" fontId="17" fillId="8" borderId="15" xfId="1" applyNumberFormat="1" applyFont="1" applyFill="1" applyBorder="1" applyAlignment="1">
      <alignment horizontal="center" vertical="center"/>
    </xf>
    <xf numFmtId="165" fontId="17" fillId="8" borderId="53" xfId="14" applyNumberFormat="1" applyFont="1" applyFill="1" applyBorder="1" applyAlignment="1">
      <alignment horizontal="center" vertical="center"/>
    </xf>
    <xf numFmtId="0" fontId="3" fillId="0" borderId="43" xfId="0" applyFont="1" applyBorder="1" applyProtection="1">
      <protection locked="0"/>
    </xf>
    <xf numFmtId="0" fontId="6" fillId="0" borderId="43" xfId="0" applyFont="1" applyBorder="1" applyProtection="1">
      <protection locked="0"/>
    </xf>
    <xf numFmtId="0" fontId="3" fillId="0" borderId="43" xfId="0" applyFont="1" applyBorder="1" applyAlignment="1" applyProtection="1">
      <alignment vertical="center"/>
      <protection locked="0"/>
    </xf>
    <xf numFmtId="0" fontId="9" fillId="2" borderId="54" xfId="13" applyFont="1" applyFill="1" applyBorder="1" applyAlignment="1" applyProtection="1">
      <alignment horizontal="center" vertical="center" wrapText="1"/>
      <protection locked="0"/>
    </xf>
    <xf numFmtId="0" fontId="9" fillId="2" borderId="55" xfId="13" applyFont="1" applyFill="1" applyBorder="1" applyAlignment="1" applyProtection="1">
      <alignment horizontal="center" vertical="center" wrapText="1"/>
      <protection locked="0"/>
    </xf>
    <xf numFmtId="0" fontId="12" fillId="7" borderId="7" xfId="0" applyFont="1" applyFill="1" applyBorder="1" applyAlignment="1">
      <alignment horizontal="center" vertical="center" wrapText="1"/>
    </xf>
    <xf numFmtId="1" fontId="17" fillId="12" borderId="7" xfId="0" applyNumberFormat="1" applyFont="1" applyFill="1" applyBorder="1" applyAlignment="1">
      <alignment horizontal="center" vertical="center"/>
    </xf>
    <xf numFmtId="1" fontId="17" fillId="12" borderId="15" xfId="0" applyNumberFormat="1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3" fillId="23" borderId="28" xfId="0" applyFont="1" applyFill="1" applyBorder="1" applyAlignment="1">
      <alignment horizontal="center"/>
    </xf>
    <xf numFmtId="165" fontId="7" fillId="3" borderId="67" xfId="14" applyNumberFormat="1" applyFont="1" applyFill="1" applyBorder="1" applyProtection="1"/>
    <xf numFmtId="165" fontId="25" fillId="15" borderId="68" xfId="14" applyNumberFormat="1" applyFont="1" applyFill="1" applyBorder="1" applyAlignment="1" applyProtection="1">
      <alignment horizontal="center"/>
    </xf>
    <xf numFmtId="164" fontId="25" fillId="15" borderId="68" xfId="14" applyFont="1" applyFill="1" applyBorder="1" applyAlignment="1" applyProtection="1">
      <alignment horizontal="center"/>
    </xf>
    <xf numFmtId="165" fontId="7" fillId="3" borderId="69" xfId="14" applyNumberFormat="1" applyFont="1" applyFill="1" applyBorder="1" applyProtection="1"/>
    <xf numFmtId="164" fontId="7" fillId="3" borderId="69" xfId="14" applyFont="1" applyFill="1" applyBorder="1" applyProtection="1"/>
    <xf numFmtId="164" fontId="7" fillId="3" borderId="70" xfId="14" applyFont="1" applyFill="1" applyBorder="1" applyProtection="1"/>
    <xf numFmtId="0" fontId="3" fillId="0" borderId="49" xfId="0" applyFont="1" applyBorder="1" applyAlignment="1">
      <alignment vertical="center"/>
    </xf>
    <xf numFmtId="0" fontId="3" fillId="0" borderId="47" xfId="0" applyFont="1" applyBorder="1" applyAlignment="1" applyProtection="1">
      <alignment vertical="center"/>
      <protection locked="0"/>
    </xf>
    <xf numFmtId="0" fontId="19" fillId="8" borderId="10" xfId="0" applyFont="1" applyFill="1" applyBorder="1" applyAlignment="1">
      <alignment horizontal="center" vertical="center"/>
    </xf>
    <xf numFmtId="165" fontId="17" fillId="8" borderId="53" xfId="1" applyNumberFormat="1" applyFont="1" applyFill="1" applyBorder="1" applyAlignment="1">
      <alignment horizontal="center" vertical="center"/>
    </xf>
    <xf numFmtId="0" fontId="16" fillId="8" borderId="12" xfId="0" applyFont="1" applyFill="1" applyBorder="1" applyAlignment="1">
      <alignment horizontal="center" vertical="center"/>
    </xf>
    <xf numFmtId="0" fontId="16" fillId="8" borderId="59" xfId="0" applyFont="1" applyFill="1" applyBorder="1" applyAlignment="1">
      <alignment horizontal="center" vertical="center"/>
    </xf>
    <xf numFmtId="0" fontId="16" fillId="8" borderId="60" xfId="0" applyFont="1" applyFill="1" applyBorder="1" applyAlignment="1">
      <alignment horizontal="center" vertical="center"/>
    </xf>
    <xf numFmtId="0" fontId="11" fillId="6" borderId="17" xfId="2" applyFont="1" applyFill="1" applyBorder="1" applyAlignment="1">
      <alignment horizontal="center" vertical="center" wrapText="1" readingOrder="1"/>
    </xf>
    <xf numFmtId="0" fontId="11" fillId="6" borderId="17" xfId="2" applyFont="1" applyFill="1" applyBorder="1" applyAlignment="1">
      <alignment vertical="center" wrapText="1" readingOrder="1"/>
    </xf>
    <xf numFmtId="1" fontId="17" fillId="0" borderId="7" xfId="0" applyNumberFormat="1" applyFont="1" applyBorder="1" applyAlignment="1">
      <alignment horizontal="center" vertical="center"/>
    </xf>
    <xf numFmtId="1" fontId="48" fillId="0" borderId="7" xfId="0" applyNumberFormat="1" applyFont="1" applyBorder="1" applyAlignment="1">
      <alignment horizontal="center" vertical="center"/>
    </xf>
    <xf numFmtId="0" fontId="23" fillId="22" borderId="20" xfId="3" applyFont="1" applyFill="1" applyBorder="1" applyAlignment="1">
      <alignment vertical="center" wrapText="1"/>
    </xf>
    <xf numFmtId="0" fontId="23" fillId="22" borderId="21" xfId="3" applyFont="1" applyFill="1" applyBorder="1" applyAlignment="1">
      <alignment vertical="center" wrapText="1"/>
    </xf>
    <xf numFmtId="0" fontId="23" fillId="22" borderId="66" xfId="3" applyFont="1" applyFill="1" applyBorder="1" applyAlignment="1">
      <alignment vertical="center" wrapText="1"/>
    </xf>
    <xf numFmtId="0" fontId="12" fillId="8" borderId="7" xfId="3" applyFill="1" applyBorder="1" applyAlignment="1">
      <alignment horizontal="center" vertical="center" wrapText="1"/>
    </xf>
    <xf numFmtId="0" fontId="35" fillId="8" borderId="7" xfId="3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47" fillId="6" borderId="17" xfId="2" applyFont="1" applyFill="1" applyBorder="1" applyAlignment="1">
      <alignment horizontal="center" vertical="center" wrapText="1" readingOrder="1"/>
    </xf>
    <xf numFmtId="0" fontId="51" fillId="6" borderId="17" xfId="2" applyFont="1" applyFill="1" applyBorder="1" applyAlignment="1">
      <alignment horizontal="center" vertical="center" wrapText="1" readingOrder="1"/>
    </xf>
    <xf numFmtId="0" fontId="11" fillId="6" borderId="56" xfId="2" applyFont="1" applyFill="1" applyBorder="1" applyAlignment="1">
      <alignment horizontal="center" vertical="center" wrapText="1" readingOrder="1"/>
    </xf>
    <xf numFmtId="0" fontId="16" fillId="0" borderId="57" xfId="0" applyFont="1" applyBorder="1" applyAlignment="1">
      <alignment horizontal="center" vertical="center"/>
    </xf>
    <xf numFmtId="0" fontId="23" fillId="7" borderId="13" xfId="3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/>
    </xf>
    <xf numFmtId="0" fontId="46" fillId="8" borderId="11" xfId="0" applyFont="1" applyFill="1" applyBorder="1"/>
    <xf numFmtId="0" fontId="16" fillId="8" borderId="11" xfId="0" applyFont="1" applyFill="1" applyBorder="1" applyAlignment="1">
      <alignment horizontal="center" vertical="center"/>
    </xf>
    <xf numFmtId="169" fontId="53" fillId="24" borderId="76" xfId="0" applyNumberFormat="1" applyFont="1" applyFill="1" applyBorder="1" applyAlignment="1">
      <alignment horizontal="center" vertical="center" wrapText="1"/>
    </xf>
    <xf numFmtId="169" fontId="54" fillId="24" borderId="76" xfId="0" applyNumberFormat="1" applyFont="1" applyFill="1" applyBorder="1" applyAlignment="1">
      <alignment horizontal="center" vertical="center" wrapText="1"/>
    </xf>
    <xf numFmtId="14" fontId="0" fillId="0" borderId="0" xfId="0" applyNumberFormat="1" applyFont="1" applyAlignment="1"/>
    <xf numFmtId="2" fontId="53" fillId="24" borderId="76" xfId="0" applyNumberFormat="1" applyFont="1" applyFill="1" applyBorder="1" applyAlignment="1">
      <alignment horizontal="center" vertical="center" wrapText="1"/>
    </xf>
    <xf numFmtId="0" fontId="8" fillId="0" borderId="0" xfId="0" applyFont="1" applyAlignment="1"/>
    <xf numFmtId="1" fontId="0" fillId="0" borderId="0" xfId="0" applyNumberFormat="1" applyFont="1" applyAlignment="1"/>
    <xf numFmtId="0" fontId="56" fillId="0" borderId="7" xfId="0" applyNumberFormat="1" applyFont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57" fillId="25" borderId="7" xfId="0" applyFont="1" applyFill="1" applyBorder="1" applyAlignment="1">
      <alignment horizontal="center" vertical="center"/>
    </xf>
    <xf numFmtId="0" fontId="16" fillId="25" borderId="7" xfId="0" applyFont="1" applyFill="1" applyBorder="1" applyAlignment="1">
      <alignment horizontal="center" vertical="center"/>
    </xf>
    <xf numFmtId="0" fontId="3" fillId="0" borderId="38" xfId="0" applyFont="1" applyBorder="1"/>
    <xf numFmtId="0" fontId="3" fillId="0" borderId="36" xfId="0" applyFont="1" applyBorder="1" applyProtection="1">
      <protection locked="0"/>
    </xf>
    <xf numFmtId="0" fontId="3" fillId="25" borderId="28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 vertical="center" wrapText="1"/>
    </xf>
    <xf numFmtId="0" fontId="3" fillId="25" borderId="29" xfId="0" applyFont="1" applyFill="1" applyBorder="1"/>
    <xf numFmtId="0" fontId="5" fillId="14" borderId="28" xfId="0" applyFont="1" applyFill="1" applyBorder="1" applyAlignment="1">
      <alignment horizontal="center" vertical="center" wrapText="1"/>
    </xf>
    <xf numFmtId="0" fontId="3" fillId="14" borderId="29" xfId="0" applyFont="1" applyFill="1" applyBorder="1" applyAlignment="1">
      <alignment vertical="center"/>
    </xf>
    <xf numFmtId="1" fontId="24" fillId="12" borderId="7" xfId="0" applyNumberFormat="1" applyFont="1" applyFill="1" applyBorder="1" applyAlignment="1">
      <alignment horizontal="center" vertical="center"/>
    </xf>
    <xf numFmtId="0" fontId="11" fillId="6" borderId="7" xfId="2" applyFont="1" applyFill="1" applyBorder="1" applyAlignment="1">
      <alignment horizontal="center" vertical="center" wrapText="1" readingOrder="1"/>
    </xf>
    <xf numFmtId="0" fontId="16" fillId="0" borderId="7" xfId="0" applyFont="1" applyBorder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11" fillId="6" borderId="17" xfId="2" applyFont="1" applyFill="1" applyBorder="1" applyAlignment="1">
      <alignment horizontal="center" vertical="center" wrapText="1" readingOrder="1"/>
    </xf>
    <xf numFmtId="0" fontId="18" fillId="6" borderId="17" xfId="2" applyFont="1" applyFill="1" applyBorder="1" applyAlignment="1">
      <alignment horizontal="center" vertical="center" wrapText="1" readingOrder="1"/>
    </xf>
    <xf numFmtId="0" fontId="49" fillId="6" borderId="17" xfId="2" applyFont="1" applyFill="1" applyBorder="1" applyAlignment="1">
      <alignment horizontal="center" vertical="center" wrapText="1" readingOrder="1"/>
    </xf>
    <xf numFmtId="2" fontId="13" fillId="8" borderId="15" xfId="14" applyNumberFormat="1" applyFont="1" applyFill="1" applyBorder="1" applyAlignment="1">
      <alignment horizontal="center" vertical="center" wrapText="1"/>
    </xf>
    <xf numFmtId="0" fontId="48" fillId="0" borderId="15" xfId="0" applyFont="1" applyBorder="1" applyAlignment="1">
      <alignment horizontal="center" vertical="center"/>
    </xf>
    <xf numFmtId="0" fontId="23" fillId="22" borderId="18" xfId="3" applyFont="1" applyFill="1" applyBorder="1" applyAlignment="1">
      <alignment vertical="center" wrapText="1"/>
    </xf>
    <xf numFmtId="0" fontId="23" fillId="22" borderId="6" xfId="3" applyFont="1" applyFill="1" applyBorder="1" applyAlignment="1">
      <alignment vertical="center" wrapText="1"/>
    </xf>
    <xf numFmtId="0" fontId="23" fillId="22" borderId="59" xfId="3" applyFont="1" applyFill="1" applyBorder="1" applyAlignment="1">
      <alignment vertical="center" wrapText="1"/>
    </xf>
    <xf numFmtId="0" fontId="51" fillId="6" borderId="7" xfId="2" applyFont="1" applyFill="1" applyBorder="1" applyAlignment="1">
      <alignment horizontal="center" vertical="center" wrapText="1" readingOrder="1"/>
    </xf>
    <xf numFmtId="0" fontId="17" fillId="8" borderId="7" xfId="0" applyFont="1" applyFill="1" applyBorder="1" applyAlignment="1">
      <alignment horizontal="center" vertical="center"/>
    </xf>
    <xf numFmtId="0" fontId="48" fillId="8" borderId="7" xfId="0" applyFont="1" applyFill="1" applyBorder="1" applyAlignment="1">
      <alignment horizontal="center" vertical="center"/>
    </xf>
    <xf numFmtId="0" fontId="11" fillId="6" borderId="57" xfId="2" applyFont="1" applyFill="1" applyBorder="1" applyAlignment="1">
      <alignment horizontal="center" vertical="center" wrapText="1" readingOrder="1"/>
    </xf>
    <xf numFmtId="0" fontId="16" fillId="0" borderId="15" xfId="0" applyFont="1" applyBorder="1" applyAlignment="1">
      <alignment horizontal="center" vertical="center"/>
    </xf>
    <xf numFmtId="0" fontId="16" fillId="0" borderId="53" xfId="0" applyFont="1" applyBorder="1" applyAlignment="1">
      <alignment horizontal="center" vertical="center"/>
    </xf>
    <xf numFmtId="164" fontId="17" fillId="12" borderId="7" xfId="0" applyNumberFormat="1" applyFont="1" applyFill="1" applyBorder="1" applyAlignment="1">
      <alignment horizontal="center" vertical="center"/>
    </xf>
    <xf numFmtId="0" fontId="4" fillId="2" borderId="32" xfId="0" applyFont="1" applyFill="1" applyBorder="1" applyAlignment="1" applyProtection="1">
      <alignment horizontal="left" vertical="center" wrapText="1"/>
      <protection locked="0"/>
    </xf>
    <xf numFmtId="0" fontId="4" fillId="2" borderId="78" xfId="0" applyFont="1" applyFill="1" applyBorder="1" applyAlignment="1" applyProtection="1">
      <alignment vertical="center" wrapText="1"/>
      <protection locked="0"/>
    </xf>
    <xf numFmtId="0" fontId="4" fillId="2" borderId="78" xfId="0" applyFont="1" applyFill="1" applyBorder="1" applyAlignment="1" applyProtection="1">
      <alignment horizontal="center" vertical="center" wrapText="1"/>
      <protection locked="0"/>
    </xf>
    <xf numFmtId="0" fontId="4" fillId="2" borderId="79" xfId="0" applyFont="1" applyFill="1" applyBorder="1" applyAlignment="1" applyProtection="1">
      <alignment vertical="center"/>
      <protection locked="0"/>
    </xf>
    <xf numFmtId="0" fontId="4" fillId="2" borderId="32" xfId="0" applyFont="1" applyFill="1" applyBorder="1" applyAlignment="1" applyProtection="1">
      <alignment horizontal="center" vertical="center" wrapText="1"/>
      <protection locked="0"/>
    </xf>
    <xf numFmtId="164" fontId="7" fillId="0" borderId="36" xfId="14" applyFont="1" applyBorder="1" applyAlignment="1" applyProtection="1">
      <alignment vertical="center"/>
    </xf>
    <xf numFmtId="0" fontId="23" fillId="22" borderId="22" xfId="3" applyFont="1" applyFill="1" applyBorder="1" applyAlignment="1">
      <alignment vertical="center" wrapText="1"/>
    </xf>
    <xf numFmtId="0" fontId="23" fillId="22" borderId="23" xfId="3" applyFont="1" applyFill="1" applyBorder="1" applyAlignment="1">
      <alignment vertical="center" wrapText="1"/>
    </xf>
    <xf numFmtId="0" fontId="23" fillId="22" borderId="60" xfId="3" applyFont="1" applyFill="1" applyBorder="1" applyAlignment="1">
      <alignment vertical="center" wrapText="1"/>
    </xf>
    <xf numFmtId="0" fontId="17" fillId="26" borderId="7" xfId="0" applyFont="1" applyFill="1" applyBorder="1" applyAlignment="1">
      <alignment horizontal="center" vertical="center"/>
    </xf>
    <xf numFmtId="0" fontId="59" fillId="0" borderId="7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59" fillId="6" borderId="7" xfId="2" applyFont="1" applyFill="1" applyBorder="1" applyAlignment="1">
      <alignment horizontal="center" vertical="center" wrapText="1" readingOrder="1"/>
    </xf>
    <xf numFmtId="2" fontId="59" fillId="6" borderId="7" xfId="1" applyNumberFormat="1" applyFont="1" applyFill="1" applyBorder="1" applyAlignment="1">
      <alignment horizontal="center" vertical="center" wrapText="1" readingOrder="1"/>
    </xf>
    <xf numFmtId="0" fontId="60" fillId="12" borderId="0" xfId="0" applyFont="1" applyFill="1" applyAlignment="1">
      <alignment horizontal="center" vertical="center"/>
    </xf>
    <xf numFmtId="2" fontId="59" fillId="8" borderId="7" xfId="1" applyNumberFormat="1" applyFont="1" applyFill="1" applyBorder="1" applyAlignment="1">
      <alignment horizontal="center" vertical="center" wrapText="1"/>
    </xf>
    <xf numFmtId="0" fontId="60" fillId="0" borderId="7" xfId="0" applyFont="1" applyBorder="1" applyAlignment="1">
      <alignment horizontal="center" vertical="center"/>
    </xf>
    <xf numFmtId="1" fontId="60" fillId="12" borderId="7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164" fontId="60" fillId="0" borderId="0" xfId="1" applyFont="1" applyAlignment="1">
      <alignment horizontal="center" vertical="center"/>
    </xf>
    <xf numFmtId="0" fontId="54" fillId="24" borderId="76" xfId="0" applyNumberFormat="1" applyFont="1" applyFill="1" applyBorder="1" applyAlignment="1">
      <alignment horizontal="center" vertical="center" wrapText="1"/>
    </xf>
    <xf numFmtId="0" fontId="53" fillId="24" borderId="76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Alignment="1"/>
    <xf numFmtId="14" fontId="54" fillId="24" borderId="76" xfId="0" applyNumberFormat="1" applyFont="1" applyFill="1" applyBorder="1" applyAlignment="1">
      <alignment horizontal="center" vertical="center" wrapText="1"/>
    </xf>
    <xf numFmtId="14" fontId="8" fillId="0" borderId="0" xfId="0" applyNumberFormat="1" applyFont="1" applyAlignment="1"/>
    <xf numFmtId="170" fontId="53" fillId="24" borderId="76" xfId="0" applyNumberFormat="1" applyFont="1" applyFill="1" applyBorder="1" applyAlignment="1">
      <alignment horizontal="center" vertical="center" wrapText="1"/>
    </xf>
    <xf numFmtId="170" fontId="8" fillId="0" borderId="0" xfId="0" applyNumberFormat="1" applyFont="1" applyAlignment="1"/>
    <xf numFmtId="170" fontId="0" fillId="0" borderId="0" xfId="0" applyNumberFormat="1" applyFont="1" applyAlignment="1"/>
    <xf numFmtId="0" fontId="16" fillId="8" borderId="6" xfId="0" applyFont="1" applyFill="1" applyBorder="1" applyAlignment="1">
      <alignment horizontal="center" vertical="center"/>
    </xf>
    <xf numFmtId="165" fontId="17" fillId="8" borderId="6" xfId="14" applyNumberFormat="1" applyFont="1" applyFill="1" applyBorder="1" applyAlignment="1">
      <alignment horizontal="center" vertical="center"/>
    </xf>
    <xf numFmtId="0" fontId="19" fillId="12" borderId="80" xfId="0" applyFont="1" applyFill="1" applyBorder="1" applyAlignment="1">
      <alignment horizontal="center" vertical="center"/>
    </xf>
    <xf numFmtId="165" fontId="58" fillId="12" borderId="75" xfId="1" applyNumberFormat="1" applyFont="1" applyFill="1" applyBorder="1" applyAlignment="1">
      <alignment horizontal="center" vertical="center"/>
    </xf>
    <xf numFmtId="0" fontId="22" fillId="8" borderId="64" xfId="0" applyFont="1" applyFill="1" applyBorder="1" applyAlignment="1">
      <alignment horizontal="center" vertical="center"/>
    </xf>
    <xf numFmtId="0" fontId="19" fillId="8" borderId="64" xfId="0" applyFont="1" applyFill="1" applyBorder="1" applyAlignment="1">
      <alignment horizontal="center" vertical="center"/>
    </xf>
    <xf numFmtId="0" fontId="19" fillId="8" borderId="81" xfId="0" applyFont="1" applyFill="1" applyBorder="1" applyAlignment="1">
      <alignment horizontal="center" vertical="center"/>
    </xf>
    <xf numFmtId="0" fontId="15" fillId="9" borderId="16" xfId="2" applyFont="1" applyFill="1" applyBorder="1" applyAlignment="1">
      <alignment horizontal="center" vertical="center" wrapText="1" readingOrder="1"/>
    </xf>
    <xf numFmtId="165" fontId="17" fillId="8" borderId="56" xfId="1" applyNumberFormat="1" applyFont="1" applyFill="1" applyBorder="1" applyAlignment="1">
      <alignment horizontal="center" vertical="center"/>
    </xf>
    <xf numFmtId="0" fontId="15" fillId="9" borderId="14" xfId="2" applyFont="1" applyFill="1" applyBorder="1" applyAlignment="1">
      <alignment horizontal="center" vertical="center" wrapText="1" readingOrder="1"/>
    </xf>
    <xf numFmtId="0" fontId="3" fillId="14" borderId="29" xfId="0" applyFont="1" applyFill="1" applyBorder="1"/>
    <xf numFmtId="165" fontId="7" fillId="0" borderId="36" xfId="14" applyNumberFormat="1" applyFont="1" applyBorder="1" applyAlignment="1" applyProtection="1">
      <alignment horizontal="center"/>
      <protection locked="0"/>
    </xf>
    <xf numFmtId="165" fontId="7" fillId="0" borderId="37" xfId="14" applyNumberFormat="1" applyFont="1" applyBorder="1" applyAlignment="1" applyProtection="1">
      <alignment horizontal="center"/>
      <protection locked="0"/>
    </xf>
    <xf numFmtId="164" fontId="7" fillId="0" borderId="37" xfId="14" applyFont="1" applyBorder="1" applyAlignment="1" applyProtection="1">
      <alignment horizontal="center"/>
      <protection locked="0"/>
    </xf>
    <xf numFmtId="164" fontId="7" fillId="0" borderId="39" xfId="14" applyFont="1" applyBorder="1" applyAlignment="1" applyProtection="1">
      <alignment horizontal="center"/>
      <protection locked="0"/>
    </xf>
    <xf numFmtId="165" fontId="3" fillId="0" borderId="28" xfId="14" applyNumberFormat="1" applyFont="1" applyBorder="1" applyAlignment="1" applyProtection="1">
      <alignment vertical="center"/>
      <protection locked="0"/>
    </xf>
    <xf numFmtId="164" fontId="7" fillId="0" borderId="37" xfId="14" applyFont="1" applyBorder="1" applyAlignment="1" applyProtection="1">
      <alignment horizontal="center" vertical="center"/>
      <protection locked="0"/>
    </xf>
    <xf numFmtId="164" fontId="7" fillId="0" borderId="39" xfId="14" applyFont="1" applyBorder="1" applyAlignment="1" applyProtection="1">
      <alignment horizontal="center" vertical="center"/>
      <protection locked="0"/>
    </xf>
    <xf numFmtId="165" fontId="7" fillId="0" borderId="43" xfId="14" applyNumberFormat="1" applyFont="1" applyBorder="1" applyAlignment="1" applyProtection="1">
      <alignment horizontal="center"/>
      <protection locked="0"/>
    </xf>
    <xf numFmtId="165" fontId="7" fillId="0" borderId="28" xfId="14" applyNumberFormat="1" applyFont="1" applyBorder="1" applyAlignment="1" applyProtection="1">
      <alignment horizontal="center"/>
      <protection locked="0"/>
    </xf>
    <xf numFmtId="164" fontId="7" fillId="0" borderId="28" xfId="14" applyFont="1" applyBorder="1" applyAlignment="1" applyProtection="1">
      <alignment horizontal="center"/>
      <protection locked="0"/>
    </xf>
    <xf numFmtId="164" fontId="7" fillId="0" borderId="44" xfId="14" applyFont="1" applyBorder="1" applyAlignment="1" applyProtection="1">
      <alignment horizontal="center" vertical="center"/>
      <protection locked="0"/>
    </xf>
    <xf numFmtId="165" fontId="7" fillId="0" borderId="43" xfId="14" applyNumberFormat="1" applyFont="1" applyBorder="1" applyAlignment="1" applyProtection="1">
      <alignment horizontal="center" vertical="center"/>
      <protection locked="0"/>
    </xf>
    <xf numFmtId="164" fontId="7" fillId="0" borderId="28" xfId="14" applyFont="1" applyBorder="1" applyAlignment="1" applyProtection="1">
      <alignment horizontal="center" vertical="center"/>
      <protection locked="0"/>
    </xf>
    <xf numFmtId="164" fontId="7" fillId="0" borderId="44" xfId="14" applyFont="1" applyBorder="1" applyProtection="1">
      <protection locked="0"/>
    </xf>
    <xf numFmtId="165" fontId="7" fillId="0" borderId="43" xfId="14" applyNumberFormat="1" applyFont="1" applyBorder="1" applyProtection="1">
      <protection locked="0"/>
    </xf>
    <xf numFmtId="164" fontId="7" fillId="0" borderId="28" xfId="14" applyFont="1" applyBorder="1" applyProtection="1">
      <protection locked="0"/>
    </xf>
    <xf numFmtId="0" fontId="16" fillId="0" borderId="7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73" xfId="0" applyFont="1" applyBorder="1" applyAlignment="1">
      <alignment horizontal="center" vertical="center"/>
    </xf>
    <xf numFmtId="0" fontId="15" fillId="7" borderId="7" xfId="2" applyFont="1" applyFill="1" applyBorder="1" applyAlignment="1">
      <alignment horizontal="center" vertical="center" wrapText="1" readingOrder="1"/>
    </xf>
    <xf numFmtId="0" fontId="63" fillId="0" borderId="0" xfId="0" applyFont="1" applyAlignment="1"/>
    <xf numFmtId="14" fontId="63" fillId="0" borderId="0" xfId="0" applyNumberFormat="1" applyFont="1" applyAlignment="1"/>
    <xf numFmtId="0" fontId="63" fillId="0" borderId="0" xfId="0" applyNumberFormat="1" applyFont="1" applyAlignment="1"/>
    <xf numFmtId="170" fontId="63" fillId="0" borderId="0" xfId="0" applyNumberFormat="1" applyFont="1" applyAlignment="1"/>
    <xf numFmtId="1" fontId="54" fillId="24" borderId="76" xfId="0" applyNumberFormat="1" applyFont="1" applyFill="1" applyBorder="1" applyAlignment="1">
      <alignment horizontal="center" vertical="center" wrapText="1"/>
    </xf>
    <xf numFmtId="1" fontId="63" fillId="0" borderId="0" xfId="0" applyNumberFormat="1" applyFont="1" applyAlignment="1"/>
    <xf numFmtId="169" fontId="12" fillId="24" borderId="76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Alignment="1"/>
    <xf numFmtId="1" fontId="53" fillId="24" borderId="76" xfId="0" applyNumberFormat="1" applyFont="1" applyFill="1" applyBorder="1" applyAlignment="1">
      <alignment horizontal="center" vertical="center" wrapText="1"/>
    </xf>
    <xf numFmtId="0" fontId="3" fillId="25" borderId="28" xfId="0" applyFont="1" applyFill="1" applyBorder="1" applyAlignment="1">
      <alignment horizontal="center" vertical="center"/>
    </xf>
    <xf numFmtId="0" fontId="3" fillId="25" borderId="29" xfId="0" applyFont="1" applyFill="1" applyBorder="1" applyAlignment="1">
      <alignment vertical="center"/>
    </xf>
    <xf numFmtId="0" fontId="7" fillId="0" borderId="36" xfId="0" applyFont="1" applyBorder="1" applyAlignment="1" applyProtection="1">
      <alignment vertical="center"/>
      <protection locked="0"/>
    </xf>
    <xf numFmtId="0" fontId="7" fillId="3" borderId="40" xfId="0" applyFont="1" applyFill="1" applyBorder="1"/>
    <xf numFmtId="0" fontId="7" fillId="0" borderId="41" xfId="0" applyFont="1" applyBorder="1" applyAlignment="1" applyProtection="1">
      <alignment vertical="center"/>
      <protection locked="0"/>
    </xf>
    <xf numFmtId="0" fontId="2" fillId="0" borderId="42" xfId="0" applyFont="1" applyBorder="1" applyAlignment="1">
      <alignment horizontal="right" wrapText="1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0" borderId="47" xfId="0" applyFont="1" applyBorder="1" applyProtection="1">
      <protection locked="0"/>
    </xf>
    <xf numFmtId="165" fontId="7" fillId="0" borderId="50" xfId="14" applyNumberFormat="1" applyFont="1" applyBorder="1" applyProtection="1">
      <protection locked="0"/>
    </xf>
    <xf numFmtId="165" fontId="7" fillId="0" borderId="49" xfId="14" applyNumberFormat="1" applyFont="1" applyBorder="1" applyProtection="1">
      <protection locked="0"/>
    </xf>
    <xf numFmtId="0" fontId="7" fillId="3" borderId="82" xfId="0" applyFont="1" applyFill="1" applyBorder="1"/>
    <xf numFmtId="0" fontId="7" fillId="4" borderId="50" xfId="0" applyFont="1" applyFill="1" applyBorder="1" applyProtection="1">
      <protection locked="0"/>
    </xf>
    <xf numFmtId="1" fontId="24" fillId="12" borderId="7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1" fillId="6" borderId="7" xfId="2" applyFont="1" applyFill="1" applyBorder="1" applyAlignment="1">
      <alignment horizontal="center" vertical="center" wrapText="1" readingOrder="1"/>
    </xf>
    <xf numFmtId="0" fontId="11" fillId="6" borderId="7" xfId="2" applyFont="1" applyFill="1" applyBorder="1" applyAlignment="1">
      <alignment horizontal="center" vertical="center" wrapText="1" readingOrder="1"/>
    </xf>
    <xf numFmtId="0" fontId="16" fillId="0" borderId="7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5" fillId="0" borderId="7" xfId="2" applyFont="1" applyBorder="1" applyAlignment="1">
      <alignment horizontal="center" vertical="center" wrapText="1" readingOrder="1"/>
    </xf>
    <xf numFmtId="0" fontId="45" fillId="8" borderId="7" xfId="0" applyFont="1" applyFill="1" applyBorder="1" applyAlignment="1">
      <alignment horizontal="center" vertical="center"/>
    </xf>
    <xf numFmtId="0" fontId="16" fillId="8" borderId="7" xfId="0" applyFont="1" applyFill="1" applyBorder="1" applyAlignment="1">
      <alignment vertical="center"/>
    </xf>
    <xf numFmtId="0" fontId="44" fillId="8" borderId="7" xfId="0" applyFont="1" applyFill="1" applyBorder="1" applyAlignment="1">
      <alignment horizontal="center" vertical="center"/>
    </xf>
    <xf numFmtId="0" fontId="21" fillId="8" borderId="7" xfId="0" applyFont="1" applyFill="1" applyBorder="1" applyAlignment="1">
      <alignment horizontal="center" vertical="center" wrapText="1"/>
    </xf>
    <xf numFmtId="1" fontId="17" fillId="8" borderId="7" xfId="0" applyNumberFormat="1" applyFont="1" applyFill="1" applyBorder="1" applyAlignment="1">
      <alignment horizontal="center" vertical="center"/>
    </xf>
    <xf numFmtId="1" fontId="24" fillId="8" borderId="7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24" fillId="8" borderId="7" xfId="0" applyFont="1" applyFill="1" applyBorder="1" applyAlignment="1">
      <alignment horizontal="center" vertical="center"/>
    </xf>
    <xf numFmtId="0" fontId="23" fillId="8" borderId="7" xfId="3" applyFont="1" applyFill="1" applyBorder="1" applyAlignment="1">
      <alignment vertical="center" wrapText="1"/>
    </xf>
    <xf numFmtId="0" fontId="14" fillId="27" borderId="7" xfId="2" applyFont="1" applyFill="1" applyBorder="1" applyAlignment="1">
      <alignment horizontal="center" vertical="center" wrapText="1" readingOrder="1"/>
    </xf>
    <xf numFmtId="2" fontId="14" fillId="27" borderId="7" xfId="14" applyNumberFormat="1" applyFont="1" applyFill="1" applyBorder="1" applyAlignment="1">
      <alignment horizontal="center" vertical="center" wrapText="1" readingOrder="1"/>
    </xf>
    <xf numFmtId="0" fontId="11" fillId="27" borderId="7" xfId="2" applyFont="1" applyFill="1" applyBorder="1" applyAlignment="1">
      <alignment horizontal="center" vertical="center" wrapText="1" readingOrder="1"/>
    </xf>
    <xf numFmtId="1" fontId="24" fillId="8" borderId="7" xfId="0" applyNumberFormat="1" applyFont="1" applyFill="1" applyBorder="1" applyAlignment="1">
      <alignment vertical="center"/>
    </xf>
    <xf numFmtId="0" fontId="24" fillId="8" borderId="7" xfId="0" applyFont="1" applyFill="1" applyBorder="1" applyAlignment="1">
      <alignment vertical="center"/>
    </xf>
    <xf numFmtId="0" fontId="5" fillId="8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21" fillId="8" borderId="7" xfId="2" applyFont="1" applyFill="1" applyBorder="1" applyAlignment="1">
      <alignment horizontal="center" vertical="center" wrapText="1" readingOrder="1"/>
    </xf>
    <xf numFmtId="164" fontId="16" fillId="8" borderId="7" xfId="14" applyFont="1" applyFill="1" applyBorder="1" applyAlignment="1">
      <alignment horizontal="center" vertical="center"/>
    </xf>
    <xf numFmtId="2" fontId="22" fillId="0" borderId="7" xfId="0" applyNumberFormat="1" applyFont="1" applyBorder="1" applyAlignment="1">
      <alignment horizontal="center" vertical="center"/>
    </xf>
    <xf numFmtId="0" fontId="11" fillId="27" borderId="7" xfId="2" applyFont="1" applyFill="1" applyBorder="1" applyAlignment="1">
      <alignment vertical="center" wrapText="1" readingOrder="1"/>
    </xf>
    <xf numFmtId="1" fontId="17" fillId="8" borderId="7" xfId="0" applyNumberFormat="1" applyFont="1" applyFill="1" applyBorder="1" applyAlignment="1">
      <alignment vertical="center"/>
    </xf>
    <xf numFmtId="0" fontId="50" fillId="8" borderId="0" xfId="18" applyFill="1" applyAlignment="1"/>
    <xf numFmtId="0" fontId="0" fillId="8" borderId="10" xfId="0" applyFont="1" applyFill="1" applyBorder="1" applyAlignment="1"/>
    <xf numFmtId="0" fontId="64" fillId="8" borderId="0" xfId="0" applyFont="1" applyFill="1" applyAlignment="1"/>
    <xf numFmtId="0" fontId="16" fillId="28" borderId="57" xfId="0" applyFont="1" applyFill="1" applyBorder="1" applyAlignment="1">
      <alignment horizontal="center" vertical="center"/>
    </xf>
    <xf numFmtId="0" fontId="16" fillId="28" borderId="53" xfId="0" applyFont="1" applyFill="1" applyBorder="1" applyAlignment="1">
      <alignment horizontal="center" vertical="center"/>
    </xf>
    <xf numFmtId="0" fontId="65" fillId="8" borderId="56" xfId="0" applyFont="1" applyFill="1" applyBorder="1" applyAlignment="1">
      <alignment horizontal="center" vertical="center"/>
    </xf>
    <xf numFmtId="0" fontId="66" fillId="8" borderId="13" xfId="0" applyFont="1" applyFill="1" applyBorder="1" applyAlignment="1">
      <alignment horizontal="center" vertical="center"/>
    </xf>
    <xf numFmtId="0" fontId="66" fillId="8" borderId="14" xfId="0" applyFont="1" applyFill="1" applyBorder="1" applyAlignment="1">
      <alignment horizontal="center" vertical="center"/>
    </xf>
    <xf numFmtId="0" fontId="15" fillId="12" borderId="13" xfId="2" applyFont="1" applyFill="1" applyBorder="1" applyAlignment="1">
      <alignment horizontal="center" vertical="center" wrapText="1" readingOrder="1"/>
    </xf>
    <xf numFmtId="0" fontId="15" fillId="29" borderId="13" xfId="2" applyFont="1" applyFill="1" applyBorder="1" applyAlignment="1">
      <alignment horizontal="center" vertical="center" wrapText="1" readingOrder="1"/>
    </xf>
    <xf numFmtId="170" fontId="17" fillId="0" borderId="7" xfId="0" applyNumberFormat="1" applyFont="1" applyBorder="1" applyAlignment="1">
      <alignment horizontal="center" vertical="center"/>
    </xf>
    <xf numFmtId="0" fontId="11" fillId="6" borderId="7" xfId="2" applyFont="1" applyFill="1" applyBorder="1" applyAlignment="1">
      <alignment horizontal="center" vertical="center" wrapText="1" readingOrder="1"/>
    </xf>
    <xf numFmtId="0" fontId="11" fillId="6" borderId="17" xfId="2" applyFont="1" applyFill="1" applyBorder="1" applyAlignment="1">
      <alignment horizontal="center" vertical="center" wrapText="1" readingOrder="1"/>
    </xf>
    <xf numFmtId="164" fontId="7" fillId="26" borderId="43" xfId="14" applyFont="1" applyFill="1" applyBorder="1" applyProtection="1"/>
    <xf numFmtId="164" fontId="7" fillId="26" borderId="44" xfId="14" applyFont="1" applyFill="1" applyBorder="1" applyProtection="1"/>
    <xf numFmtId="0" fontId="25" fillId="15" borderId="68" xfId="0" applyFont="1" applyFill="1" applyBorder="1" applyAlignment="1">
      <alignment vertical="center"/>
    </xf>
    <xf numFmtId="0" fontId="25" fillId="15" borderId="83" xfId="0" applyFont="1" applyFill="1" applyBorder="1"/>
    <xf numFmtId="164" fontId="7" fillId="26" borderId="71" xfId="14" applyFont="1" applyFill="1" applyBorder="1" applyProtection="1"/>
    <xf numFmtId="164" fontId="7" fillId="26" borderId="72" xfId="14" applyFont="1" applyFill="1" applyBorder="1" applyProtection="1"/>
    <xf numFmtId="164" fontId="7" fillId="0" borderId="47" xfId="14" applyFont="1" applyBorder="1" applyProtection="1"/>
    <xf numFmtId="164" fontId="7" fillId="0" borderId="50" xfId="14" applyFont="1" applyBorder="1" applyProtection="1"/>
    <xf numFmtId="0" fontId="16" fillId="0" borderId="7" xfId="0" applyFont="1" applyBorder="1" applyAlignment="1">
      <alignment horizontal="center" vertical="center"/>
    </xf>
    <xf numFmtId="1" fontId="52" fillId="12" borderId="7" xfId="3" applyNumberFormat="1" applyFont="1" applyFill="1" applyBorder="1" applyAlignment="1">
      <alignment horizontal="center" vertical="center" wrapText="1"/>
    </xf>
    <xf numFmtId="0" fontId="61" fillId="7" borderId="7" xfId="2" applyFont="1" applyFill="1" applyBorder="1" applyAlignment="1">
      <alignment horizontal="center" vertical="center" wrapText="1" readingOrder="1"/>
    </xf>
    <xf numFmtId="0" fontId="60" fillId="14" borderId="7" xfId="0" applyFont="1" applyFill="1" applyBorder="1" applyAlignment="1">
      <alignment horizontal="center" vertical="center"/>
    </xf>
    <xf numFmtId="0" fontId="60" fillId="0" borderId="7" xfId="0" applyFont="1" applyBorder="1" applyAlignment="1">
      <alignment vertical="center"/>
    </xf>
    <xf numFmtId="0" fontId="61" fillId="7" borderId="7" xfId="0" applyFont="1" applyFill="1" applyBorder="1" applyAlignment="1">
      <alignment horizontal="center" vertical="center" wrapText="1"/>
    </xf>
    <xf numFmtId="0" fontId="62" fillId="7" borderId="7" xfId="3" applyFont="1" applyFill="1" applyBorder="1" applyAlignment="1">
      <alignment horizontal="center" vertical="center" wrapText="1"/>
    </xf>
    <xf numFmtId="0" fontId="60" fillId="7" borderId="7" xfId="0" applyFont="1" applyFill="1" applyBorder="1" applyAlignment="1">
      <alignment horizontal="center" vertical="center"/>
    </xf>
    <xf numFmtId="0" fontId="67" fillId="7" borderId="7" xfId="0" applyFont="1" applyFill="1" applyBorder="1" applyAlignment="1">
      <alignment horizontal="center" vertical="center"/>
    </xf>
    <xf numFmtId="0" fontId="0" fillId="12" borderId="0" xfId="0" applyFill="1"/>
    <xf numFmtId="0" fontId="8" fillId="12" borderId="0" xfId="0" applyFont="1" applyFill="1"/>
    <xf numFmtId="1" fontId="24" fillId="12" borderId="7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70" fillId="0" borderId="7" xfId="0" applyFont="1" applyBorder="1" applyAlignment="1"/>
    <xf numFmtId="0" fontId="70" fillId="0" borderId="0" xfId="0" applyFont="1" applyAlignment="1"/>
    <xf numFmtId="0" fontId="71" fillId="2" borderId="7" xfId="0" applyFont="1" applyFill="1" applyBorder="1" applyAlignment="1" applyProtection="1">
      <alignment vertical="center" wrapText="1"/>
      <protection locked="0"/>
    </xf>
    <xf numFmtId="0" fontId="71" fillId="2" borderId="7" xfId="0" applyFont="1" applyFill="1" applyBorder="1" applyAlignment="1" applyProtection="1">
      <alignment horizontal="center" vertical="center" wrapText="1"/>
      <protection locked="0"/>
    </xf>
    <xf numFmtId="0" fontId="71" fillId="2" borderId="7" xfId="0" applyFont="1" applyFill="1" applyBorder="1" applyAlignment="1" applyProtection="1">
      <alignment vertical="center"/>
      <protection locked="0"/>
    </xf>
    <xf numFmtId="0" fontId="69" fillId="2" borderId="7" xfId="0" applyFont="1" applyFill="1" applyBorder="1" applyAlignment="1" applyProtection="1">
      <alignment horizontal="center" vertical="center" wrapText="1"/>
      <protection locked="0"/>
    </xf>
    <xf numFmtId="164" fontId="69" fillId="2" borderId="7" xfId="1" applyFont="1" applyFill="1" applyBorder="1" applyAlignment="1" applyProtection="1">
      <alignment horizontal="center" vertical="center" wrapText="1"/>
      <protection locked="0"/>
    </xf>
    <xf numFmtId="0" fontId="70" fillId="0" borderId="7" xfId="0" applyFont="1" applyBorder="1" applyAlignment="1">
      <alignment horizontal="center"/>
    </xf>
    <xf numFmtId="0" fontId="72" fillId="0" borderId="7" xfId="0" applyFont="1" applyBorder="1" applyAlignment="1">
      <alignment horizontal="center" vertical="center" wrapText="1"/>
    </xf>
    <xf numFmtId="0" fontId="70" fillId="0" borderId="7" xfId="0" applyFont="1" applyBorder="1"/>
    <xf numFmtId="1" fontId="68" fillId="0" borderId="7" xfId="0" applyNumberFormat="1" applyFont="1" applyBorder="1" applyAlignment="1" applyProtection="1">
      <alignment horizontal="center"/>
      <protection locked="0"/>
    </xf>
    <xf numFmtId="2" fontId="68" fillId="0" borderId="7" xfId="0" applyNumberFormat="1" applyFont="1" applyBorder="1" applyAlignment="1" applyProtection="1">
      <alignment horizontal="center"/>
      <protection locked="0"/>
    </xf>
    <xf numFmtId="0" fontId="68" fillId="0" borderId="7" xfId="0" applyFont="1" applyBorder="1" applyAlignment="1" applyProtection="1">
      <alignment horizontal="center" vertical="center"/>
      <protection locked="0"/>
    </xf>
    <xf numFmtId="164" fontId="68" fillId="0" borderId="7" xfId="1" applyFont="1" applyBorder="1" applyAlignment="1" applyProtection="1">
      <alignment vertical="center"/>
    </xf>
    <xf numFmtId="165" fontId="68" fillId="0" borderId="7" xfId="1" applyNumberFormat="1" applyFont="1" applyBorder="1" applyAlignment="1" applyProtection="1">
      <alignment vertical="center"/>
    </xf>
    <xf numFmtId="164" fontId="70" fillId="0" borderId="7" xfId="0" applyNumberFormat="1" applyFont="1" applyBorder="1" applyAlignment="1"/>
    <xf numFmtId="1" fontId="70" fillId="0" borderId="0" xfId="0" applyNumberFormat="1" applyFont="1" applyAlignment="1"/>
    <xf numFmtId="167" fontId="70" fillId="0" borderId="0" xfId="0" applyNumberFormat="1" applyFont="1" applyAlignment="1">
      <alignment horizontal="right"/>
    </xf>
    <xf numFmtId="0" fontId="70" fillId="21" borderId="7" xfId="0" applyFont="1" applyFill="1" applyBorder="1" applyAlignment="1">
      <alignment horizontal="center"/>
    </xf>
    <xf numFmtId="0" fontId="70" fillId="23" borderId="7" xfId="0" applyFont="1" applyFill="1" applyBorder="1" applyAlignment="1">
      <alignment horizontal="center"/>
    </xf>
    <xf numFmtId="0" fontId="70" fillId="0" borderId="7" xfId="0" applyFont="1" applyBorder="1" applyAlignment="1">
      <alignment horizontal="center" vertical="center" wrapText="1"/>
    </xf>
    <xf numFmtId="0" fontId="70" fillId="0" borderId="7" xfId="0" applyFont="1" applyBorder="1" applyAlignment="1">
      <alignment horizontal="center" vertical="center"/>
    </xf>
    <xf numFmtId="0" fontId="70" fillId="0" borderId="7" xfId="0" applyFont="1" applyBorder="1" applyAlignment="1">
      <alignment vertical="center"/>
    </xf>
    <xf numFmtId="0" fontId="70" fillId="21" borderId="7" xfId="0" applyFont="1" applyFill="1" applyBorder="1" applyAlignment="1">
      <alignment horizontal="center" vertical="center"/>
    </xf>
    <xf numFmtId="0" fontId="72" fillId="0" borderId="7" xfId="0" applyFont="1" applyFill="1" applyBorder="1" applyAlignment="1">
      <alignment horizontal="center" vertical="center" wrapText="1"/>
    </xf>
    <xf numFmtId="0" fontId="70" fillId="0" borderId="7" xfId="0" applyFont="1" applyFill="1" applyBorder="1" applyAlignment="1">
      <alignment vertical="center"/>
    </xf>
    <xf numFmtId="0" fontId="70" fillId="0" borderId="7" xfId="0" applyFont="1" applyFill="1" applyBorder="1" applyAlignment="1">
      <alignment horizontal="center" vertical="center"/>
    </xf>
    <xf numFmtId="0" fontId="68" fillId="0" borderId="7" xfId="3" applyFont="1" applyBorder="1" applyAlignment="1">
      <alignment horizontal="center" vertical="center" wrapText="1"/>
    </xf>
    <xf numFmtId="2" fontId="70" fillId="0" borderId="0" xfId="0" applyNumberFormat="1" applyFont="1" applyAlignment="1"/>
    <xf numFmtId="164" fontId="70" fillId="0" borderId="0" xfId="1" applyFont="1" applyAlignment="1">
      <alignment horizontal="center"/>
    </xf>
    <xf numFmtId="0" fontId="73" fillId="6" borderId="7" xfId="2" applyFont="1" applyFill="1" applyBorder="1" applyAlignment="1">
      <alignment horizontal="center" vertical="center" wrapText="1" readingOrder="1"/>
    </xf>
    <xf numFmtId="2" fontId="73" fillId="6" borderId="7" xfId="1" applyNumberFormat="1" applyFont="1" applyFill="1" applyBorder="1" applyAlignment="1">
      <alignment horizontal="center" vertical="center" wrapText="1" readingOrder="1"/>
    </xf>
    <xf numFmtId="0" fontId="74" fillId="0" borderId="0" xfId="0" applyFont="1" applyAlignment="1">
      <alignment horizontal="center" vertical="center"/>
    </xf>
    <xf numFmtId="0" fontId="73" fillId="0" borderId="7" xfId="0" applyFont="1" applyBorder="1" applyAlignment="1">
      <alignment horizontal="center" vertical="center" wrapText="1"/>
    </xf>
    <xf numFmtId="0" fontId="75" fillId="0" borderId="7" xfId="0" applyFont="1" applyBorder="1" applyAlignment="1">
      <alignment horizontal="center" vertical="center" wrapText="1"/>
    </xf>
    <xf numFmtId="2" fontId="75" fillId="8" borderId="7" xfId="1" applyNumberFormat="1" applyFont="1" applyFill="1" applyBorder="1" applyAlignment="1">
      <alignment horizontal="center" vertical="center" wrapText="1"/>
    </xf>
    <xf numFmtId="0" fontId="74" fillId="0" borderId="7" xfId="0" applyFont="1" applyBorder="1" applyAlignment="1">
      <alignment horizontal="center" vertical="center"/>
    </xf>
    <xf numFmtId="1" fontId="74" fillId="12" borderId="7" xfId="0" applyNumberFormat="1" applyFont="1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76" fillId="0" borderId="0" xfId="0" applyFont="1" applyAlignment="1">
      <alignment horizontal="center" vertical="center"/>
    </xf>
    <xf numFmtId="164" fontId="74" fillId="0" borderId="0" xfId="1" applyFont="1" applyAlignment="1">
      <alignment horizontal="center" vertical="center"/>
    </xf>
    <xf numFmtId="0" fontId="74" fillId="12" borderId="7" xfId="0" applyFont="1" applyFill="1" applyBorder="1" applyAlignment="1">
      <alignment horizontal="center" vertical="center"/>
    </xf>
    <xf numFmtId="0" fontId="74" fillId="0" borderId="7" xfId="0" applyFont="1" applyBorder="1" applyAlignment="1">
      <alignment vertical="center"/>
    </xf>
    <xf numFmtId="0" fontId="74" fillId="23" borderId="7" xfId="0" applyFont="1" applyFill="1" applyBorder="1" applyAlignment="1">
      <alignment horizontal="center" vertical="center"/>
    </xf>
    <xf numFmtId="0" fontId="74" fillId="23" borderId="0" xfId="0" applyFont="1" applyFill="1" applyAlignment="1">
      <alignment horizontal="center" vertical="center"/>
    </xf>
    <xf numFmtId="0" fontId="79" fillId="0" borderId="0" xfId="0" applyFont="1" applyAlignment="1"/>
    <xf numFmtId="0" fontId="80" fillId="7" borderId="13" xfId="2" applyFont="1" applyFill="1" applyBorder="1" applyAlignment="1">
      <alignment horizontal="center" vertical="center" wrapText="1" readingOrder="1"/>
    </xf>
    <xf numFmtId="14" fontId="79" fillId="0" borderId="0" xfId="0" applyNumberFormat="1" applyFont="1" applyAlignment="1"/>
    <xf numFmtId="2" fontId="79" fillId="0" borderId="0" xfId="0" applyNumberFormat="1" applyFont="1" applyAlignment="1"/>
    <xf numFmtId="0" fontId="80" fillId="7" borderId="13" xfId="0" applyFont="1" applyFill="1" applyBorder="1" applyAlignment="1">
      <alignment horizontal="center" vertical="center" wrapText="1"/>
    </xf>
    <xf numFmtId="0" fontId="77" fillId="7" borderId="13" xfId="3" applyFont="1" applyFill="1" applyBorder="1" applyAlignment="1">
      <alignment horizontal="center" vertical="center" wrapText="1"/>
    </xf>
    <xf numFmtId="0" fontId="80" fillId="7" borderId="7" xfId="2" applyFont="1" applyFill="1" applyBorder="1" applyAlignment="1">
      <alignment horizontal="center" vertical="center" wrapText="1" readingOrder="1"/>
    </xf>
    <xf numFmtId="169" fontId="77" fillId="24" borderId="7" xfId="0" applyNumberFormat="1" applyFont="1" applyFill="1" applyBorder="1" applyAlignment="1">
      <alignment horizontal="center" vertical="center" wrapText="1"/>
    </xf>
    <xf numFmtId="169" fontId="78" fillId="24" borderId="7" xfId="0" applyNumberFormat="1" applyFont="1" applyFill="1" applyBorder="1" applyAlignment="1">
      <alignment horizontal="center" vertical="center" wrapText="1"/>
    </xf>
    <xf numFmtId="2" fontId="77" fillId="24" borderId="7" xfId="0" applyNumberFormat="1" applyFont="1" applyFill="1" applyBorder="1" applyAlignment="1">
      <alignment horizontal="center" vertical="center" wrapText="1"/>
    </xf>
    <xf numFmtId="0" fontId="79" fillId="0" borderId="7" xfId="0" applyFont="1" applyBorder="1" applyAlignment="1"/>
    <xf numFmtId="14" fontId="79" fillId="0" borderId="7" xfId="0" applyNumberFormat="1" applyFont="1" applyBorder="1" applyAlignment="1"/>
    <xf numFmtId="2" fontId="79" fillId="0" borderId="7" xfId="0" applyNumberFormat="1" applyFont="1" applyBorder="1" applyAlignment="1"/>
    <xf numFmtId="1" fontId="79" fillId="0" borderId="7" xfId="0" applyNumberFormat="1" applyFont="1" applyBorder="1" applyAlignment="1"/>
    <xf numFmtId="0" fontId="80" fillId="7" borderId="7" xfId="0" applyFont="1" applyFill="1" applyBorder="1" applyAlignment="1">
      <alignment horizontal="center" vertical="center" wrapText="1"/>
    </xf>
    <xf numFmtId="0" fontId="77" fillId="7" borderId="7" xfId="3" applyFont="1" applyFill="1" applyBorder="1" applyAlignment="1">
      <alignment horizontal="center" vertical="center" wrapText="1"/>
    </xf>
    <xf numFmtId="1" fontId="54" fillId="24" borderId="7" xfId="0" applyNumberFormat="1" applyFont="1" applyFill="1" applyBorder="1" applyAlignment="1">
      <alignment horizontal="center" vertical="center" wrapText="1"/>
    </xf>
    <xf numFmtId="0" fontId="82" fillId="7" borderId="7" xfId="2" applyFont="1" applyFill="1" applyBorder="1" applyAlignment="1">
      <alignment horizontal="center" vertical="center" wrapText="1" readingOrder="1"/>
    </xf>
    <xf numFmtId="0" fontId="11" fillId="0" borderId="6" xfId="2" applyFont="1" applyFill="1" applyBorder="1" applyAlignment="1">
      <alignment horizontal="center" vertical="center" wrapText="1" readingOrder="1"/>
    </xf>
    <xf numFmtId="0" fontId="51" fillId="0" borderId="11" xfId="2" applyFont="1" applyFill="1" applyBorder="1" applyAlignment="1">
      <alignment horizontal="center" vertical="center" wrapText="1" readingOrder="1"/>
    </xf>
    <xf numFmtId="0" fontId="11" fillId="0" borderId="11" xfId="2" applyFont="1" applyFill="1" applyBorder="1" applyAlignment="1">
      <alignment horizontal="center" vertical="center" wrapText="1" readingOrder="1"/>
    </xf>
    <xf numFmtId="0" fontId="11" fillId="0" borderId="12" xfId="2" applyFont="1" applyFill="1" applyBorder="1" applyAlignment="1">
      <alignment horizontal="center" vertical="center" wrapText="1" readingOrder="1"/>
    </xf>
    <xf numFmtId="0" fontId="1" fillId="0" borderId="29" xfId="0" applyFont="1" applyBorder="1" applyAlignment="1" applyProtection="1">
      <alignment horizontal="left" vertical="center"/>
      <protection locked="0"/>
    </xf>
    <xf numFmtId="0" fontId="1" fillId="0" borderId="30" xfId="0" applyFont="1" applyBorder="1" applyAlignment="1" applyProtection="1">
      <alignment horizontal="left" vertical="center"/>
      <protection locked="0"/>
    </xf>
    <xf numFmtId="0" fontId="1" fillId="0" borderId="31" xfId="0" applyFont="1" applyBorder="1" applyAlignment="1" applyProtection="1">
      <alignment horizontal="left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2" fillId="0" borderId="77" xfId="0" applyFont="1" applyBorder="1" applyProtection="1">
      <protection locked="0"/>
    </xf>
    <xf numFmtId="0" fontId="9" fillId="2" borderId="33" xfId="13" applyFont="1" applyFill="1" applyBorder="1" applyAlignment="1" applyProtection="1">
      <alignment horizontal="center" vertical="center"/>
      <protection locked="0"/>
    </xf>
    <xf numFmtId="0" fontId="9" fillId="2" borderId="51" xfId="13" applyFont="1" applyFill="1" applyBorder="1" applyAlignment="1" applyProtection="1">
      <alignment horizontal="center" vertical="center"/>
      <protection locked="0"/>
    </xf>
    <xf numFmtId="0" fontId="9" fillId="2" borderId="52" xfId="13" applyFont="1" applyFill="1" applyBorder="1" applyAlignment="1" applyProtection="1">
      <alignment horizontal="center" vertical="center"/>
      <protection locked="0"/>
    </xf>
    <xf numFmtId="0" fontId="9" fillId="2" borderId="2" xfId="13" applyFont="1" applyFill="1" applyBorder="1" applyAlignment="1" applyProtection="1">
      <alignment horizontal="center" vertical="center" wrapText="1"/>
      <protection locked="0"/>
    </xf>
    <xf numFmtId="0" fontId="9" fillId="2" borderId="35" xfId="13" applyFont="1" applyFill="1" applyBorder="1" applyAlignment="1" applyProtection="1">
      <alignment horizontal="center" vertical="center" wrapText="1"/>
      <protection locked="0"/>
    </xf>
    <xf numFmtId="0" fontId="23" fillId="8" borderId="7" xfId="3" applyFont="1" applyFill="1" applyBorder="1" applyAlignment="1">
      <alignment horizontal="center" vertical="center" wrapText="1"/>
    </xf>
    <xf numFmtId="0" fontId="11" fillId="6" borderId="7" xfId="2" applyFont="1" applyFill="1" applyBorder="1" applyAlignment="1">
      <alignment horizontal="center" vertical="center" wrapText="1" readingOrder="1"/>
    </xf>
    <xf numFmtId="1" fontId="24" fillId="8" borderId="7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164" fontId="43" fillId="8" borderId="58" xfId="14" applyFont="1" applyFill="1" applyBorder="1" applyAlignment="1">
      <alignment horizontal="center" vertical="center"/>
    </xf>
    <xf numFmtId="164" fontId="43" fillId="8" borderId="62" xfId="14" applyFont="1" applyFill="1" applyBorder="1" applyAlignment="1">
      <alignment horizontal="center" vertical="center"/>
    </xf>
    <xf numFmtId="164" fontId="43" fillId="8" borderId="63" xfId="14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16" fillId="8" borderId="23" xfId="0" applyFont="1" applyFill="1" applyBorder="1" applyAlignment="1">
      <alignment horizontal="center" vertical="center"/>
    </xf>
    <xf numFmtId="0" fontId="11" fillId="6" borderId="17" xfId="2" applyFont="1" applyFill="1" applyBorder="1" applyAlignment="1">
      <alignment horizontal="center" vertical="center" wrapText="1" readingOrder="1"/>
    </xf>
    <xf numFmtId="1" fontId="24" fillId="12" borderId="27" xfId="0" applyNumberFormat="1" applyFont="1" applyFill="1" applyBorder="1" applyAlignment="1">
      <alignment horizontal="center" vertical="center"/>
    </xf>
    <xf numFmtId="1" fontId="24" fillId="12" borderId="9" xfId="0" applyNumberFormat="1" applyFont="1" applyFill="1" applyBorder="1" applyAlignment="1">
      <alignment horizontal="center" vertical="center"/>
    </xf>
    <xf numFmtId="0" fontId="11" fillId="6" borderId="58" xfId="2" applyFont="1" applyFill="1" applyBorder="1" applyAlignment="1">
      <alignment horizontal="center" vertical="center" wrapText="1" readingOrder="1"/>
    </xf>
    <xf numFmtId="0" fontId="11" fillId="6" borderId="65" xfId="2" applyFont="1" applyFill="1" applyBorder="1" applyAlignment="1">
      <alignment horizontal="center" vertical="center" wrapText="1" readingOrder="1"/>
    </xf>
    <xf numFmtId="1" fontId="24" fillId="12" borderId="7" xfId="0" applyNumberFormat="1" applyFont="1" applyFill="1" applyBorder="1" applyAlignment="1">
      <alignment horizontal="center" vertical="center"/>
    </xf>
    <xf numFmtId="1" fontId="20" fillId="12" borderId="7" xfId="0" applyNumberFormat="1" applyFont="1" applyFill="1" applyBorder="1" applyAlignment="1">
      <alignment horizontal="center" vertical="center"/>
    </xf>
    <xf numFmtId="0" fontId="24" fillId="12" borderId="7" xfId="0" applyFont="1" applyFill="1" applyBorder="1" applyAlignment="1">
      <alignment horizontal="center" vertical="center"/>
    </xf>
    <xf numFmtId="1" fontId="24" fillId="12" borderId="15" xfId="0" applyNumberFormat="1" applyFont="1" applyFill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61" xfId="0" applyFont="1" applyBorder="1" applyAlignment="1">
      <alignment horizontal="center" vertical="center"/>
    </xf>
    <xf numFmtId="0" fontId="16" fillId="0" borderId="73" xfId="0" applyFont="1" applyBorder="1" applyAlignment="1">
      <alignment horizontal="center" vertical="center"/>
    </xf>
    <xf numFmtId="0" fontId="16" fillId="0" borderId="74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1" fontId="24" fillId="12" borderId="26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1" fontId="24" fillId="12" borderId="61" xfId="0" applyNumberFormat="1" applyFont="1" applyFill="1" applyBorder="1" applyAlignment="1">
      <alignment horizontal="center" vertical="center"/>
    </xf>
    <xf numFmtId="0" fontId="22" fillId="0" borderId="73" xfId="0" applyFont="1" applyBorder="1" applyAlignment="1">
      <alignment horizontal="center" vertical="center"/>
    </xf>
    <xf numFmtId="0" fontId="22" fillId="0" borderId="74" xfId="0" applyFont="1" applyBorder="1" applyAlignment="1">
      <alignment horizontal="center" vertical="center"/>
    </xf>
    <xf numFmtId="0" fontId="22" fillId="0" borderId="75" xfId="0" applyFont="1" applyBorder="1" applyAlignment="1">
      <alignment horizontal="center" vertical="center"/>
    </xf>
    <xf numFmtId="0" fontId="69" fillId="2" borderId="7" xfId="0" applyFont="1" applyFill="1" applyBorder="1" applyAlignment="1" applyProtection="1">
      <alignment horizontal="center" vertical="center"/>
      <protection locked="0"/>
    </xf>
    <xf numFmtId="0" fontId="68" fillId="0" borderId="7" xfId="0" applyFont="1" applyBorder="1" applyProtection="1">
      <protection locked="0"/>
    </xf>
    <xf numFmtId="0" fontId="19" fillId="11" borderId="24" xfId="0" applyFont="1" applyFill="1" applyBorder="1" applyAlignment="1">
      <alignment horizontal="center" vertical="center"/>
    </xf>
    <xf numFmtId="0" fontId="19" fillId="11" borderId="19" xfId="0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 wrapText="1"/>
    </xf>
    <xf numFmtId="0" fontId="23" fillId="11" borderId="11" xfId="3" applyFont="1" applyFill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3" fillId="11" borderId="20" xfId="3" applyFont="1" applyFill="1" applyBorder="1" applyAlignment="1">
      <alignment horizontal="center" vertical="center" wrapText="1"/>
    </xf>
    <xf numFmtId="0" fontId="23" fillId="11" borderId="21" xfId="3" applyFont="1" applyFill="1" applyBorder="1" applyAlignment="1">
      <alignment horizontal="center" vertical="center" wrapText="1"/>
    </xf>
    <xf numFmtId="0" fontId="23" fillId="11" borderId="22" xfId="3" applyFont="1" applyFill="1" applyBorder="1" applyAlignment="1">
      <alignment horizontal="center" vertical="center" wrapText="1"/>
    </xf>
    <xf numFmtId="0" fontId="23" fillId="11" borderId="23" xfId="3" applyFont="1" applyFill="1" applyBorder="1" applyAlignment="1">
      <alignment horizontal="center" vertical="center" wrapText="1"/>
    </xf>
    <xf numFmtId="0" fontId="23" fillId="11" borderId="18" xfId="3" applyFont="1" applyFill="1" applyBorder="1" applyAlignment="1">
      <alignment horizontal="center" vertical="center" wrapText="1"/>
    </xf>
    <xf numFmtId="0" fontId="23" fillId="11" borderId="6" xfId="3" applyFont="1" applyFill="1" applyBorder="1" applyAlignment="1">
      <alignment horizontal="center" vertical="center" wrapText="1"/>
    </xf>
  </cellXfs>
  <cellStyles count="19">
    <cellStyle name="Collegamento ipertestuale" xfId="18" builtinId="8"/>
    <cellStyle name="Migliaia" xfId="1" builtinId="3"/>
    <cellStyle name="Migliaia 2" xfId="14" xr:uid="{5E58F1EB-245E-49CA-94BC-5A026C12B517}"/>
    <cellStyle name="Normal" xfId="2" xr:uid="{34B751F3-F38E-4B8A-8487-4AA7C9C0D608}"/>
    <cellStyle name="Normale" xfId="0" builtinId="0"/>
    <cellStyle name="Normale 10" xfId="11" xr:uid="{A8DF1B1F-F702-44CF-96D6-A194AA573921}"/>
    <cellStyle name="Normale 11" xfId="13" xr:uid="{63FB4709-1383-4DFC-A3BC-2B6751560BAC}"/>
    <cellStyle name="Normale 12" xfId="15" xr:uid="{B169CE5A-A262-4FC4-B792-7D27159F718D}"/>
    <cellStyle name="Normale 13" xfId="16" xr:uid="{E12E9E87-E79F-4834-BE36-9D6E2EF26977}"/>
    <cellStyle name="Normale 14" xfId="17" xr:uid="{791BDCE2-63CF-4E10-BD81-56DFAD558341}"/>
    <cellStyle name="Normale 2" xfId="3" xr:uid="{3E720FC2-296A-49AF-9D66-550D4FB3586A}"/>
    <cellStyle name="Normale 3" xfId="4" xr:uid="{0A73760C-625D-43A1-8F39-B0EDCCDFA262}"/>
    <cellStyle name="Normale 4" xfId="5" xr:uid="{716DBBF5-7C38-4F03-9F63-62F057DA7D67}"/>
    <cellStyle name="Normale 5" xfId="6" xr:uid="{5E1A761E-2819-43AC-960B-A39E23F3978A}"/>
    <cellStyle name="Normale 6" xfId="7" xr:uid="{75D0704D-850A-49A2-859F-B27B8C9A1A10}"/>
    <cellStyle name="Normale 7" xfId="8" xr:uid="{E1DFCD0C-5D37-4D81-B7D7-8EB15A1350DE}"/>
    <cellStyle name="Normale 8" xfId="9" xr:uid="{8A7ADE32-BFD3-446E-936C-5610614B863C}"/>
    <cellStyle name="Normale 9" xfId="10" xr:uid="{84EB2A1C-1EA4-4683-A491-E8A144A94669}"/>
    <cellStyle name="Percentuale" xfId="12" builtinId="5"/>
  </cellStyles>
  <dxfs count="2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z val="16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6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230505</xdr:colOff>
      <xdr:row>26</xdr:row>
      <xdr:rowOff>80010</xdr:rowOff>
    </xdr:from>
    <xdr:to>
      <xdr:col>4</xdr:col>
      <xdr:colOff>344805</xdr:colOff>
      <xdr:row>29</xdr:row>
      <xdr:rowOff>167640</xdr:rowOff>
    </xdr:to>
    <xdr:sp macro="[0]!SVUOTA_FIL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9705" y="4834890"/>
          <a:ext cx="1333500" cy="6362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3600"/>
            <a:t>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47</xdr:row>
          <xdr:rowOff>19050</xdr:rowOff>
        </xdr:from>
        <xdr:to>
          <xdr:col>3</xdr:col>
          <xdr:colOff>28575</xdr:colOff>
          <xdr:row>50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ESPORTA BARRA ZERO PER SGA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46</xdr:row>
          <xdr:rowOff>161925</xdr:rowOff>
        </xdr:from>
        <xdr:to>
          <xdr:col>5</xdr:col>
          <xdr:colOff>419100</xdr:colOff>
          <xdr:row>50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ESPORTA BARRA NOVE PER SGA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228600</xdr:colOff>
      <xdr:row>31</xdr:row>
      <xdr:rowOff>161925</xdr:rowOff>
    </xdr:from>
    <xdr:to>
      <xdr:col>4</xdr:col>
      <xdr:colOff>342900</xdr:colOff>
      <xdr:row>35</xdr:row>
      <xdr:rowOff>59055</xdr:rowOff>
    </xdr:to>
    <xdr:sp macro="[0]!EXPORT_PLANNER" textlink="">
      <xdr:nvSpPr>
        <xdr:cNvPr id="5" name="Rettangolo con angoli arrotondati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7800" y="6162675"/>
          <a:ext cx="1333500" cy="6591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EXPORT PLANNER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3" name="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5" name="Shape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7" name="Shape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9" name="Shape 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1" name="Shape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2" name="Shape 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3" name="Shape 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4" name="Shape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5" name="Shape 2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6" name="Shape 2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7" name="Shape 2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19" name="Shape 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21" name="Shape 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23" name="Shape 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83</xdr:row>
      <xdr:rowOff>0</xdr:rowOff>
    </xdr:from>
    <xdr:ext cx="289560" cy="1905"/>
    <xdr:sp macro="" textlink="">
      <xdr:nvSpPr>
        <xdr:cNvPr id="25" name="Shape 2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7704201" y="34381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5" name="Shap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553581" y="276225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553581" y="278663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7" name="Shape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53581" y="278663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534281" y="283464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9" name="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34281" y="283464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534281" y="283464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1" name="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2" name="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3" name="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4" name="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5" name="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6" name="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7" name="Shape 2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19" name="Shape 2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1" name="Shape 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637401" y="2828544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3" name="Shape 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6096381" y="354330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6096381" y="354330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5" name="Shape 2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6096381" y="354330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6" name="Shape 2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6096381" y="354330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7" name="Shape 2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6096381" y="354330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94</xdr:row>
      <xdr:rowOff>0</xdr:rowOff>
    </xdr:from>
    <xdr:ext cx="289560" cy="1905"/>
    <xdr:sp macro="" textlink="">
      <xdr:nvSpPr>
        <xdr:cNvPr id="28" name="Shape 2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6096381" y="354330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53" name="Shape 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54" name="Shape 2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55" name="Shape 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56" name="Shape 2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57" name="Shape 2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58" name="Shape 2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59" name="Shape 2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0" name="Shape 2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1" name="Shape 2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2" name="Shape 2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3" name="Shape 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4" name="Shape 2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5" name="Shape 2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6" name="Shape 2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7" name="Shape 2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8" name="Shape 2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69" name="Shape 2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70" name="Shape 2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71" name="Shape 2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72" name="Shape 2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73" name="Shape 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74" name="Shape 2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75" name="Shape 2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85</xdr:row>
      <xdr:rowOff>0</xdr:rowOff>
    </xdr:from>
    <xdr:ext cx="289560" cy="1905"/>
    <xdr:sp macro="" textlink="">
      <xdr:nvSpPr>
        <xdr:cNvPr id="76" name="Shape 2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3448050" y="26784300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50" name="Shape 2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51" name="Shape 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52" name="Shape 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77" name="Shape 2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78" name="Shape 2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79" name="Shape 2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0" name="Shape 2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1" name="Shape 2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2" name="Shape 2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3" name="Shape 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4" name="Shape 2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5" name="Shape 2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6" name="Shape 2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7" name="Shape 2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8" name="Shape 2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89" name="Shape 2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0" name="Shape 2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1" name="Shape 2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2" name="Shape 2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3" name="Shape 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4" name="Shape 2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5" name="Shape 2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6" name="Shape 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78</xdr:row>
      <xdr:rowOff>0</xdr:rowOff>
    </xdr:from>
    <xdr:ext cx="289560" cy="1905"/>
    <xdr:sp macro="" textlink="">
      <xdr:nvSpPr>
        <xdr:cNvPr id="97" name="Shape 2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98" name="Shape 2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99" name="Shape 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0" name="Shape 2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1" name="Shape 2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2" name="Shape 2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3" name="Shape 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4" name="Shape 2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5" name="Shape 2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6" name="Shape 2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7" name="Shape 2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8" name="Shape 2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09" name="Shape 2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0" name="Shape 2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1" name="Shape 2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2" name="Shape 2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3" name="Shape 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4" name="Shape 2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5" name="Shap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6" name="Shape 2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7" name="Shape 2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8" name="Shape 2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19" name="Shape 2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20" name="Shape 2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70</xdr:row>
      <xdr:rowOff>0</xdr:rowOff>
    </xdr:from>
    <xdr:ext cx="289560" cy="1905"/>
    <xdr:sp macro="" textlink="">
      <xdr:nvSpPr>
        <xdr:cNvPr id="121" name="Shape 2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2" name="Shape 2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3" name="Shape 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4" name="Shape 2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5" name="Shape 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6" name="Shape 2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7" name="Shape 2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8" name="Shape 2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29" name="Shape 2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0" name="Shape 2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1" name="Shape 2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2" name="Shape 2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3" name="Shape 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4" name="Shape 2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5" name="Shape 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6" name="Shape 2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7" name="Shape 2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8" name="Shape 2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39" name="Shape 2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40" name="Shape 2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41" name="Shape 2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42" name="Shape 2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43" name="Shape 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44" name="Shape 2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65</xdr:row>
      <xdr:rowOff>0</xdr:rowOff>
    </xdr:from>
    <xdr:ext cx="289560" cy="1905"/>
    <xdr:sp macro="" textlink="">
      <xdr:nvSpPr>
        <xdr:cNvPr id="145" name="Shape 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46" name="Shape 2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47" name="Shape 2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48" name="Shape 2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49" name="Shape 2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0" name="Shape 2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1" name="Shape 2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2" name="Shape 2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3" name="Shape 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4" name="Shape 2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5" name="Shape 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6" name="Shape 2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7" name="Shape 2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8" name="Shape 2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59" name="Shape 2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0" name="Shape 2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1" name="Shape 2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2" name="Shape 2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3" name="Shape 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4" name="Shape 2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5" name="Shape 2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6" name="Shape 2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7" name="Shape 2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8" name="Shape 2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62</xdr:row>
      <xdr:rowOff>0</xdr:rowOff>
    </xdr:from>
    <xdr:ext cx="289560" cy="1905"/>
    <xdr:sp macro="" textlink="">
      <xdr:nvSpPr>
        <xdr:cNvPr id="169" name="Shape 2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0" name="Shape 2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1" name="Shape 2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2" name="Shape 2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3" name="Shape 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4" name="Shape 2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5" name="Shape 2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6" name="Shape 2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7" name="Shape 2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8" name="Shape 2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79" name="Shape 2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0" name="Shape 2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1" name="Shape 2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2" name="Shape 2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3" name="Shape 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4" name="Shape 2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5" name="Shape 2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6" name="Shape 2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7" name="Shape 2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8" name="Shape 2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89" name="Shape 2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90" name="Shape 2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91" name="Shape 2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92" name="Shape 2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53</xdr:row>
      <xdr:rowOff>0</xdr:rowOff>
    </xdr:from>
    <xdr:ext cx="289560" cy="1905"/>
    <xdr:sp macro="" textlink="">
      <xdr:nvSpPr>
        <xdr:cNvPr id="193" name="Shape 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194" name="Shape 2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195" name="Shape 2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196" name="Shape 2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197" name="Shape 2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198" name="Shape 2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199" name="Shape 2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0" name="Shape 2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1" name="Shape 2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2" name="Shape 2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3" name="Shape 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4" name="Shape 2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5" name="Shape 2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6" name="Shape 2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7" name="Shape 2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8" name="Shape 2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09" name="Shape 2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0" name="Shape 2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1" name="Shape 2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2" name="Shape 2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3" name="Shape 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4" name="Shape 2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5" name="Shape 2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6" name="Shape 2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13</xdr:row>
      <xdr:rowOff>0</xdr:rowOff>
    </xdr:from>
    <xdr:ext cx="289560" cy="1905"/>
    <xdr:sp macro="" textlink="">
      <xdr:nvSpPr>
        <xdr:cNvPr id="217" name="Shape 2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18" name="Shape 2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19" name="Shape 2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0" name="Shape 2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1" name="Shape 2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2" name="Shape 2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3" name="Shape 2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4" name="Shape 2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5" name="Shape 2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6" name="Shape 2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7" name="Shape 2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8" name="Shape 2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29" name="Shape 2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0" name="Shape 2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1" name="Shape 2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2" name="Shape 2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3" name="Shape 2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4" name="Shape 2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5" name="Shape 2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6" name="Shape 2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7" name="Shape 2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8" name="Shape 2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39" name="Shape 2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40" name="Shape 2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48</xdr:row>
      <xdr:rowOff>0</xdr:rowOff>
    </xdr:from>
    <xdr:ext cx="289560" cy="1905"/>
    <xdr:sp macro="" textlink="">
      <xdr:nvSpPr>
        <xdr:cNvPr id="241" name="Shape 2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2" name="Shape 2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3" name="Shape 2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4" name="Shape 2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5" name="Shape 2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6" name="Shape 2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7" name="Shape 2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8" name="Shape 2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49" name="Shape 2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0" name="Shape 2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1" name="Shape 2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2" name="Shape 2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3" name="Shape 2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4" name="Shape 2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5" name="Shape 2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6" name="Shape 2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7" name="Shape 2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8" name="Shape 2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59" name="Shape 2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60" name="Shape 2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61" name="Shape 2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62" name="Shape 2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63" name="Shape 2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64" name="Shape 2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44</xdr:row>
      <xdr:rowOff>0</xdr:rowOff>
    </xdr:from>
    <xdr:ext cx="289560" cy="1905"/>
    <xdr:sp macro="" textlink="">
      <xdr:nvSpPr>
        <xdr:cNvPr id="265" name="Shape 2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66" name="Shape 2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67" name="Shape 2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68" name="Shape 2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69" name="Shape 2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0" name="Shape 2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1" name="Shape 2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2" name="Shape 2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3" name="Shape 2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4" name="Shape 2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5" name="Shape 2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6" name="Shape 2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7" name="Shape 2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8" name="Shape 2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79" name="Shape 2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0" name="Shape 2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1" name="Shape 2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2" name="Shape 2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3" name="Shape 2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4" name="Shape 2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5" name="Shape 2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6" name="Shape 2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7" name="Shape 2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8" name="Shape 2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37</xdr:row>
      <xdr:rowOff>0</xdr:rowOff>
    </xdr:from>
    <xdr:ext cx="289560" cy="1905"/>
    <xdr:sp macro="" textlink="">
      <xdr:nvSpPr>
        <xdr:cNvPr id="289" name="Shape 2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0" name="Shape 2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1" name="Shape 2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2" name="Shape 2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3" name="Shape 2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4" name="Shape 2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5" name="Shape 2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6" name="Shape 2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7" name="Shape 2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8" name="Shape 2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299" name="Shape 2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0" name="Shape 2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1" name="Shape 2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2" name="Shape 2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3" name="Shape 2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4" name="Shape 2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5" name="Shape 2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6" name="Shape 2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7" name="Shape 2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8" name="Shape 2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09" name="Shape 2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10" name="Shape 2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11" name="Shape 2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12" name="Shape 2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34</xdr:row>
      <xdr:rowOff>0</xdr:rowOff>
    </xdr:from>
    <xdr:ext cx="289560" cy="1905"/>
    <xdr:sp macro="" textlink="">
      <xdr:nvSpPr>
        <xdr:cNvPr id="313" name="Shape 2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14" name="Shape 2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15" name="Shape 2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16" name="Shape 2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17" name="Shape 2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18" name="Shape 2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19" name="Shape 2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0" name="Shape 2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1" name="Shape 2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2" name="Shape 2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3" name="Shape 2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4" name="Shape 2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5" name="Shape 2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6" name="Shape 2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7" name="Shape 2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8" name="Shape 2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29" name="Shape 2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0" name="Shape 2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1" name="Shape 2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2" name="Shape 2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3" name="Shape 2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4" name="Shape 2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5" name="Shape 2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6" name="Shape 2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29</xdr:row>
      <xdr:rowOff>0</xdr:rowOff>
    </xdr:from>
    <xdr:ext cx="289560" cy="1905"/>
    <xdr:sp macro="" textlink="">
      <xdr:nvSpPr>
        <xdr:cNvPr id="337" name="Shape 2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38" name="Shape 2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39" name="Shape 2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0" name="Shape 2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1" name="Shape 2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2" name="Shape 2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3" name="Shape 2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4" name="Shape 2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5" name="Shape 2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6" name="Shape 2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7" name="Shape 2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8" name="Shape 2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49" name="Shape 2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0" name="Shape 2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1" name="Shape 2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2" name="Shape 2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3" name="Shape 2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4" name="Shape 2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5" name="Shape 2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6" name="Shape 2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7" name="Shape 2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8" name="Shape 2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59" name="Shape 2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60" name="Shape 2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25</xdr:row>
      <xdr:rowOff>0</xdr:rowOff>
    </xdr:from>
    <xdr:ext cx="289560" cy="1905"/>
    <xdr:sp macro="" textlink="">
      <xdr:nvSpPr>
        <xdr:cNvPr id="361" name="Shape 2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2" name="Shape 2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3" name="Shape 2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4" name="Shape 2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5" name="Shape 2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6" name="Shape 2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7" name="Shape 2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8" name="Shape 2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69" name="Shape 2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0" name="Shape 2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1" name="Shape 2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2" name="Shape 2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3" name="Shape 2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4" name="Shape 2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5" name="Shape 2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6" name="Shape 2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7" name="Shape 2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8" name="Shape 2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79" name="Shape 2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0" name="Shape 2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1" name="Shape 2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2" name="Shape 2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3" name="Shape 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4" name="Shape 2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5" name="Shape 2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6" name="Shape 2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7" name="Shape 2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8" name="Shape 2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89" name="Shape 2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0" name="Shape 2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1" name="Shape 2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2" name="Shape 2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3" name="Shape 2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4" name="Shape 2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5" name="Shape 2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6" name="Shape 2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7" name="Shape 2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8" name="Shape 2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399" name="Shape 2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0" name="Shape 2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1" name="Shape 2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2" name="Shape 2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3" name="Shape 2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4" name="Shape 2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5" name="Shape 2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6" name="Shape 2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7" name="Shape 2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8" name="Shape 2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17</xdr:row>
      <xdr:rowOff>0</xdr:rowOff>
    </xdr:from>
    <xdr:ext cx="289560" cy="1905"/>
    <xdr:sp macro="" textlink="">
      <xdr:nvSpPr>
        <xdr:cNvPr id="409" name="Shape 2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/>
      </xdr:nvSpPr>
      <xdr:spPr>
        <a:xfrm>
          <a:off x="8572881" y="34167536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0" name="Shape 2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1" name="Shape 2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2" name="Shape 2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3" name="Shape 2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4" name="Shape 2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5" name="Shape 2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6" name="Shape 2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7" name="Shape 2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8" name="Shape 2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19" name="Shape 2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0" name="Shape 2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1" name="Shape 2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2" name="Shape 2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3" name="Shape 2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4" name="Shape 2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5" name="Shape 2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6" name="Shape 2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7" name="Shape 2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8" name="Shape 2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29" name="Shape 2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30" name="Shape 2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31" name="Shape 2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32" name="Shape 2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  <xdr:oneCellAnchor>
    <xdr:from>
      <xdr:col>7</xdr:col>
      <xdr:colOff>381</xdr:colOff>
      <xdr:row>5</xdr:row>
      <xdr:rowOff>0</xdr:rowOff>
    </xdr:from>
    <xdr:ext cx="289560" cy="1905"/>
    <xdr:sp macro="" textlink="">
      <xdr:nvSpPr>
        <xdr:cNvPr id="433" name="Shape 2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/>
      </xdr:nvSpPr>
      <xdr:spPr>
        <a:xfrm>
          <a:off x="8572881" y="4041321"/>
          <a:ext cx="289560" cy="1905"/>
        </a:xfrm>
        <a:custGeom>
          <a:avLst/>
          <a:gdLst/>
          <a:ahLst/>
          <a:cxnLst/>
          <a:rect l="0" t="0" r="0" b="0"/>
          <a:pathLst>
            <a:path w="289560" h="1905">
              <a:moveTo>
                <a:pt x="289559" y="1524"/>
              </a:moveTo>
              <a:lnTo>
                <a:pt x="0" y="1524"/>
              </a:lnTo>
              <a:lnTo>
                <a:pt x="0" y="0"/>
              </a:lnTo>
              <a:lnTo>
                <a:pt x="289559" y="0"/>
              </a:lnTo>
              <a:lnTo>
                <a:pt x="289559" y="1524"/>
              </a:lnTo>
              <a:close/>
            </a:path>
          </a:pathLst>
        </a:custGeom>
        <a:solidFill>
          <a:srgbClr val="000000"/>
        </a:solidFill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sportazi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glio1"/>
      <sheetName val="Foglio2"/>
      <sheetName val="Foglio3"/>
    </sheetNames>
    <sheetDataSet>
      <sheetData sheetId="0">
        <row r="1">
          <cell r="A1" t="str">
            <v>ID_STORE</v>
          </cell>
          <cell r="B1" t="str">
            <v>TIPO_CONS</v>
          </cell>
          <cell r="C1" t="str">
            <v>TOT_ABBIGL</v>
          </cell>
          <cell r="D1" t="str">
            <v>TOT_CALZAT</v>
          </cell>
          <cell r="E1" t="str">
            <v>TOT_ECOM</v>
          </cell>
          <cell r="F1" t="str">
            <v>TOT_OTHERS</v>
          </cell>
          <cell r="G1" t="str">
            <v>TOT_VARIO</v>
          </cell>
          <cell r="H1" t="str">
            <v>TOT_CONT</v>
          </cell>
          <cell r="I1" t="str">
            <v>SommaDiCOLLI_MAT_VARIO</v>
          </cell>
          <cell r="J1" t="str">
            <v>stringa</v>
          </cell>
          <cell r="K1"/>
          <cell r="L1"/>
          <cell r="M1"/>
          <cell r="N1"/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</row>
        <row r="2">
          <cell r="A2">
            <v>10265</v>
          </cell>
          <cell r="B2" t="str">
            <v>STD</v>
          </cell>
          <cell r="C2">
            <v>38</v>
          </cell>
          <cell r="D2">
            <v>8</v>
          </cell>
          <cell r="E2">
            <v>0</v>
          </cell>
          <cell r="F2">
            <v>1</v>
          </cell>
          <cell r="G2">
            <v>0</v>
          </cell>
          <cell r="H2">
            <v>47</v>
          </cell>
          <cell r="I2">
            <v>0</v>
          </cell>
          <cell r="J2" t="str">
            <v/>
          </cell>
          <cell r="K2"/>
          <cell r="L2"/>
          <cell r="M2"/>
          <cell r="N2"/>
          <cell r="O2"/>
          <cell r="P2"/>
          <cell r="Q2"/>
          <cell r="R2"/>
          <cell r="S2"/>
          <cell r="T2"/>
          <cell r="U2"/>
          <cell r="V2"/>
          <cell r="W2"/>
          <cell r="X2"/>
          <cell r="Y2"/>
        </row>
        <row r="3">
          <cell r="A3">
            <v>10504</v>
          </cell>
          <cell r="B3" t="str">
            <v>STD</v>
          </cell>
          <cell r="C3">
            <v>54</v>
          </cell>
          <cell r="D3">
            <v>4</v>
          </cell>
          <cell r="E3">
            <v>4</v>
          </cell>
          <cell r="F3">
            <v>0</v>
          </cell>
          <cell r="G3">
            <v>0</v>
          </cell>
          <cell r="H3">
            <v>62</v>
          </cell>
          <cell r="I3">
            <v>0</v>
          </cell>
          <cell r="J3" t="str">
            <v/>
          </cell>
          <cell r="K3"/>
          <cell r="L3"/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</row>
        <row r="4">
          <cell r="A4">
            <v>11629</v>
          </cell>
          <cell r="B4" t="str">
            <v>STD</v>
          </cell>
          <cell r="C4">
            <v>38</v>
          </cell>
          <cell r="D4">
            <v>5</v>
          </cell>
          <cell r="E4">
            <v>2</v>
          </cell>
          <cell r="F4">
            <v>0</v>
          </cell>
          <cell r="G4">
            <v>0</v>
          </cell>
          <cell r="H4">
            <v>45</v>
          </cell>
          <cell r="I4">
            <v>0</v>
          </cell>
          <cell r="J4" t="str">
            <v/>
          </cell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</row>
        <row r="5">
          <cell r="A5">
            <v>11796</v>
          </cell>
          <cell r="B5" t="str">
            <v>STD</v>
          </cell>
          <cell r="C5">
            <v>29</v>
          </cell>
          <cell r="D5">
            <v>4</v>
          </cell>
          <cell r="E5">
            <v>2</v>
          </cell>
          <cell r="F5">
            <v>0</v>
          </cell>
          <cell r="G5">
            <v>0</v>
          </cell>
          <cell r="H5">
            <v>35</v>
          </cell>
          <cell r="I5">
            <v>0</v>
          </cell>
          <cell r="J5" t="str">
            <v/>
          </cell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</row>
        <row r="6">
          <cell r="A6">
            <v>12059</v>
          </cell>
          <cell r="B6" t="str">
            <v>STD</v>
          </cell>
          <cell r="C6">
            <v>226</v>
          </cell>
          <cell r="D6">
            <v>18</v>
          </cell>
          <cell r="E6">
            <v>0</v>
          </cell>
          <cell r="F6">
            <v>15</v>
          </cell>
          <cell r="G6">
            <v>0</v>
          </cell>
          <cell r="H6">
            <v>259</v>
          </cell>
          <cell r="I6">
            <v>0</v>
          </cell>
          <cell r="J6" t="str">
            <v/>
          </cell>
          <cell r="K6"/>
          <cell r="L6"/>
          <cell r="M6"/>
          <cell r="N6"/>
          <cell r="O6"/>
          <cell r="P6"/>
          <cell r="Q6"/>
          <cell r="R6"/>
          <cell r="S6"/>
          <cell r="T6"/>
          <cell r="U6"/>
          <cell r="V6"/>
          <cell r="W6"/>
          <cell r="X6"/>
          <cell r="Y6"/>
        </row>
        <row r="7">
          <cell r="A7">
            <v>12093</v>
          </cell>
          <cell r="B7" t="str">
            <v>STD</v>
          </cell>
          <cell r="C7">
            <v>46</v>
          </cell>
          <cell r="D7">
            <v>9</v>
          </cell>
          <cell r="E7">
            <v>0</v>
          </cell>
          <cell r="F7">
            <v>0</v>
          </cell>
          <cell r="G7">
            <v>0</v>
          </cell>
          <cell r="H7">
            <v>55</v>
          </cell>
          <cell r="I7">
            <v>0</v>
          </cell>
          <cell r="J7" t="str">
            <v/>
          </cell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</row>
        <row r="8">
          <cell r="A8">
            <v>12152</v>
          </cell>
          <cell r="B8" t="str">
            <v>STD</v>
          </cell>
          <cell r="C8">
            <v>44</v>
          </cell>
          <cell r="D8">
            <v>6</v>
          </cell>
          <cell r="E8">
            <v>3</v>
          </cell>
          <cell r="F8">
            <v>0</v>
          </cell>
          <cell r="G8">
            <v>0</v>
          </cell>
          <cell r="H8">
            <v>53</v>
          </cell>
          <cell r="I8">
            <v>0</v>
          </cell>
          <cell r="J8" t="str">
            <v/>
          </cell>
          <cell r="K8"/>
          <cell r="L8"/>
          <cell r="M8"/>
          <cell r="N8"/>
          <cell r="O8"/>
          <cell r="P8"/>
          <cell r="Q8"/>
          <cell r="R8"/>
          <cell r="S8"/>
          <cell r="T8"/>
          <cell r="U8"/>
          <cell r="V8"/>
          <cell r="W8"/>
          <cell r="X8"/>
          <cell r="Y8"/>
        </row>
        <row r="9">
          <cell r="A9">
            <v>12154</v>
          </cell>
          <cell r="B9" t="str">
            <v>STD</v>
          </cell>
          <cell r="C9">
            <v>50</v>
          </cell>
          <cell r="D9">
            <v>12</v>
          </cell>
          <cell r="E9">
            <v>0</v>
          </cell>
          <cell r="F9">
            <v>0</v>
          </cell>
          <cell r="G9">
            <v>0</v>
          </cell>
          <cell r="H9">
            <v>62</v>
          </cell>
          <cell r="I9">
            <v>0</v>
          </cell>
          <cell r="J9" t="str">
            <v/>
          </cell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</row>
        <row r="10">
          <cell r="A10">
            <v>12271</v>
          </cell>
          <cell r="B10" t="str">
            <v>STD</v>
          </cell>
          <cell r="C10">
            <v>183</v>
          </cell>
          <cell r="D10">
            <v>10</v>
          </cell>
          <cell r="E10">
            <v>0</v>
          </cell>
          <cell r="F10">
            <v>0</v>
          </cell>
          <cell r="G10">
            <v>0</v>
          </cell>
          <cell r="H10">
            <v>193</v>
          </cell>
          <cell r="I10">
            <v>0</v>
          </cell>
          <cell r="J10" t="str">
            <v/>
          </cell>
          <cell r="K10"/>
          <cell r="L10"/>
          <cell r="M10"/>
          <cell r="N10"/>
          <cell r="O10"/>
          <cell r="P10"/>
          <cell r="Q10"/>
          <cell r="R10"/>
          <cell r="S10"/>
          <cell r="T10"/>
          <cell r="U10"/>
          <cell r="V10"/>
          <cell r="W10"/>
          <cell r="X10"/>
          <cell r="Y10"/>
        </row>
        <row r="11">
          <cell r="A11">
            <v>1265</v>
          </cell>
          <cell r="B11" t="str">
            <v>STD</v>
          </cell>
          <cell r="C11">
            <v>262</v>
          </cell>
          <cell r="D11">
            <v>22</v>
          </cell>
          <cell r="E11">
            <v>0</v>
          </cell>
          <cell r="F11">
            <v>15</v>
          </cell>
          <cell r="G11">
            <v>0</v>
          </cell>
          <cell r="H11">
            <v>300</v>
          </cell>
          <cell r="I11">
            <v>0</v>
          </cell>
          <cell r="J11" t="str">
            <v xml:space="preserve">1C  da </v>
          </cell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</row>
        <row r="12">
          <cell r="A12">
            <v>12899</v>
          </cell>
          <cell r="B12" t="str">
            <v>STD</v>
          </cell>
          <cell r="C12">
            <v>47</v>
          </cell>
          <cell r="D12">
            <v>7</v>
          </cell>
          <cell r="E12">
            <v>0</v>
          </cell>
          <cell r="F12">
            <v>3</v>
          </cell>
          <cell r="G12">
            <v>0</v>
          </cell>
          <cell r="H12">
            <v>57</v>
          </cell>
          <cell r="I12">
            <v>0</v>
          </cell>
          <cell r="J12" t="str">
            <v/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</row>
        <row r="13">
          <cell r="A13">
            <v>14010</v>
          </cell>
          <cell r="B13" t="str">
            <v>STD</v>
          </cell>
          <cell r="C13">
            <v>139</v>
          </cell>
          <cell r="D13">
            <v>12</v>
          </cell>
          <cell r="E13">
            <v>0</v>
          </cell>
          <cell r="F13">
            <v>10</v>
          </cell>
          <cell r="G13">
            <v>0</v>
          </cell>
          <cell r="H13">
            <v>161</v>
          </cell>
          <cell r="I13">
            <v>0</v>
          </cell>
          <cell r="J13" t="str">
            <v/>
          </cell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</row>
        <row r="14">
          <cell r="A14">
            <v>14825</v>
          </cell>
          <cell r="B14" t="str">
            <v>STD</v>
          </cell>
          <cell r="C14">
            <v>170</v>
          </cell>
          <cell r="D14">
            <v>14</v>
          </cell>
          <cell r="E14">
            <v>0</v>
          </cell>
          <cell r="F14">
            <v>10</v>
          </cell>
          <cell r="G14">
            <v>0</v>
          </cell>
          <cell r="H14">
            <v>194</v>
          </cell>
          <cell r="I14">
            <v>0</v>
          </cell>
          <cell r="J14" t="str">
            <v/>
          </cell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</row>
        <row r="15">
          <cell r="A15">
            <v>15733</v>
          </cell>
          <cell r="B15" t="str">
            <v>STD</v>
          </cell>
          <cell r="C15">
            <v>854</v>
          </cell>
          <cell r="D15">
            <v>56</v>
          </cell>
          <cell r="E15">
            <v>0</v>
          </cell>
          <cell r="F15">
            <v>0</v>
          </cell>
          <cell r="G15">
            <v>0</v>
          </cell>
          <cell r="H15">
            <v>910</v>
          </cell>
          <cell r="I15">
            <v>0</v>
          </cell>
          <cell r="J15" t="str">
            <v/>
          </cell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</row>
        <row r="16">
          <cell r="A16">
            <v>16037</v>
          </cell>
          <cell r="B16" t="str">
            <v>STD</v>
          </cell>
          <cell r="C16">
            <v>70</v>
          </cell>
          <cell r="D16">
            <v>6</v>
          </cell>
          <cell r="E16">
            <v>3</v>
          </cell>
          <cell r="F16">
            <v>0</v>
          </cell>
          <cell r="G16">
            <v>0</v>
          </cell>
          <cell r="H16">
            <v>79</v>
          </cell>
          <cell r="I16">
            <v>0</v>
          </cell>
          <cell r="J16" t="str">
            <v/>
          </cell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</row>
        <row r="17">
          <cell r="A17">
            <v>16060</v>
          </cell>
          <cell r="B17" t="str">
            <v>STD</v>
          </cell>
          <cell r="C17">
            <v>114</v>
          </cell>
          <cell r="D17">
            <v>6</v>
          </cell>
          <cell r="E17">
            <v>3</v>
          </cell>
          <cell r="F17">
            <v>0</v>
          </cell>
          <cell r="G17">
            <v>0</v>
          </cell>
          <cell r="H17">
            <v>123</v>
          </cell>
          <cell r="I17">
            <v>0</v>
          </cell>
          <cell r="J17" t="str">
            <v/>
          </cell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</row>
        <row r="18">
          <cell r="A18">
            <v>16269</v>
          </cell>
          <cell r="B18" t="str">
            <v>STD</v>
          </cell>
          <cell r="C18">
            <v>69</v>
          </cell>
          <cell r="D18">
            <v>12</v>
          </cell>
          <cell r="E18">
            <v>0</v>
          </cell>
          <cell r="F18">
            <v>12</v>
          </cell>
          <cell r="G18">
            <v>0</v>
          </cell>
          <cell r="H18">
            <v>93</v>
          </cell>
          <cell r="I18">
            <v>0</v>
          </cell>
          <cell r="J18" t="str">
            <v/>
          </cell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</row>
        <row r="19">
          <cell r="A19">
            <v>16351</v>
          </cell>
          <cell r="B19" t="str">
            <v>STD</v>
          </cell>
          <cell r="C19">
            <v>94</v>
          </cell>
          <cell r="D19">
            <v>12</v>
          </cell>
          <cell r="E19">
            <v>2</v>
          </cell>
          <cell r="F19">
            <v>7</v>
          </cell>
          <cell r="G19">
            <v>0</v>
          </cell>
          <cell r="H19">
            <v>115</v>
          </cell>
          <cell r="I19">
            <v>0</v>
          </cell>
          <cell r="J19" t="str">
            <v/>
          </cell>
          <cell r="K19"/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</row>
        <row r="20">
          <cell r="A20">
            <v>16564</v>
          </cell>
          <cell r="B20" t="str">
            <v>STD</v>
          </cell>
          <cell r="C20">
            <v>96</v>
          </cell>
          <cell r="D20">
            <v>5</v>
          </cell>
          <cell r="E20">
            <v>0</v>
          </cell>
          <cell r="F20">
            <v>0</v>
          </cell>
          <cell r="G20">
            <v>0</v>
          </cell>
          <cell r="H20">
            <v>101</v>
          </cell>
          <cell r="I20">
            <v>0</v>
          </cell>
          <cell r="J20" t="str">
            <v/>
          </cell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</row>
        <row r="21">
          <cell r="A21">
            <v>16647</v>
          </cell>
          <cell r="B21" t="str">
            <v>STD</v>
          </cell>
          <cell r="C21">
            <v>59</v>
          </cell>
          <cell r="D21">
            <v>9</v>
          </cell>
          <cell r="E21">
            <v>0</v>
          </cell>
          <cell r="F21">
            <v>2</v>
          </cell>
          <cell r="G21">
            <v>0</v>
          </cell>
          <cell r="H21">
            <v>70</v>
          </cell>
          <cell r="I21">
            <v>0</v>
          </cell>
          <cell r="J21" t="str">
            <v/>
          </cell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</row>
        <row r="22">
          <cell r="A22">
            <v>16723</v>
          </cell>
          <cell r="B22" t="str">
            <v>STD</v>
          </cell>
          <cell r="C22">
            <v>400</v>
          </cell>
          <cell r="D22">
            <v>33</v>
          </cell>
          <cell r="E22">
            <v>0</v>
          </cell>
          <cell r="F22">
            <v>15</v>
          </cell>
          <cell r="G22">
            <v>0</v>
          </cell>
          <cell r="H22">
            <v>448</v>
          </cell>
          <cell r="I22">
            <v>0</v>
          </cell>
          <cell r="J22" t="str">
            <v/>
          </cell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</row>
        <row r="23">
          <cell r="A23">
            <v>17019</v>
          </cell>
          <cell r="B23" t="str">
            <v>STD</v>
          </cell>
          <cell r="C23">
            <v>44</v>
          </cell>
          <cell r="D23">
            <v>25</v>
          </cell>
          <cell r="E23">
            <v>0</v>
          </cell>
          <cell r="F23">
            <v>32</v>
          </cell>
          <cell r="G23">
            <v>0</v>
          </cell>
          <cell r="H23">
            <v>101</v>
          </cell>
          <cell r="I23">
            <v>0</v>
          </cell>
          <cell r="J23" t="str">
            <v/>
          </cell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</row>
        <row r="24">
          <cell r="A24">
            <v>1755</v>
          </cell>
          <cell r="B24" t="str">
            <v>STD</v>
          </cell>
          <cell r="C24">
            <v>0</v>
          </cell>
          <cell r="D24">
            <v>2</v>
          </cell>
          <cell r="E24">
            <v>11</v>
          </cell>
          <cell r="F24">
            <v>114</v>
          </cell>
          <cell r="G24">
            <v>0</v>
          </cell>
          <cell r="H24">
            <v>127</v>
          </cell>
          <cell r="I24">
            <v>0</v>
          </cell>
          <cell r="J24" t="str">
            <v/>
          </cell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</row>
        <row r="25">
          <cell r="A25">
            <v>1971</v>
          </cell>
          <cell r="B25" t="str">
            <v>STD</v>
          </cell>
          <cell r="C25">
            <v>0</v>
          </cell>
          <cell r="D25">
            <v>3</v>
          </cell>
          <cell r="E25">
            <v>15</v>
          </cell>
          <cell r="F25">
            <v>0</v>
          </cell>
          <cell r="G25">
            <v>0</v>
          </cell>
          <cell r="H25">
            <v>190</v>
          </cell>
          <cell r="I25">
            <v>0</v>
          </cell>
          <cell r="J25" t="str">
            <v xml:space="preserve">3C  da 169C  da </v>
          </cell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</row>
        <row r="26">
          <cell r="A26">
            <v>1984</v>
          </cell>
          <cell r="B26" t="str">
            <v>STD</v>
          </cell>
          <cell r="C26">
            <v>0</v>
          </cell>
          <cell r="D26">
            <v>0</v>
          </cell>
          <cell r="E26">
            <v>9</v>
          </cell>
          <cell r="F26">
            <v>0</v>
          </cell>
          <cell r="G26">
            <v>0</v>
          </cell>
          <cell r="H26">
            <v>199</v>
          </cell>
          <cell r="I26">
            <v>0</v>
          </cell>
          <cell r="J26" t="str">
            <v xml:space="preserve">186C  da 3C  da 1C  da </v>
          </cell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</row>
        <row r="27">
          <cell r="A27">
            <v>1984</v>
          </cell>
          <cell r="B27" t="str">
            <v>STD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58</v>
          </cell>
          <cell r="I27">
            <v>0</v>
          </cell>
          <cell r="J27" t="str">
            <v xml:space="preserve">57C  da 1C  da </v>
          </cell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</row>
        <row r="28">
          <cell r="A28">
            <v>2414</v>
          </cell>
          <cell r="B28" t="str">
            <v>STD</v>
          </cell>
          <cell r="C28">
            <v>12</v>
          </cell>
          <cell r="D28">
            <v>0</v>
          </cell>
          <cell r="E28">
            <v>1</v>
          </cell>
          <cell r="F28">
            <v>4</v>
          </cell>
          <cell r="G28">
            <v>0</v>
          </cell>
          <cell r="H28">
            <v>17</v>
          </cell>
          <cell r="I28">
            <v>0</v>
          </cell>
          <cell r="J28" t="str">
            <v/>
          </cell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</row>
        <row r="29">
          <cell r="A29">
            <v>2435</v>
          </cell>
          <cell r="B29" t="str">
            <v>STD</v>
          </cell>
          <cell r="C29">
            <v>20</v>
          </cell>
          <cell r="D29">
            <v>0</v>
          </cell>
          <cell r="E29">
            <v>1</v>
          </cell>
          <cell r="F29">
            <v>0</v>
          </cell>
          <cell r="G29">
            <v>0</v>
          </cell>
          <cell r="H29">
            <v>21</v>
          </cell>
          <cell r="I29">
            <v>0</v>
          </cell>
          <cell r="J29" t="str">
            <v/>
          </cell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</row>
        <row r="30">
          <cell r="A30">
            <v>2898</v>
          </cell>
          <cell r="B30" t="str">
            <v>STD</v>
          </cell>
          <cell r="C30">
            <v>90</v>
          </cell>
          <cell r="D30">
            <v>9</v>
          </cell>
          <cell r="E30">
            <v>0</v>
          </cell>
          <cell r="F30">
            <v>0</v>
          </cell>
          <cell r="G30">
            <v>0</v>
          </cell>
          <cell r="H30">
            <v>99</v>
          </cell>
          <cell r="I30">
            <v>0</v>
          </cell>
          <cell r="J30" t="str">
            <v/>
          </cell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</row>
        <row r="31">
          <cell r="A31">
            <v>2917</v>
          </cell>
          <cell r="B31" t="str">
            <v>STD</v>
          </cell>
          <cell r="C31">
            <v>95</v>
          </cell>
          <cell r="D31">
            <v>15</v>
          </cell>
          <cell r="E31">
            <v>0</v>
          </cell>
          <cell r="F31">
            <v>1</v>
          </cell>
          <cell r="G31">
            <v>0</v>
          </cell>
          <cell r="H31">
            <v>111</v>
          </cell>
          <cell r="I31">
            <v>0</v>
          </cell>
          <cell r="J31" t="str">
            <v/>
          </cell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</row>
        <row r="32">
          <cell r="A32">
            <v>2972</v>
          </cell>
          <cell r="B32" t="str">
            <v>STD</v>
          </cell>
          <cell r="C32">
            <v>60</v>
          </cell>
          <cell r="D32">
            <v>10</v>
          </cell>
          <cell r="E32">
            <v>0</v>
          </cell>
          <cell r="F32">
            <v>0</v>
          </cell>
          <cell r="G32">
            <v>0</v>
          </cell>
          <cell r="H32">
            <v>70</v>
          </cell>
          <cell r="I32">
            <v>0</v>
          </cell>
          <cell r="J32" t="str">
            <v/>
          </cell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</row>
        <row r="33">
          <cell r="A33">
            <v>3503</v>
          </cell>
          <cell r="B33" t="str">
            <v>STD</v>
          </cell>
          <cell r="C33">
            <v>338</v>
          </cell>
          <cell r="D33">
            <v>25</v>
          </cell>
          <cell r="E33">
            <v>0</v>
          </cell>
          <cell r="F33">
            <v>6</v>
          </cell>
          <cell r="G33">
            <v>0</v>
          </cell>
          <cell r="H33">
            <v>369</v>
          </cell>
          <cell r="I33">
            <v>0</v>
          </cell>
          <cell r="J33" t="str">
            <v/>
          </cell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</row>
        <row r="34">
          <cell r="A34">
            <v>3534</v>
          </cell>
          <cell r="B34" t="str">
            <v>STD</v>
          </cell>
          <cell r="C34">
            <v>294</v>
          </cell>
          <cell r="D34">
            <v>17</v>
          </cell>
          <cell r="E34">
            <v>0</v>
          </cell>
          <cell r="F34">
            <v>0</v>
          </cell>
          <cell r="G34">
            <v>0</v>
          </cell>
          <cell r="H34">
            <v>311</v>
          </cell>
          <cell r="I34">
            <v>0</v>
          </cell>
          <cell r="J34" t="str">
            <v/>
          </cell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</row>
        <row r="35">
          <cell r="A35">
            <v>3591</v>
          </cell>
          <cell r="B35" t="str">
            <v>STD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297</v>
          </cell>
          <cell r="I35">
            <v>0</v>
          </cell>
          <cell r="J35" t="str">
            <v xml:space="preserve">17C  da 280C  da </v>
          </cell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</row>
        <row r="36">
          <cell r="A36">
            <v>3591</v>
          </cell>
          <cell r="B36" t="str">
            <v>STD</v>
          </cell>
          <cell r="C36">
            <v>17</v>
          </cell>
          <cell r="D36">
            <v>30</v>
          </cell>
          <cell r="E36">
            <v>0</v>
          </cell>
          <cell r="F36">
            <v>7</v>
          </cell>
          <cell r="G36">
            <v>0</v>
          </cell>
          <cell r="H36">
            <v>129</v>
          </cell>
          <cell r="I36">
            <v>0</v>
          </cell>
          <cell r="J36" t="str">
            <v xml:space="preserve">75C  da </v>
          </cell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</row>
        <row r="37">
          <cell r="A37">
            <v>3680</v>
          </cell>
          <cell r="B37" t="str">
            <v>STD</v>
          </cell>
          <cell r="C37">
            <v>19</v>
          </cell>
          <cell r="D37">
            <v>33</v>
          </cell>
          <cell r="E37">
            <v>0</v>
          </cell>
          <cell r="F37">
            <v>2</v>
          </cell>
          <cell r="G37">
            <v>0</v>
          </cell>
          <cell r="H37">
            <v>288</v>
          </cell>
          <cell r="I37">
            <v>0</v>
          </cell>
          <cell r="J37" t="str">
            <v xml:space="preserve">17C  da 215C  da 2C  da </v>
          </cell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</row>
        <row r="38">
          <cell r="A38">
            <v>3680</v>
          </cell>
          <cell r="B38" t="str">
            <v>STD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67</v>
          </cell>
          <cell r="I38">
            <v>0</v>
          </cell>
          <cell r="J38" t="str">
            <v xml:space="preserve">67C  da </v>
          </cell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</row>
        <row r="39">
          <cell r="A39">
            <v>4518</v>
          </cell>
          <cell r="B39" t="str">
            <v>STD</v>
          </cell>
          <cell r="C39">
            <v>35</v>
          </cell>
          <cell r="D39">
            <v>3</v>
          </cell>
          <cell r="E39">
            <v>0</v>
          </cell>
          <cell r="F39">
            <v>14</v>
          </cell>
          <cell r="G39">
            <v>0</v>
          </cell>
          <cell r="H39">
            <v>52</v>
          </cell>
          <cell r="I39">
            <v>0</v>
          </cell>
          <cell r="J39" t="str">
            <v/>
          </cell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</row>
        <row r="40">
          <cell r="A40">
            <v>5306</v>
          </cell>
          <cell r="B40" t="str">
            <v>STD</v>
          </cell>
          <cell r="C40">
            <v>92</v>
          </cell>
          <cell r="D40">
            <v>6</v>
          </cell>
          <cell r="E40">
            <v>2</v>
          </cell>
          <cell r="F40">
            <v>0</v>
          </cell>
          <cell r="G40">
            <v>0</v>
          </cell>
          <cell r="H40">
            <v>100</v>
          </cell>
          <cell r="I40">
            <v>0</v>
          </cell>
          <cell r="J40" t="str">
            <v/>
          </cell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</row>
        <row r="41">
          <cell r="A41">
            <v>5349</v>
          </cell>
          <cell r="B41" t="str">
            <v>STD</v>
          </cell>
          <cell r="C41">
            <v>140</v>
          </cell>
          <cell r="D41">
            <v>8</v>
          </cell>
          <cell r="E41">
            <v>0</v>
          </cell>
          <cell r="F41">
            <v>5</v>
          </cell>
          <cell r="G41">
            <v>0</v>
          </cell>
          <cell r="H41">
            <v>153</v>
          </cell>
          <cell r="I41">
            <v>0</v>
          </cell>
          <cell r="J41" t="str">
            <v/>
          </cell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</row>
        <row r="42">
          <cell r="A42">
            <v>5367</v>
          </cell>
          <cell r="B42" t="str">
            <v>STD</v>
          </cell>
          <cell r="C42">
            <v>84</v>
          </cell>
          <cell r="D42">
            <v>10</v>
          </cell>
          <cell r="E42">
            <v>0</v>
          </cell>
          <cell r="F42">
            <v>0</v>
          </cell>
          <cell r="G42">
            <v>0</v>
          </cell>
          <cell r="H42">
            <v>94</v>
          </cell>
          <cell r="I42">
            <v>0</v>
          </cell>
          <cell r="J42" t="str">
            <v/>
          </cell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</row>
        <row r="43">
          <cell r="A43">
            <v>5367</v>
          </cell>
          <cell r="B43" t="str">
            <v>STD</v>
          </cell>
          <cell r="C43">
            <v>87</v>
          </cell>
          <cell r="D43">
            <v>10</v>
          </cell>
          <cell r="E43">
            <v>4</v>
          </cell>
          <cell r="F43">
            <v>0</v>
          </cell>
          <cell r="G43">
            <v>0</v>
          </cell>
          <cell r="H43">
            <v>109</v>
          </cell>
          <cell r="I43">
            <v>0</v>
          </cell>
          <cell r="J43" t="str">
            <v>1C  da 165642C  da 65251C  da 116293C  da 105041C  da 12152</v>
          </cell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</row>
        <row r="44">
          <cell r="A44">
            <v>5405</v>
          </cell>
          <cell r="B44" t="str">
            <v>STD</v>
          </cell>
          <cell r="C44">
            <v>92</v>
          </cell>
          <cell r="D44">
            <v>7</v>
          </cell>
          <cell r="E44">
            <v>1</v>
          </cell>
          <cell r="F44">
            <v>0</v>
          </cell>
          <cell r="G44">
            <v>0</v>
          </cell>
          <cell r="H44">
            <v>100</v>
          </cell>
          <cell r="I44">
            <v>0</v>
          </cell>
          <cell r="J44" t="str">
            <v/>
          </cell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</row>
        <row r="45">
          <cell r="A45">
            <v>5641</v>
          </cell>
          <cell r="B45" t="str">
            <v>STD</v>
          </cell>
          <cell r="C45">
            <v>85</v>
          </cell>
          <cell r="D45">
            <v>7</v>
          </cell>
          <cell r="E45">
            <v>2</v>
          </cell>
          <cell r="F45">
            <v>0</v>
          </cell>
          <cell r="G45">
            <v>0</v>
          </cell>
          <cell r="H45">
            <v>94</v>
          </cell>
          <cell r="I45">
            <v>0</v>
          </cell>
          <cell r="J45" t="str">
            <v/>
          </cell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</row>
        <row r="46">
          <cell r="A46">
            <v>6525</v>
          </cell>
          <cell r="B46" t="str">
            <v>STD</v>
          </cell>
          <cell r="C46">
            <v>100</v>
          </cell>
          <cell r="D46">
            <v>10</v>
          </cell>
          <cell r="E46">
            <v>2</v>
          </cell>
          <cell r="F46">
            <v>0</v>
          </cell>
          <cell r="G46">
            <v>0</v>
          </cell>
          <cell r="H46">
            <v>112</v>
          </cell>
          <cell r="I46">
            <v>0</v>
          </cell>
          <cell r="J46" t="str">
            <v/>
          </cell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</row>
        <row r="47">
          <cell r="A47">
            <v>6760</v>
          </cell>
          <cell r="B47" t="str">
            <v>STD</v>
          </cell>
          <cell r="C47">
            <v>106</v>
          </cell>
          <cell r="D47">
            <v>10</v>
          </cell>
          <cell r="E47">
            <v>0</v>
          </cell>
          <cell r="F47">
            <v>0</v>
          </cell>
          <cell r="G47">
            <v>0</v>
          </cell>
          <cell r="H47">
            <v>116</v>
          </cell>
          <cell r="I47">
            <v>0</v>
          </cell>
          <cell r="J47" t="str">
            <v/>
          </cell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</row>
        <row r="48">
          <cell r="A48">
            <v>7593</v>
          </cell>
          <cell r="B48" t="str">
            <v>STD</v>
          </cell>
          <cell r="C48">
            <v>63</v>
          </cell>
          <cell r="D48">
            <v>11</v>
          </cell>
          <cell r="E48">
            <v>0</v>
          </cell>
          <cell r="F48">
            <v>0</v>
          </cell>
          <cell r="G48">
            <v>0</v>
          </cell>
          <cell r="H48">
            <v>74</v>
          </cell>
          <cell r="I48">
            <v>0</v>
          </cell>
          <cell r="J48" t="str">
            <v/>
          </cell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</row>
        <row r="49">
          <cell r="A49">
            <v>8364</v>
          </cell>
          <cell r="B49" t="str">
            <v>STD</v>
          </cell>
          <cell r="C49">
            <v>94</v>
          </cell>
          <cell r="D49">
            <v>10</v>
          </cell>
          <cell r="E49">
            <v>0</v>
          </cell>
          <cell r="F49">
            <v>6</v>
          </cell>
          <cell r="G49">
            <v>0</v>
          </cell>
          <cell r="H49">
            <v>110</v>
          </cell>
          <cell r="I49">
            <v>0</v>
          </cell>
          <cell r="J49" t="str">
            <v/>
          </cell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</row>
        <row r="50">
          <cell r="A50">
            <v>8428</v>
          </cell>
          <cell r="B50" t="str">
            <v>STD</v>
          </cell>
          <cell r="C50">
            <v>130</v>
          </cell>
          <cell r="D50">
            <v>14</v>
          </cell>
          <cell r="E50">
            <v>0</v>
          </cell>
          <cell r="F50">
            <v>2</v>
          </cell>
          <cell r="G50">
            <v>0</v>
          </cell>
          <cell r="H50">
            <v>146</v>
          </cell>
          <cell r="I50">
            <v>0</v>
          </cell>
          <cell r="J50" t="str">
            <v/>
          </cell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</row>
        <row r="51">
          <cell r="A51">
            <v>8453</v>
          </cell>
          <cell r="B51" t="str">
            <v>STD</v>
          </cell>
          <cell r="C51">
            <v>58</v>
          </cell>
          <cell r="D51">
            <v>6</v>
          </cell>
          <cell r="E51">
            <v>3</v>
          </cell>
          <cell r="F51">
            <v>8</v>
          </cell>
          <cell r="G51">
            <v>0</v>
          </cell>
          <cell r="H51">
            <v>75</v>
          </cell>
          <cell r="I51">
            <v>0</v>
          </cell>
          <cell r="J51" t="str">
            <v/>
          </cell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</row>
        <row r="52">
          <cell r="A52">
            <v>8601</v>
          </cell>
          <cell r="B52" t="str">
            <v>STD</v>
          </cell>
          <cell r="C52">
            <v>50</v>
          </cell>
          <cell r="D52">
            <v>6</v>
          </cell>
          <cell r="E52">
            <v>3</v>
          </cell>
          <cell r="F52">
            <v>8</v>
          </cell>
          <cell r="G52">
            <v>0</v>
          </cell>
          <cell r="H52">
            <v>67</v>
          </cell>
          <cell r="I52">
            <v>0</v>
          </cell>
          <cell r="J52" t="str">
            <v/>
          </cell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</row>
        <row r="53">
          <cell r="A53"/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</row>
        <row r="54">
          <cell r="A54"/>
          <cell r="B54"/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</row>
        <row r="55">
          <cell r="A55"/>
          <cell r="B55"/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</row>
        <row r="56">
          <cell r="A56"/>
          <cell r="B56"/>
          <cell r="C56"/>
          <cell r="D56"/>
          <cell r="E56"/>
          <cell r="F56"/>
          <cell r="G56"/>
          <cell r="H56"/>
          <cell r="I56"/>
          <cell r="J56"/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  <cell r="J57"/>
        </row>
        <row r="58">
          <cell r="A58"/>
          <cell r="B58"/>
          <cell r="C58"/>
          <cell r="D58"/>
          <cell r="E58"/>
          <cell r="F58"/>
          <cell r="G58"/>
          <cell r="H58"/>
          <cell r="I58"/>
          <cell r="J58"/>
        </row>
        <row r="59">
          <cell r="A59"/>
          <cell r="B59"/>
          <cell r="C59"/>
          <cell r="D59"/>
          <cell r="E59"/>
          <cell r="F59"/>
          <cell r="G59"/>
          <cell r="H59"/>
          <cell r="I59"/>
          <cell r="J59"/>
        </row>
        <row r="60">
          <cell r="A60"/>
          <cell r="B60"/>
          <cell r="C60"/>
          <cell r="D60"/>
          <cell r="E60"/>
          <cell r="F60"/>
          <cell r="G60"/>
          <cell r="H60"/>
          <cell r="I60"/>
          <cell r="J60"/>
        </row>
        <row r="61">
          <cell r="A61"/>
          <cell r="B61"/>
          <cell r="C61"/>
          <cell r="D61"/>
          <cell r="E61"/>
          <cell r="F61"/>
          <cell r="G61"/>
          <cell r="H61"/>
          <cell r="I61"/>
          <cell r="J61"/>
        </row>
        <row r="62">
          <cell r="A62"/>
          <cell r="B62"/>
          <cell r="C62"/>
          <cell r="D62"/>
          <cell r="E62"/>
          <cell r="F62"/>
          <cell r="G62"/>
          <cell r="H62"/>
          <cell r="I62"/>
          <cell r="J62"/>
        </row>
        <row r="63">
          <cell r="A63"/>
          <cell r="B63"/>
          <cell r="C63"/>
          <cell r="D63"/>
          <cell r="E63"/>
          <cell r="F63"/>
          <cell r="G63"/>
          <cell r="H63"/>
          <cell r="I63"/>
          <cell r="J63"/>
        </row>
        <row r="64">
          <cell r="A64"/>
          <cell r="B64"/>
          <cell r="C64"/>
          <cell r="D64"/>
          <cell r="E64"/>
          <cell r="F64"/>
          <cell r="G64"/>
          <cell r="H64"/>
          <cell r="I64"/>
          <cell r="J64"/>
        </row>
        <row r="65">
          <cell r="A65"/>
          <cell r="B65"/>
          <cell r="C65"/>
          <cell r="D65"/>
          <cell r="E65"/>
          <cell r="F65"/>
          <cell r="G65"/>
          <cell r="H65"/>
          <cell r="I65"/>
          <cell r="J65"/>
        </row>
        <row r="66">
          <cell r="A66"/>
          <cell r="B66"/>
          <cell r="C66"/>
          <cell r="D66"/>
          <cell r="E66"/>
          <cell r="F66"/>
          <cell r="G66"/>
          <cell r="H66"/>
          <cell r="I66"/>
          <cell r="J66"/>
        </row>
        <row r="67">
          <cell r="A67"/>
          <cell r="B67"/>
          <cell r="C67"/>
          <cell r="D67"/>
          <cell r="E67"/>
          <cell r="F67"/>
          <cell r="G67"/>
          <cell r="H67"/>
          <cell r="I67"/>
          <cell r="J67"/>
        </row>
        <row r="68">
          <cell r="A68"/>
          <cell r="B68"/>
          <cell r="C68"/>
          <cell r="D68"/>
          <cell r="E68"/>
          <cell r="F68"/>
          <cell r="G68"/>
          <cell r="H68"/>
          <cell r="I68"/>
          <cell r="J68"/>
        </row>
        <row r="69">
          <cell r="A69"/>
          <cell r="B69"/>
          <cell r="C69"/>
          <cell r="D69"/>
          <cell r="E69"/>
          <cell r="F69"/>
          <cell r="G69"/>
          <cell r="H69"/>
          <cell r="I69"/>
          <cell r="J69"/>
        </row>
        <row r="70">
          <cell r="A70"/>
          <cell r="B70"/>
          <cell r="C70"/>
          <cell r="D70"/>
          <cell r="E70"/>
          <cell r="F70"/>
          <cell r="G70"/>
          <cell r="H70"/>
          <cell r="I70"/>
          <cell r="J70"/>
        </row>
        <row r="71">
          <cell r="A71"/>
          <cell r="B71"/>
          <cell r="C71"/>
          <cell r="D71"/>
          <cell r="E71"/>
          <cell r="F71"/>
          <cell r="G71"/>
          <cell r="H71"/>
          <cell r="I71"/>
          <cell r="J71"/>
        </row>
        <row r="72">
          <cell r="A72"/>
          <cell r="B72"/>
          <cell r="C72"/>
          <cell r="D72"/>
          <cell r="E72"/>
          <cell r="F72"/>
          <cell r="G72"/>
          <cell r="H72"/>
          <cell r="I72"/>
          <cell r="J72"/>
        </row>
        <row r="73">
          <cell r="A73"/>
          <cell r="B73"/>
          <cell r="C73"/>
          <cell r="D73"/>
          <cell r="E73"/>
          <cell r="F73"/>
          <cell r="G73"/>
          <cell r="H73"/>
          <cell r="I73"/>
          <cell r="J73"/>
        </row>
        <row r="74">
          <cell r="A74"/>
          <cell r="B74"/>
          <cell r="C74"/>
          <cell r="D74"/>
          <cell r="E74"/>
          <cell r="F74"/>
          <cell r="G74"/>
          <cell r="H74"/>
          <cell r="I74"/>
          <cell r="J74"/>
        </row>
        <row r="75">
          <cell r="A75"/>
          <cell r="B75"/>
          <cell r="C75"/>
          <cell r="D75"/>
          <cell r="E75"/>
          <cell r="F75"/>
          <cell r="G75"/>
          <cell r="H75"/>
          <cell r="I75"/>
          <cell r="J75"/>
        </row>
        <row r="76">
          <cell r="A76"/>
          <cell r="B76"/>
          <cell r="C76"/>
          <cell r="D76"/>
          <cell r="E76"/>
          <cell r="F76"/>
          <cell r="G76"/>
          <cell r="H76"/>
          <cell r="I76"/>
          <cell r="J76"/>
        </row>
        <row r="77">
          <cell r="A77"/>
          <cell r="B77"/>
          <cell r="C77"/>
          <cell r="D77"/>
          <cell r="E77"/>
          <cell r="F77"/>
          <cell r="G77"/>
          <cell r="H77"/>
          <cell r="I77"/>
          <cell r="J77"/>
        </row>
        <row r="78">
          <cell r="A78"/>
          <cell r="B78"/>
          <cell r="C78"/>
          <cell r="D78"/>
          <cell r="E78"/>
          <cell r="F78"/>
          <cell r="G78"/>
          <cell r="H78"/>
          <cell r="I78"/>
          <cell r="J78"/>
        </row>
        <row r="79">
          <cell r="A79"/>
          <cell r="B79"/>
          <cell r="C79"/>
          <cell r="D79"/>
          <cell r="E79"/>
          <cell r="F79"/>
          <cell r="G79"/>
          <cell r="H79"/>
          <cell r="I79"/>
          <cell r="J79"/>
        </row>
        <row r="80">
          <cell r="A80"/>
          <cell r="B80"/>
          <cell r="C80"/>
          <cell r="D80"/>
          <cell r="E80"/>
          <cell r="F80"/>
          <cell r="G80"/>
          <cell r="H80"/>
          <cell r="I80"/>
          <cell r="J80"/>
        </row>
        <row r="81">
          <cell r="A81"/>
          <cell r="B81"/>
          <cell r="C81"/>
          <cell r="D81"/>
          <cell r="E81"/>
          <cell r="F81"/>
          <cell r="G81"/>
          <cell r="H81"/>
          <cell r="I81"/>
          <cell r="J81"/>
        </row>
        <row r="82">
          <cell r="A82"/>
          <cell r="B82"/>
          <cell r="C82"/>
          <cell r="D82"/>
          <cell r="E82"/>
          <cell r="F82"/>
          <cell r="G82"/>
          <cell r="H82"/>
          <cell r="I82"/>
          <cell r="J82"/>
        </row>
        <row r="83">
          <cell r="A83"/>
          <cell r="B83"/>
          <cell r="C83"/>
          <cell r="D83"/>
          <cell r="E83"/>
          <cell r="F83"/>
          <cell r="G83"/>
          <cell r="H83"/>
          <cell r="I83"/>
          <cell r="J83"/>
        </row>
        <row r="84">
          <cell r="A84"/>
          <cell r="B84"/>
          <cell r="C84"/>
          <cell r="D84"/>
          <cell r="E84"/>
          <cell r="F84"/>
          <cell r="G84"/>
          <cell r="H84"/>
          <cell r="I84"/>
          <cell r="J84"/>
        </row>
        <row r="85">
          <cell r="A85"/>
          <cell r="B85"/>
          <cell r="C85"/>
          <cell r="D85"/>
          <cell r="E85"/>
          <cell r="F85"/>
          <cell r="G85"/>
          <cell r="H85"/>
          <cell r="I85"/>
          <cell r="J85"/>
        </row>
        <row r="86">
          <cell r="A86"/>
          <cell r="B86"/>
          <cell r="C86"/>
          <cell r="D86"/>
          <cell r="E86"/>
          <cell r="F86"/>
          <cell r="G86"/>
          <cell r="H86"/>
          <cell r="I86"/>
          <cell r="J86"/>
        </row>
        <row r="87">
          <cell r="A87"/>
          <cell r="B87"/>
          <cell r="C87"/>
          <cell r="D87"/>
          <cell r="E87"/>
          <cell r="F87"/>
          <cell r="G87"/>
          <cell r="H87"/>
          <cell r="I87"/>
          <cell r="J87"/>
        </row>
        <row r="88">
          <cell r="A88"/>
          <cell r="B88"/>
          <cell r="C88"/>
          <cell r="D88"/>
          <cell r="E88"/>
          <cell r="F88"/>
          <cell r="G88"/>
          <cell r="H88"/>
          <cell r="I88"/>
          <cell r="J88"/>
        </row>
        <row r="89">
          <cell r="A89"/>
          <cell r="B89"/>
          <cell r="C89"/>
          <cell r="D89"/>
          <cell r="E89"/>
          <cell r="F89"/>
          <cell r="G89"/>
          <cell r="H89"/>
          <cell r="I89"/>
          <cell r="J89"/>
        </row>
        <row r="90">
          <cell r="A90"/>
          <cell r="B90"/>
          <cell r="C90"/>
          <cell r="D90"/>
          <cell r="E90"/>
          <cell r="F90"/>
          <cell r="G90"/>
          <cell r="H90"/>
          <cell r="I90"/>
          <cell r="J90"/>
        </row>
        <row r="91">
          <cell r="A91"/>
          <cell r="B91"/>
          <cell r="C91"/>
          <cell r="D91"/>
          <cell r="E91"/>
          <cell r="F91"/>
          <cell r="G91"/>
          <cell r="H91"/>
          <cell r="I91"/>
          <cell r="J91"/>
        </row>
        <row r="92">
          <cell r="A92"/>
          <cell r="B92"/>
          <cell r="C92"/>
          <cell r="D92"/>
          <cell r="E92"/>
          <cell r="F92"/>
          <cell r="G92"/>
          <cell r="H92"/>
          <cell r="I92"/>
          <cell r="J92"/>
        </row>
        <row r="93">
          <cell r="A93"/>
          <cell r="B93"/>
          <cell r="C93"/>
          <cell r="D93"/>
          <cell r="E93"/>
          <cell r="F93"/>
          <cell r="G93"/>
          <cell r="H93"/>
          <cell r="I93"/>
          <cell r="J93"/>
        </row>
        <row r="94">
          <cell r="A94"/>
          <cell r="B94"/>
          <cell r="C94"/>
          <cell r="D94"/>
          <cell r="E94"/>
          <cell r="F94"/>
          <cell r="G94"/>
          <cell r="H94"/>
          <cell r="I94"/>
          <cell r="J94"/>
        </row>
        <row r="95">
          <cell r="A95"/>
          <cell r="B95"/>
          <cell r="C95"/>
          <cell r="D95"/>
          <cell r="E95"/>
          <cell r="F95"/>
          <cell r="G95"/>
          <cell r="H95"/>
          <cell r="I95"/>
          <cell r="J95"/>
        </row>
        <row r="96">
          <cell r="A96"/>
          <cell r="B96"/>
          <cell r="C96"/>
          <cell r="D96"/>
          <cell r="E96"/>
          <cell r="F96"/>
          <cell r="G96"/>
          <cell r="H96"/>
          <cell r="I96"/>
          <cell r="J96"/>
        </row>
        <row r="97">
          <cell r="A97"/>
          <cell r="B97"/>
          <cell r="C97"/>
          <cell r="D97"/>
          <cell r="E97"/>
          <cell r="F97"/>
          <cell r="G97"/>
          <cell r="H97"/>
          <cell r="I97"/>
          <cell r="J97"/>
        </row>
        <row r="98">
          <cell r="A98"/>
          <cell r="B98"/>
          <cell r="C98"/>
          <cell r="D98"/>
          <cell r="E98"/>
          <cell r="F98"/>
          <cell r="G98"/>
          <cell r="H98"/>
          <cell r="I98"/>
          <cell r="J98"/>
        </row>
        <row r="99">
          <cell r="A99"/>
          <cell r="B99"/>
          <cell r="C99"/>
          <cell r="D99"/>
          <cell r="E99"/>
          <cell r="F99"/>
          <cell r="G99"/>
          <cell r="H99"/>
          <cell r="I99"/>
          <cell r="J99"/>
        </row>
        <row r="100">
          <cell r="A100"/>
          <cell r="B100"/>
          <cell r="C100"/>
          <cell r="D100"/>
          <cell r="E100"/>
          <cell r="F100"/>
          <cell r="G100"/>
          <cell r="H100"/>
          <cell r="I100"/>
          <cell r="J100"/>
        </row>
        <row r="101">
          <cell r="A101"/>
          <cell r="B101"/>
          <cell r="C101"/>
          <cell r="D101"/>
          <cell r="E101"/>
          <cell r="F101"/>
          <cell r="G101"/>
          <cell r="H101"/>
          <cell r="I101"/>
          <cell r="J101"/>
        </row>
        <row r="102">
          <cell r="A102"/>
          <cell r="B102"/>
          <cell r="C102"/>
          <cell r="D102"/>
          <cell r="E102"/>
          <cell r="F102"/>
          <cell r="G102"/>
          <cell r="H102"/>
          <cell r="I102"/>
          <cell r="J102"/>
        </row>
        <row r="103">
          <cell r="A103"/>
          <cell r="B103"/>
          <cell r="C103"/>
          <cell r="D103"/>
          <cell r="E103"/>
          <cell r="F103"/>
          <cell r="G103"/>
          <cell r="H103"/>
          <cell r="I103"/>
          <cell r="J103"/>
        </row>
        <row r="104">
          <cell r="A104"/>
          <cell r="B104"/>
          <cell r="C104"/>
          <cell r="D104"/>
          <cell r="E104"/>
          <cell r="F104"/>
          <cell r="G104"/>
          <cell r="H104"/>
          <cell r="I104"/>
          <cell r="J104"/>
        </row>
        <row r="105">
          <cell r="A105"/>
          <cell r="B105"/>
          <cell r="C105"/>
          <cell r="D105"/>
          <cell r="E105"/>
          <cell r="F105"/>
          <cell r="G105"/>
          <cell r="H105"/>
          <cell r="I105"/>
          <cell r="J105"/>
        </row>
        <row r="106">
          <cell r="A106"/>
          <cell r="B106"/>
          <cell r="C106"/>
          <cell r="D106"/>
          <cell r="E106"/>
          <cell r="F106"/>
          <cell r="G106"/>
          <cell r="H106"/>
          <cell r="I106"/>
          <cell r="J106"/>
        </row>
        <row r="107">
          <cell r="A107"/>
          <cell r="B107"/>
          <cell r="C107"/>
          <cell r="D107"/>
          <cell r="E107"/>
          <cell r="F107"/>
          <cell r="G107"/>
          <cell r="H107"/>
          <cell r="I107"/>
          <cell r="J107"/>
        </row>
        <row r="108">
          <cell r="A108"/>
          <cell r="B108"/>
          <cell r="C108"/>
          <cell r="D108"/>
          <cell r="E108"/>
          <cell r="F108"/>
          <cell r="G108"/>
          <cell r="H108"/>
          <cell r="I108"/>
          <cell r="J108"/>
        </row>
        <row r="109">
          <cell r="A109"/>
          <cell r="B109"/>
          <cell r="C109"/>
          <cell r="D109"/>
          <cell r="E109"/>
          <cell r="F109"/>
          <cell r="G109"/>
          <cell r="H109"/>
          <cell r="I109"/>
          <cell r="J109"/>
        </row>
        <row r="110">
          <cell r="A110"/>
          <cell r="B110"/>
          <cell r="C110"/>
          <cell r="D110"/>
          <cell r="E110"/>
          <cell r="F110"/>
          <cell r="G110"/>
          <cell r="H110"/>
          <cell r="I110"/>
          <cell r="J110"/>
        </row>
        <row r="111">
          <cell r="A111"/>
          <cell r="B111"/>
          <cell r="C111"/>
          <cell r="D111"/>
          <cell r="E111"/>
          <cell r="F111"/>
          <cell r="G111"/>
          <cell r="H111"/>
          <cell r="I111"/>
          <cell r="J111"/>
        </row>
        <row r="112">
          <cell r="A112"/>
          <cell r="B112"/>
          <cell r="C112"/>
          <cell r="D112"/>
          <cell r="E112"/>
          <cell r="F112"/>
          <cell r="G112"/>
          <cell r="H112"/>
          <cell r="I112"/>
          <cell r="J112"/>
        </row>
        <row r="113">
          <cell r="A113"/>
          <cell r="B113"/>
          <cell r="C113"/>
          <cell r="D113"/>
          <cell r="E113"/>
          <cell r="F113"/>
          <cell r="G113"/>
          <cell r="H113"/>
          <cell r="I113"/>
          <cell r="J113"/>
        </row>
        <row r="114">
          <cell r="A114"/>
          <cell r="B114"/>
          <cell r="C114"/>
          <cell r="D114"/>
          <cell r="E114"/>
          <cell r="F114"/>
          <cell r="G114"/>
          <cell r="H114"/>
          <cell r="I114"/>
          <cell r="J114"/>
        </row>
        <row r="115">
          <cell r="A115"/>
          <cell r="B115"/>
          <cell r="C115"/>
          <cell r="D115"/>
          <cell r="E115"/>
          <cell r="F115"/>
          <cell r="G115"/>
          <cell r="H115"/>
          <cell r="I115"/>
          <cell r="J115"/>
        </row>
        <row r="116">
          <cell r="A116"/>
          <cell r="B116"/>
          <cell r="C116"/>
          <cell r="D116"/>
          <cell r="E116"/>
          <cell r="F116"/>
          <cell r="G116"/>
          <cell r="H116"/>
          <cell r="I116"/>
          <cell r="J116"/>
        </row>
        <row r="117">
          <cell r="A117"/>
          <cell r="B117"/>
          <cell r="C117"/>
          <cell r="D117"/>
          <cell r="E117"/>
          <cell r="F117"/>
          <cell r="G117"/>
          <cell r="H117"/>
          <cell r="I117"/>
          <cell r="J117"/>
        </row>
        <row r="118">
          <cell r="A118"/>
          <cell r="B118"/>
          <cell r="C118"/>
          <cell r="D118"/>
          <cell r="E118"/>
          <cell r="F118"/>
          <cell r="G118"/>
          <cell r="H118"/>
          <cell r="I118"/>
          <cell r="J118"/>
        </row>
        <row r="119">
          <cell r="A119"/>
          <cell r="B119"/>
          <cell r="C119"/>
          <cell r="D119"/>
          <cell r="E119"/>
          <cell r="F119"/>
          <cell r="G119"/>
          <cell r="H119"/>
          <cell r="I119"/>
          <cell r="J119"/>
        </row>
        <row r="120">
          <cell r="A120"/>
          <cell r="B120"/>
          <cell r="C120"/>
          <cell r="D120"/>
          <cell r="E120"/>
          <cell r="F120"/>
          <cell r="G120"/>
          <cell r="H120"/>
          <cell r="I120"/>
          <cell r="J120"/>
        </row>
        <row r="121">
          <cell r="A121"/>
          <cell r="B121"/>
          <cell r="C121"/>
          <cell r="D121"/>
          <cell r="E121"/>
          <cell r="F121"/>
          <cell r="G121"/>
          <cell r="H121"/>
          <cell r="I121"/>
          <cell r="J121"/>
        </row>
        <row r="122">
          <cell r="A122"/>
          <cell r="B122"/>
          <cell r="C122"/>
          <cell r="D122"/>
          <cell r="E122"/>
          <cell r="F122"/>
          <cell r="G122"/>
          <cell r="H122"/>
          <cell r="I122"/>
          <cell r="J122"/>
        </row>
        <row r="123">
          <cell r="A123"/>
          <cell r="B123"/>
          <cell r="C123"/>
          <cell r="D123"/>
          <cell r="E123"/>
          <cell r="F123"/>
          <cell r="G123"/>
          <cell r="H123"/>
          <cell r="I123"/>
          <cell r="J123"/>
        </row>
        <row r="124">
          <cell r="A124"/>
          <cell r="B124"/>
          <cell r="C124"/>
          <cell r="D124"/>
          <cell r="E124"/>
          <cell r="F124"/>
          <cell r="G124"/>
          <cell r="H124"/>
          <cell r="I124"/>
          <cell r="J124"/>
        </row>
        <row r="125">
          <cell r="A125"/>
          <cell r="B125"/>
          <cell r="C125"/>
          <cell r="D125"/>
          <cell r="E125"/>
          <cell r="F125"/>
          <cell r="G125"/>
          <cell r="H125"/>
          <cell r="I125"/>
          <cell r="J125"/>
        </row>
        <row r="126">
          <cell r="A126"/>
          <cell r="B126"/>
          <cell r="C126"/>
          <cell r="D126"/>
          <cell r="E126"/>
          <cell r="F126"/>
          <cell r="G126"/>
          <cell r="H126"/>
          <cell r="I126"/>
          <cell r="J126"/>
        </row>
        <row r="127">
          <cell r="A127"/>
          <cell r="B127"/>
          <cell r="C127"/>
          <cell r="D127"/>
          <cell r="E127"/>
          <cell r="F127"/>
          <cell r="G127"/>
          <cell r="H127"/>
          <cell r="I127"/>
          <cell r="J127"/>
        </row>
        <row r="128">
          <cell r="A128"/>
          <cell r="B128"/>
          <cell r="C128"/>
          <cell r="D128"/>
          <cell r="E128"/>
          <cell r="F128"/>
          <cell r="G128"/>
          <cell r="H128"/>
          <cell r="I128"/>
          <cell r="J128"/>
        </row>
        <row r="129">
          <cell r="A129"/>
          <cell r="B129"/>
          <cell r="C129"/>
          <cell r="D129"/>
          <cell r="E129"/>
          <cell r="F129"/>
          <cell r="G129"/>
          <cell r="H129"/>
          <cell r="I129"/>
          <cell r="J129"/>
        </row>
        <row r="130">
          <cell r="A130"/>
          <cell r="B130"/>
          <cell r="C130"/>
          <cell r="D130"/>
          <cell r="E130"/>
          <cell r="F130"/>
          <cell r="G130"/>
          <cell r="H130"/>
          <cell r="I130"/>
          <cell r="J130"/>
        </row>
        <row r="131">
          <cell r="A131"/>
          <cell r="B131"/>
          <cell r="C131"/>
          <cell r="D131"/>
          <cell r="E131"/>
          <cell r="F131"/>
          <cell r="G131"/>
          <cell r="H131"/>
          <cell r="I131"/>
          <cell r="J131"/>
        </row>
        <row r="132">
          <cell r="A132"/>
          <cell r="B132"/>
          <cell r="C132"/>
          <cell r="D132"/>
          <cell r="E132"/>
          <cell r="F132"/>
          <cell r="G132"/>
          <cell r="H132"/>
          <cell r="I132"/>
          <cell r="J132"/>
        </row>
        <row r="133">
          <cell r="A133"/>
          <cell r="B133"/>
          <cell r="C133"/>
          <cell r="D133"/>
          <cell r="E133"/>
          <cell r="F133"/>
          <cell r="G133"/>
          <cell r="H133"/>
          <cell r="I133"/>
          <cell r="J133"/>
        </row>
        <row r="134">
          <cell r="A134"/>
          <cell r="B134"/>
          <cell r="C134"/>
          <cell r="D134"/>
          <cell r="E134"/>
          <cell r="F134"/>
          <cell r="G134"/>
          <cell r="H134"/>
          <cell r="I134"/>
          <cell r="J134"/>
        </row>
        <row r="135">
          <cell r="A135"/>
          <cell r="B135"/>
          <cell r="C135"/>
          <cell r="D135"/>
          <cell r="E135"/>
          <cell r="F135"/>
          <cell r="G135"/>
          <cell r="H135"/>
          <cell r="I135"/>
          <cell r="J135"/>
        </row>
        <row r="136">
          <cell r="A136"/>
          <cell r="B136"/>
          <cell r="C136"/>
          <cell r="D136"/>
          <cell r="E136"/>
          <cell r="F136"/>
          <cell r="G136"/>
          <cell r="H136"/>
          <cell r="I136"/>
          <cell r="J136"/>
        </row>
        <row r="137">
          <cell r="A137"/>
          <cell r="B137"/>
          <cell r="C137"/>
          <cell r="D137"/>
          <cell r="E137"/>
          <cell r="F137"/>
          <cell r="G137"/>
          <cell r="H137"/>
          <cell r="I137"/>
          <cell r="J137"/>
        </row>
        <row r="138">
          <cell r="A138"/>
          <cell r="B138"/>
          <cell r="C138"/>
          <cell r="D138"/>
          <cell r="E138"/>
          <cell r="F138"/>
          <cell r="G138"/>
          <cell r="H138"/>
          <cell r="I138"/>
          <cell r="J138"/>
        </row>
        <row r="139">
          <cell r="A139"/>
          <cell r="B139"/>
          <cell r="C139"/>
          <cell r="D139"/>
          <cell r="E139"/>
          <cell r="F139"/>
          <cell r="G139"/>
          <cell r="H139"/>
          <cell r="I139"/>
          <cell r="J139"/>
        </row>
        <row r="140">
          <cell r="A140"/>
          <cell r="B140"/>
          <cell r="C140"/>
          <cell r="D140"/>
          <cell r="E140"/>
          <cell r="F140"/>
          <cell r="G140"/>
          <cell r="H140"/>
          <cell r="I140"/>
          <cell r="J140"/>
        </row>
        <row r="141">
          <cell r="A141"/>
          <cell r="B141"/>
          <cell r="C141"/>
          <cell r="D141"/>
          <cell r="E141"/>
          <cell r="F141"/>
          <cell r="G141"/>
          <cell r="H141"/>
          <cell r="I141"/>
          <cell r="J141"/>
        </row>
        <row r="142">
          <cell r="A142"/>
          <cell r="B142"/>
          <cell r="C142"/>
          <cell r="D142"/>
          <cell r="E142"/>
          <cell r="F142"/>
          <cell r="G142"/>
          <cell r="H142"/>
          <cell r="I142"/>
          <cell r="J142"/>
        </row>
        <row r="143">
          <cell r="A143"/>
          <cell r="B143"/>
          <cell r="C143"/>
          <cell r="D143"/>
          <cell r="E143"/>
          <cell r="F143"/>
          <cell r="G143"/>
          <cell r="H143"/>
          <cell r="I143"/>
          <cell r="J143"/>
        </row>
        <row r="144">
          <cell r="A144"/>
          <cell r="B144"/>
          <cell r="C144"/>
          <cell r="D144"/>
          <cell r="E144"/>
          <cell r="F144"/>
          <cell r="G144"/>
          <cell r="H144"/>
          <cell r="I144"/>
          <cell r="J144"/>
        </row>
        <row r="145">
          <cell r="A145"/>
          <cell r="B145"/>
          <cell r="C145"/>
          <cell r="D145"/>
          <cell r="E145"/>
          <cell r="F145"/>
          <cell r="G145"/>
          <cell r="H145"/>
          <cell r="I145"/>
          <cell r="J145"/>
        </row>
        <row r="146">
          <cell r="A146"/>
          <cell r="B146"/>
          <cell r="C146"/>
          <cell r="D146"/>
          <cell r="E146"/>
          <cell r="F146"/>
          <cell r="G146"/>
          <cell r="H146"/>
          <cell r="I146"/>
          <cell r="J146"/>
        </row>
        <row r="147">
          <cell r="A147"/>
          <cell r="B147"/>
          <cell r="C147"/>
          <cell r="D147"/>
          <cell r="E147"/>
          <cell r="F147"/>
          <cell r="G147"/>
          <cell r="H147"/>
          <cell r="I147"/>
          <cell r="J147"/>
        </row>
        <row r="148">
          <cell r="A148"/>
          <cell r="B148"/>
          <cell r="C148"/>
          <cell r="D148"/>
          <cell r="E148"/>
          <cell r="F148"/>
          <cell r="G148"/>
          <cell r="H148"/>
          <cell r="I148"/>
          <cell r="J148"/>
        </row>
        <row r="149">
          <cell r="A149"/>
          <cell r="B149"/>
          <cell r="C149"/>
          <cell r="D149"/>
          <cell r="E149"/>
          <cell r="F149"/>
          <cell r="G149"/>
          <cell r="H149"/>
          <cell r="I149"/>
          <cell r="J149"/>
        </row>
        <row r="150">
          <cell r="A150"/>
          <cell r="B150"/>
          <cell r="C150"/>
          <cell r="D150"/>
          <cell r="E150"/>
          <cell r="F150"/>
          <cell r="G150"/>
          <cell r="H150"/>
          <cell r="I150"/>
          <cell r="J150"/>
        </row>
        <row r="151">
          <cell r="A151"/>
          <cell r="B151"/>
          <cell r="C151"/>
          <cell r="D151"/>
          <cell r="E151"/>
          <cell r="F151"/>
          <cell r="G151"/>
          <cell r="H151"/>
          <cell r="I151"/>
          <cell r="J151"/>
        </row>
        <row r="152">
          <cell r="A152"/>
          <cell r="B152"/>
          <cell r="C152"/>
          <cell r="D152"/>
          <cell r="E152"/>
          <cell r="F152"/>
          <cell r="G152"/>
          <cell r="H152"/>
          <cell r="I152"/>
          <cell r="J152"/>
        </row>
        <row r="153">
          <cell r="A153"/>
          <cell r="B153"/>
          <cell r="C153"/>
          <cell r="D153"/>
          <cell r="E153"/>
          <cell r="F153"/>
          <cell r="G153"/>
          <cell r="H153"/>
          <cell r="I153"/>
          <cell r="J153"/>
        </row>
        <row r="154">
          <cell r="A154"/>
          <cell r="B154"/>
          <cell r="C154"/>
          <cell r="D154"/>
          <cell r="E154"/>
          <cell r="F154"/>
          <cell r="G154"/>
          <cell r="H154"/>
          <cell r="I154"/>
          <cell r="J154"/>
        </row>
        <row r="155">
          <cell r="A155"/>
          <cell r="B155"/>
          <cell r="C155"/>
          <cell r="D155"/>
          <cell r="E155"/>
          <cell r="F155"/>
          <cell r="G155"/>
          <cell r="H155"/>
          <cell r="I155"/>
          <cell r="J155"/>
        </row>
        <row r="156">
          <cell r="A156"/>
          <cell r="B156"/>
          <cell r="C156"/>
          <cell r="D156"/>
          <cell r="E156"/>
          <cell r="F156"/>
          <cell r="G156"/>
          <cell r="H156"/>
          <cell r="I156"/>
          <cell r="J156"/>
        </row>
        <row r="157">
          <cell r="A157"/>
          <cell r="B157"/>
          <cell r="C157"/>
          <cell r="D157"/>
          <cell r="E157"/>
          <cell r="F157"/>
          <cell r="G157"/>
          <cell r="H157"/>
          <cell r="I157"/>
          <cell r="J157"/>
        </row>
        <row r="158">
          <cell r="A158"/>
          <cell r="B158"/>
          <cell r="C158"/>
          <cell r="D158"/>
          <cell r="E158"/>
          <cell r="F158"/>
          <cell r="G158"/>
          <cell r="H158"/>
          <cell r="I158"/>
          <cell r="J158"/>
        </row>
        <row r="159">
          <cell r="A159"/>
          <cell r="B159"/>
          <cell r="C159"/>
          <cell r="D159"/>
          <cell r="E159"/>
          <cell r="F159"/>
          <cell r="G159"/>
          <cell r="H159"/>
          <cell r="I159"/>
          <cell r="J159"/>
        </row>
        <row r="160">
          <cell r="A160"/>
          <cell r="B160"/>
          <cell r="C160"/>
          <cell r="D160"/>
          <cell r="E160"/>
          <cell r="F160"/>
          <cell r="G160"/>
          <cell r="H160"/>
          <cell r="I160"/>
          <cell r="J160"/>
        </row>
        <row r="161">
          <cell r="A161"/>
          <cell r="B161"/>
          <cell r="C161"/>
          <cell r="D161"/>
          <cell r="E161"/>
          <cell r="F161"/>
          <cell r="G161"/>
          <cell r="H161"/>
          <cell r="I161"/>
          <cell r="J161"/>
        </row>
        <row r="162">
          <cell r="A162"/>
          <cell r="B162"/>
          <cell r="C162"/>
          <cell r="D162"/>
          <cell r="E162"/>
          <cell r="F162"/>
          <cell r="G162"/>
          <cell r="H162"/>
          <cell r="I162"/>
          <cell r="J162"/>
        </row>
        <row r="163">
          <cell r="A163"/>
          <cell r="B163"/>
          <cell r="C163"/>
          <cell r="D163"/>
          <cell r="E163"/>
          <cell r="F163"/>
          <cell r="G163"/>
          <cell r="H163"/>
          <cell r="I163"/>
          <cell r="J163"/>
        </row>
        <row r="164">
          <cell r="A164"/>
          <cell r="B164"/>
          <cell r="C164"/>
          <cell r="D164"/>
          <cell r="E164"/>
          <cell r="F164"/>
          <cell r="G164"/>
          <cell r="H164"/>
          <cell r="I164"/>
          <cell r="J164"/>
        </row>
        <row r="165">
          <cell r="A165"/>
          <cell r="B165"/>
          <cell r="C165"/>
          <cell r="D165"/>
          <cell r="E165"/>
          <cell r="F165"/>
          <cell r="G165"/>
          <cell r="H165"/>
          <cell r="I165"/>
          <cell r="J165"/>
        </row>
        <row r="166">
          <cell r="A166"/>
          <cell r="B166"/>
          <cell r="C166"/>
          <cell r="D166"/>
          <cell r="E166"/>
          <cell r="F166"/>
          <cell r="G166"/>
          <cell r="H166"/>
          <cell r="I166"/>
          <cell r="J166"/>
        </row>
      </sheetData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no Liberati" refreshedDate="46003.541479282409" createdVersion="7" refreshedVersion="7" minRefreshableVersion="3" recordCount="46" xr:uid="{23D44325-D74A-49C8-80C9-3D778D5E0F11}">
  <cacheSource type="worksheet">
    <worksheetSource ref="B1:I47" sheet="sga"/>
  </cacheSource>
  <cacheFields count="8">
    <cacheField name="STORE" numFmtId="0">
      <sharedItems count="69">
        <s v="TER-GRAN SASSO "/>
        <s v="ROM-ROMA EST   "/>
        <s v="ROM-P.DI ROMA  "/>
        <s v="ROM-GRAN ROMA  "/>
        <s v="ROM-EUROMA2    "/>
        <s v="PER-COLLESTRADA"/>
        <s v="LATI-LATINAFIOR"/>
        <s v="CITT-PESCARA NO"/>
        <s v="ROM-OTTAVIANO"/>
        <s v="ROM-EUROMA2 APT0"/>
        <s v="PER-COLLESTRADA APT0"/>
        <s v="ASC-AL BATTENT "/>
        <s v="ROM-VIA TUSCOLA"/>
        <s v="PES-VITTORIO E "/>
        <s v="CHIETI-MEGALO  "/>
        <s v="ROM-P BOCCONI  "/>
        <s v="CHIETI-MEGALO APT0  "/>
        <s v="ROM-COLA RIENZO"/>
        <s v="CD2-IT-ROMA"/>
        <s v="MAC-ADRIATICO  "/>
        <s v="8364 CC Roma EST " u="1"/>
        <s v="6525 C. C. Collestrada" u="1"/>
        <s v="7361 CC Chieti Megalò" u="1"/>
        <s v="5349 CC EUROMA2" u="1"/>
        <s v="3503 CC Chieti Megalò" u="1"/>
        <s v="7737 ROMA VIA OTTAVIANO" u="1"/>
        <s v="5306 CC Roma EST " u="1"/>
        <s v="8601 C.C. Gran sasso" u="1"/>
        <s v="12093 CC GRAN ROMA " u="1"/>
        <s v="3494 CC PARCO LEONARDO" u="1"/>
        <s v="12899 CC GRAN ROMA " u="1"/>
        <s v="10265 Pescara" u="1"/>
        <s v="5405 C.C. IL CUORE ADRIATICO" u="1"/>
        <s v="2361 CC Chieti Megalò" u="1"/>
        <s v="5641 C.C. IL CUORE ADRIATICO" u="1"/>
        <s v="8453 C. C. Collestrada" u="1"/>
        <s v="9872 CASTEL GIUBILEO" u="1"/>
        <s v="8370 CC PARCO LEONARDO" u="1"/>
        <s v="ROM-VIA APPIA  " u="1"/>
        <s v="11629 C.C. Al Battente" u="1"/>
        <s v="8355 CC Chieti Megalò" u="1"/>
        <s v="6760 C.C.La Porta di Roma" u="1"/>
        <s v="2898 CC Roma EST " u="1"/>
        <s v="12059 CC GRAN ROMA " u="1"/>
        <s v="2917 CC EUROMA2" u="1"/>
        <s v="12152 C.C. Gran sasso" u="1"/>
        <s v="7593 ROMA VIA TUSCOLANA" u="1"/>
        <s v="1971 C.C.La Porta di Roma" u="1"/>
        <s v="7672 CC Pescara Nord" u="1"/>
        <s v="1984 ROMA _x000a_COLA RIENZO" u="1"/>
        <s v="5288 CC PARCO LEONARDO" u="1"/>
        <s v="12222 CC LATINA" u="1"/>
        <s v="12154 C.C. Al Battente" u="1"/>
        <s v="1755 CC EUROMA2" u="1"/>
        <s v="2414 CC EUROMA2" u="1"/>
        <s v="2435 C.C.La Porta di Roma" u="1"/>
        <s v="4518 CC EUROMA2" u="1"/>
        <s v="2972 C.C. IL CUORE ADRIATICO" u="1"/>
        <s v="5262 CC Chieti Megalò" u="1"/>
        <s v="5367 C.C. La Porta di Roma" u="1"/>
        <s v="14825 C.C.La Porta di Roma" u="1"/>
        <s v="1265 ROMA VIA APPIA" u="1"/>
        <s v="3591 CC EUROMA2" u="1"/>
        <s v="11796 CC Pescara Nord" u="1"/>
        <s v="8428 CC EUROMA2" u="1"/>
        <s v="3534 CC Roma EST " u="1"/>
        <s v="12271 C.C. Gran sasso" u="1"/>
        <s v="3681 C. C. Collestrada" u="1"/>
        <s v="10504 CC GRAN ROMA " u="1"/>
      </sharedItems>
    </cacheField>
    <cacheField name="PUNTO VENDITA" numFmtId="0">
      <sharedItems count="10">
        <s v="BERSHKA"/>
        <s v="MASSIMO DUTTI"/>
        <s v="OYSHO  "/>
        <s v="STRADIVARIUS"/>
        <s v="PULL&amp;BEAR"/>
        <s v="ZARA   "/>
        <s v="ZARA"/>
        <s v="ZARA HOME"/>
        <s v="OYSHO" u="1"/>
        <s v="CASTEL GIUBILEO" u="1"/>
      </sharedItems>
    </cacheField>
    <cacheField name="MC" numFmtId="2">
      <sharedItems containsSemiMixedTypes="0" containsString="0" containsNumber="1" minValue="0" maxValue="100.41000127792358"/>
    </cacheField>
    <cacheField name="TEXTILE_x000a_ATTESI" numFmtId="0">
      <sharedItems containsSemiMixedTypes="0" containsString="0" containsNumber="1" containsInteger="1" minValue="-26" maxValue="771"/>
    </cacheField>
    <cacheField name="OTHER_x000a_ATTESI" numFmtId="0">
      <sharedItems containsSemiMixedTypes="0" containsString="0" containsNumber="1" containsInteger="1" minValue="0" maxValue="91"/>
    </cacheField>
    <cacheField name="SHOES ATTESI" numFmtId="0">
      <sharedItems containsSemiMixedTypes="0" containsString="0" containsNumber="1" containsInteger="1" minValue="0" maxValue="53"/>
    </cacheField>
    <cacheField name="ECOM ATTESI" numFmtId="0">
      <sharedItems containsSemiMixedTypes="0" containsString="0" containsNumber="1" containsInteger="1" minValue="0" maxValue="32"/>
    </cacheField>
    <cacheField name="PEDANE" numFmtId="1">
      <sharedItems containsSemiMixedTypes="0" containsString="0" containsNumber="1" containsInteger="1" minValue="0" maxValue="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Serafini" refreshedDate="46315.634918402779" createdVersion="7" refreshedVersion="7" minRefreshableVersion="3" recordCount="43" xr:uid="{DA102EE6-409C-4D48-9278-ABA4DF57298A}">
  <cacheSource type="worksheet">
    <worksheetSource ref="A1:T44" sheet="OTHER"/>
  </cacheSource>
  <cacheFields count="20">
    <cacheField name="Confirm." numFmtId="0">
      <sharedItems containsBlank="1"/>
    </cacheField>
    <cacheField name="Tienda" numFmtId="0">
      <sharedItems containsBlank="1" count="27">
        <s v="8364-ROM-ROMA EST"/>
        <s v="14825-ROM-PORTA DI R"/>
        <s v="1265-ROM-VIA APPIA"/>
        <s v="3503-CHIETI-MEGALO"/>
        <s v="3534-ROM-ROMA EST"/>
        <s v="3591-ROM-EUROMA2"/>
        <s v="3680-ROM-P.DI ROMA"/>
        <s v="9226-ROM-P BOCCONI"/>
        <s v="12059-ROM-GRAN ROMA"/>
        <s v="12271-TER-GRAN SASSO"/>
        <s v="15733-ALM-E-IT-ROMA"/>
        <s v="16723-PER-COLLESTRAD"/>
        <s v="4518-ROM-EUROMA2"/>
        <s v="17019-ROM-PALAZZO RU"/>
        <s v="5641-MAC-ADRIATICO"/>
        <s v="8428-ROM-EUROMA2"/>
        <s v="8453-PER-COLLESTRADA"/>
        <s v="8601-TER-GRAN SASSO"/>
        <s v="11796-CITT-PESCARA NO"/>
        <s v="12899-ROM-GRAN ROMA"/>
        <s v="14010-ROM-OTTAVIANO"/>
        <s v="16037-LATI-LATINAFIOR"/>
        <s v="16351-CHIETI-MEGALO"/>
        <s v="1755-ROM-EUROMA2"/>
        <s v="1971-ROM-P.DI ROMA"/>
        <s v="1984-ROM-COLA RIENZO"/>
        <m/>
      </sharedItems>
    </cacheField>
    <cacheField name="P. colgada" numFmtId="167">
      <sharedItems containsString="0" containsBlank="1" containsNumber="1" minValue="0" maxValue="524"/>
    </cacheField>
    <cacheField name="Paquetería" numFmtId="167">
      <sharedItems containsString="0" containsBlank="1" containsNumber="1" minValue="0" maxValue="971"/>
    </cacheField>
    <cacheField name="Peso" numFmtId="167">
      <sharedItems containsString="0" containsBlank="1" containsNumber="1" minValue="1.099" maxValue="872"/>
    </cacheField>
    <cacheField name="Volumen" numFmtId="168">
      <sharedItems containsBlank="1"/>
    </cacheField>
    <cacheField name="Bultos" numFmtId="167">
      <sharedItems containsString="0" containsBlank="1" containsNumber="1" containsInteger="1" minValue="1" maxValue="209"/>
    </cacheField>
    <cacheField name="Enviado" numFmtId="0">
      <sharedItems containsString="0" containsBlank="1" containsNumber="1" containsInteger="1" minValue="3" maxValue="209"/>
    </cacheField>
    <cacheField name="Entrega" numFmtId="0">
      <sharedItems containsString="0" containsBlank="1" containsNumber="1" containsInteger="1" minValue="3" maxValue="209"/>
    </cacheField>
    <cacheField name="Diferen." numFmtId="0">
      <sharedItems containsString="0" containsBlank="1" containsNumber="1" containsInteger="1" minValue="0" maxValue="0"/>
    </cacheField>
    <cacheField name="Enviado2" numFmtId="0">
      <sharedItems containsNonDate="0" containsString="0" containsBlank="1"/>
    </cacheField>
    <cacheField name="Entrega2" numFmtId="0">
      <sharedItems containsNonDate="0" containsString="0" containsBlank="1"/>
    </cacheField>
    <cacheField name="Diferen.2" numFmtId="0">
      <sharedItems containsNonDate="0" containsString="0" containsBlank="1"/>
    </cacheField>
    <cacheField name="Enviado3" numFmtId="0">
      <sharedItems containsString="0" containsBlank="1" containsNumber="1" containsInteger="1" minValue="1" maxValue="61"/>
    </cacheField>
    <cacheField name="Entrega3" numFmtId="0">
      <sharedItems containsString="0" containsBlank="1" containsNumber="1" containsInteger="1" minValue="1" maxValue="61"/>
    </cacheField>
    <cacheField name="Diferen.3" numFmtId="0">
      <sharedItems containsString="0" containsBlank="1" containsNumber="1" containsInteger="1" minValue="0" maxValue="0"/>
    </cacheField>
    <cacheField name="Fecha" numFmtId="0">
      <sharedItems containsNonDate="0" containsString="0" containsBlank="1"/>
    </cacheField>
    <cacheField name="Inicio" numFmtId="0">
      <sharedItems containsNonDate="0" containsString="0" containsBlank="1"/>
    </cacheField>
    <cacheField name="Fin" numFmtId="0">
      <sharedItems containsNonDate="0" containsString="0" containsBlank="1"/>
    </cacheField>
    <cacheField name="Observacion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n v="6.9899998158216476"/>
    <n v="71"/>
    <n v="0"/>
    <n v="4"/>
    <n v="1"/>
    <n v="4"/>
  </r>
  <r>
    <x v="1"/>
    <x v="0"/>
    <n v="9.5899995565414429"/>
    <n v="95"/>
    <n v="0"/>
    <n v="8"/>
    <n v="0"/>
    <n v="6"/>
  </r>
  <r>
    <x v="2"/>
    <x v="0"/>
    <n v="18.489999413490295"/>
    <n v="163"/>
    <n v="0"/>
    <n v="13"/>
    <n v="0"/>
    <n v="10"/>
  </r>
  <r>
    <x v="3"/>
    <x v="0"/>
    <n v="3.85999995470047"/>
    <n v="41"/>
    <n v="0"/>
    <n v="3"/>
    <n v="0"/>
    <n v="3"/>
  </r>
  <r>
    <x v="4"/>
    <x v="0"/>
    <n v="11.880000472068787"/>
    <n v="116"/>
    <n v="0"/>
    <n v="11"/>
    <n v="0"/>
    <n v="7"/>
  </r>
  <r>
    <x v="5"/>
    <x v="0"/>
    <n v="3.9400000870227814"/>
    <n v="39"/>
    <n v="0"/>
    <n v="4"/>
    <n v="3"/>
    <n v="3"/>
  </r>
  <r>
    <x v="6"/>
    <x v="0"/>
    <n v="6.2700000405311584"/>
    <n v="60"/>
    <n v="0"/>
    <n v="4"/>
    <n v="6"/>
    <n v="4"/>
  </r>
  <r>
    <x v="7"/>
    <x v="0"/>
    <n v="3.5299998968839645"/>
    <n v="34"/>
    <n v="0"/>
    <n v="3"/>
    <n v="4"/>
    <n v="2"/>
  </r>
  <r>
    <x v="8"/>
    <x v="0"/>
    <n v="14.650000214576721"/>
    <n v="148"/>
    <n v="0"/>
    <n v="14"/>
    <n v="0"/>
    <n v="8"/>
  </r>
  <r>
    <x v="4"/>
    <x v="1"/>
    <n v="0.15999999642372131"/>
    <n v="0"/>
    <n v="0"/>
    <n v="2"/>
    <n v="0"/>
    <n v="1"/>
  </r>
  <r>
    <x v="2"/>
    <x v="2"/>
    <n v="4.630000114440918"/>
    <n v="35"/>
    <n v="4"/>
    <n v="8"/>
    <n v="4"/>
    <n v="3"/>
  </r>
  <r>
    <x v="8"/>
    <x v="2"/>
    <n v="0"/>
    <n v="0"/>
    <n v="0"/>
    <n v="0"/>
    <n v="0"/>
    <n v="0"/>
  </r>
  <r>
    <x v="4"/>
    <x v="2"/>
    <n v="2.3100000619888306"/>
    <n v="17"/>
    <n v="2"/>
    <n v="5"/>
    <n v="2"/>
    <n v="2"/>
  </r>
  <r>
    <x v="6"/>
    <x v="3"/>
    <n v="4.8900001645088196"/>
    <n v="41"/>
    <n v="0"/>
    <n v="3"/>
    <n v="0"/>
    <n v="3"/>
  </r>
  <r>
    <x v="6"/>
    <x v="4"/>
    <n v="7.0500000417232513"/>
    <n v="67"/>
    <n v="0"/>
    <n v="4"/>
    <n v="3"/>
    <n v="4"/>
  </r>
  <r>
    <x v="0"/>
    <x v="4"/>
    <n v="3.4500000327825546"/>
    <n v="35"/>
    <n v="0"/>
    <n v="2"/>
    <n v="1"/>
    <n v="2"/>
  </r>
  <r>
    <x v="1"/>
    <x v="4"/>
    <n v="8.8899995684623718"/>
    <n v="85"/>
    <n v="0"/>
    <n v="5"/>
    <n v="4"/>
    <n v="5"/>
  </r>
  <r>
    <x v="2"/>
    <x v="4"/>
    <n v="17.849999606609344"/>
    <n v="177"/>
    <n v="0"/>
    <n v="9"/>
    <n v="5"/>
    <n v="10"/>
  </r>
  <r>
    <x v="3"/>
    <x v="4"/>
    <n v="3.5899998843669891"/>
    <n v="36"/>
    <n v="0"/>
    <n v="4"/>
    <n v="3"/>
    <n v="2"/>
  </r>
  <r>
    <x v="9"/>
    <x v="4"/>
    <n v="12.299999952316284"/>
    <n v="129"/>
    <n v="0"/>
    <n v="7"/>
    <n v="0"/>
    <n v="7"/>
  </r>
  <r>
    <x v="10"/>
    <x v="4"/>
    <n v="8.0800000727176666"/>
    <n v="84"/>
    <n v="0"/>
    <n v="3"/>
    <n v="1"/>
    <n v="5"/>
  </r>
  <r>
    <x v="11"/>
    <x v="4"/>
    <n v="3.7999999523162842"/>
    <n v="41"/>
    <n v="0"/>
    <n v="3"/>
    <n v="1"/>
    <n v="2"/>
  </r>
  <r>
    <x v="12"/>
    <x v="3"/>
    <n v="4.9700000286102295"/>
    <n v="43"/>
    <n v="0"/>
    <n v="5"/>
    <n v="0"/>
    <n v="3"/>
  </r>
  <r>
    <x v="1"/>
    <x v="3"/>
    <n v="6.669999897480011"/>
    <n v="55"/>
    <n v="0"/>
    <n v="6"/>
    <n v="0"/>
    <n v="4"/>
  </r>
  <r>
    <x v="3"/>
    <x v="3"/>
    <n v="4.4699998199939728"/>
    <n v="41"/>
    <n v="0"/>
    <n v="3"/>
    <n v="0"/>
    <n v="3"/>
  </r>
  <r>
    <x v="4"/>
    <x v="3"/>
    <n v="6.9200001955032349"/>
    <n v="59"/>
    <n v="0"/>
    <n v="7"/>
    <n v="0"/>
    <n v="4"/>
  </r>
  <r>
    <x v="13"/>
    <x v="3"/>
    <n v="3.1299999058246613"/>
    <n v="25"/>
    <n v="0"/>
    <n v="3"/>
    <n v="0"/>
    <n v="2"/>
  </r>
  <r>
    <x v="14"/>
    <x v="3"/>
    <n v="4.2799999564886093"/>
    <n v="37"/>
    <n v="0"/>
    <n v="3"/>
    <n v="0"/>
    <n v="3"/>
  </r>
  <r>
    <x v="11"/>
    <x v="3"/>
    <n v="3.1399999707937241"/>
    <n v="28"/>
    <n v="0"/>
    <n v="1"/>
    <n v="0"/>
    <n v="2"/>
  </r>
  <r>
    <x v="0"/>
    <x v="5"/>
    <n v="15.610000371932983"/>
    <n v="122"/>
    <n v="8"/>
    <n v="11"/>
    <n v="0"/>
    <n v="9"/>
  </r>
  <r>
    <x v="0"/>
    <x v="5"/>
    <n v="23.610000133514404"/>
    <n v="169"/>
    <n v="19"/>
    <n v="24"/>
    <n v="0"/>
    <n v="13"/>
  </r>
  <r>
    <x v="1"/>
    <x v="5"/>
    <n v="27.260000705718994"/>
    <n v="204"/>
    <n v="22"/>
    <n v="20"/>
    <n v="0"/>
    <n v="15"/>
  </r>
  <r>
    <x v="2"/>
    <x v="6"/>
    <n v="44.609999656677246"/>
    <n v="325"/>
    <n v="36"/>
    <n v="33"/>
    <n v="0"/>
    <n v="24"/>
  </r>
  <r>
    <x v="15"/>
    <x v="5"/>
    <n v="14.770000219345093"/>
    <n v="43"/>
    <n v="69"/>
    <n v="33"/>
    <n v="0"/>
    <n v="8"/>
  </r>
  <r>
    <x v="3"/>
    <x v="5"/>
    <n v="24.170000433921814"/>
    <n v="180"/>
    <n v="18"/>
    <n v="20"/>
    <n v="0"/>
    <n v="13"/>
  </r>
  <r>
    <x v="4"/>
    <x v="5"/>
    <n v="45.389999866485596"/>
    <n v="335"/>
    <n v="30"/>
    <n v="31"/>
    <n v="0"/>
    <n v="24"/>
  </r>
  <r>
    <x v="5"/>
    <x v="5"/>
    <n v="41.830001831054688"/>
    <n v="316"/>
    <n v="15"/>
    <n v="35"/>
    <n v="0"/>
    <n v="23"/>
  </r>
  <r>
    <x v="16"/>
    <x v="6"/>
    <n v="33.099999189376831"/>
    <n v="242"/>
    <n v="19"/>
    <n v="31"/>
    <n v="0"/>
    <n v="18"/>
  </r>
  <r>
    <x v="2"/>
    <x v="7"/>
    <n v="9.2899999618530273"/>
    <n v="-8"/>
    <n v="91"/>
    <n v="0"/>
    <n v="21"/>
    <n v="5"/>
  </r>
  <r>
    <x v="4"/>
    <x v="7"/>
    <n v="5.8700002431869507"/>
    <n v="-26"/>
    <n v="69"/>
    <n v="0"/>
    <n v="19"/>
    <n v="4"/>
  </r>
  <r>
    <x v="17"/>
    <x v="7"/>
    <n v="14.229999780654907"/>
    <n v="31"/>
    <n v="88"/>
    <n v="0"/>
    <n v="32"/>
    <n v="8"/>
  </r>
  <r>
    <x v="2"/>
    <x v="3"/>
    <n v="8.8800002336502075"/>
    <n v="75"/>
    <n v="0"/>
    <n v="7"/>
    <n v="0"/>
    <n v="5"/>
  </r>
  <r>
    <x v="18"/>
    <x v="5"/>
    <n v="100.41000127792358"/>
    <n v="771"/>
    <n v="0"/>
    <n v="53"/>
    <n v="0"/>
    <n v="53"/>
  </r>
  <r>
    <x v="19"/>
    <x v="0"/>
    <n v="10.5999995470047"/>
    <n v="95"/>
    <n v="7"/>
    <n v="8"/>
    <n v="6"/>
    <n v="6"/>
  </r>
  <r>
    <x v="19"/>
    <x v="4"/>
    <n v="7.380000114440918"/>
    <n v="75"/>
    <n v="0"/>
    <n v="3"/>
    <n v="2"/>
    <n v="4"/>
  </r>
  <r>
    <x v="19"/>
    <x v="3"/>
    <n v="3.3100001215934753"/>
    <n v="26"/>
    <n v="0"/>
    <n v="4"/>
    <n v="0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No"/>
    <x v="0"/>
    <n v="0"/>
    <n v="0"/>
    <n v="6"/>
    <s v="0,04"/>
    <n v="1"/>
    <m/>
    <m/>
    <m/>
    <m/>
    <m/>
    <m/>
    <n v="1"/>
    <n v="1"/>
    <n v="0"/>
    <m/>
    <m/>
    <m/>
    <m/>
  </r>
  <r>
    <s v="No"/>
    <x v="1"/>
    <n v="0"/>
    <n v="0"/>
    <n v="34"/>
    <s v="0,13"/>
    <n v="2"/>
    <m/>
    <m/>
    <m/>
    <m/>
    <m/>
    <m/>
    <n v="2"/>
    <n v="2"/>
    <n v="0"/>
    <m/>
    <m/>
    <m/>
    <m/>
  </r>
  <r>
    <s v="No"/>
    <x v="2"/>
    <n v="183"/>
    <n v="1.25"/>
    <n v="494"/>
    <s v="2,99"/>
    <n v="30"/>
    <n v="30"/>
    <n v="30"/>
    <n v="0"/>
    <m/>
    <m/>
    <m/>
    <m/>
    <m/>
    <m/>
    <m/>
    <m/>
    <m/>
    <m/>
  </r>
  <r>
    <s v="No"/>
    <x v="3"/>
    <n v="280"/>
    <n v="764"/>
    <n v="501"/>
    <s v="3,27"/>
    <n v="29"/>
    <n v="28"/>
    <n v="28"/>
    <n v="0"/>
    <m/>
    <m/>
    <m/>
    <n v="1"/>
    <n v="1"/>
    <n v="0"/>
    <m/>
    <m/>
    <m/>
    <m/>
  </r>
  <r>
    <s v="No"/>
    <x v="4"/>
    <n v="1.125"/>
    <n v="1.8460000000000001"/>
    <n v="1.47"/>
    <s v="9,50"/>
    <n v="73"/>
    <n v="73"/>
    <n v="73"/>
    <n v="0"/>
    <m/>
    <m/>
    <m/>
    <m/>
    <m/>
    <m/>
    <m/>
    <m/>
    <m/>
    <m/>
  </r>
  <r>
    <s v="No"/>
    <x v="5"/>
    <n v="146"/>
    <n v="112"/>
    <n v="151"/>
    <s v="1,06"/>
    <n v="7"/>
    <n v="7"/>
    <n v="7"/>
    <n v="0"/>
    <m/>
    <m/>
    <m/>
    <m/>
    <m/>
    <m/>
    <m/>
    <m/>
    <m/>
    <m/>
  </r>
  <r>
    <s v="No"/>
    <x v="6"/>
    <n v="162"/>
    <n v="524"/>
    <n v="314"/>
    <s v="2,00"/>
    <n v="18"/>
    <n v="18"/>
    <n v="18"/>
    <n v="0"/>
    <m/>
    <m/>
    <m/>
    <m/>
    <m/>
    <m/>
    <m/>
    <m/>
    <m/>
    <m/>
  </r>
  <r>
    <s v="No"/>
    <x v="7"/>
    <n v="502"/>
    <n v="507"/>
    <n v="503"/>
    <s v="3,58"/>
    <n v="27"/>
    <n v="27"/>
    <n v="27"/>
    <n v="0"/>
    <m/>
    <m/>
    <m/>
    <m/>
    <m/>
    <m/>
    <m/>
    <m/>
    <m/>
    <m/>
  </r>
  <r>
    <s v="No"/>
    <x v="8"/>
    <n v="382"/>
    <n v="971"/>
    <n v="602"/>
    <s v="3,87"/>
    <n v="32"/>
    <n v="32"/>
    <n v="32"/>
    <n v="0"/>
    <m/>
    <m/>
    <m/>
    <m/>
    <m/>
    <m/>
    <m/>
    <m/>
    <m/>
    <m/>
  </r>
  <r>
    <s v="No"/>
    <x v="9"/>
    <n v="524"/>
    <n v="647"/>
    <n v="648"/>
    <s v="4,31"/>
    <n v="31"/>
    <n v="31"/>
    <n v="31"/>
    <n v="0"/>
    <m/>
    <m/>
    <m/>
    <m/>
    <m/>
    <m/>
    <m/>
    <m/>
    <m/>
    <m/>
  </r>
  <r>
    <s v="No"/>
    <x v="10"/>
    <n v="1.782"/>
    <n v="6.6790000000000003"/>
    <n v="3.4670000000000001"/>
    <s v="23,44"/>
    <n v="209"/>
    <n v="209"/>
    <n v="209"/>
    <n v="0"/>
    <m/>
    <m/>
    <m/>
    <m/>
    <m/>
    <m/>
    <m/>
    <m/>
    <m/>
    <m/>
  </r>
  <r>
    <s v="No"/>
    <x v="11"/>
    <n v="458"/>
    <n v="1.175"/>
    <n v="735"/>
    <s v="4,66"/>
    <n v="39"/>
    <n v="39"/>
    <n v="39"/>
    <n v="0"/>
    <m/>
    <m/>
    <m/>
    <m/>
    <m/>
    <m/>
    <m/>
    <m/>
    <m/>
    <m/>
  </r>
  <r>
    <s v="No"/>
    <x v="12"/>
    <n v="181"/>
    <n v="440"/>
    <n v="292"/>
    <s v="2,38"/>
    <n v="23"/>
    <n v="23"/>
    <n v="23"/>
    <n v="0"/>
    <m/>
    <m/>
    <m/>
    <m/>
    <m/>
    <m/>
    <m/>
    <m/>
    <m/>
    <m/>
  </r>
  <r>
    <s v="No"/>
    <x v="13"/>
    <n v="343"/>
    <n v="913"/>
    <n v="611"/>
    <s v="7,53"/>
    <n v="48"/>
    <n v="45"/>
    <n v="45"/>
    <n v="0"/>
    <m/>
    <m/>
    <m/>
    <n v="3"/>
    <n v="3"/>
    <n v="0"/>
    <m/>
    <m/>
    <m/>
    <m/>
  </r>
  <r>
    <s v="No"/>
    <x v="2"/>
    <n v="229"/>
    <n v="1.2509999999999999"/>
    <n v="731"/>
    <s v="3,98"/>
    <n v="52"/>
    <n v="28"/>
    <n v="28"/>
    <n v="0"/>
    <m/>
    <m/>
    <m/>
    <n v="24"/>
    <n v="24"/>
    <n v="0"/>
    <m/>
    <m/>
    <m/>
    <m/>
  </r>
  <r>
    <s v="No"/>
    <x v="3"/>
    <n v="306"/>
    <n v="1.1299999999999999"/>
    <n v="872"/>
    <s v="5,14"/>
    <n v="56"/>
    <n v="41"/>
    <n v="41"/>
    <n v="0"/>
    <m/>
    <m/>
    <m/>
    <n v="15"/>
    <n v="15"/>
    <n v="0"/>
    <m/>
    <m/>
    <m/>
    <m/>
  </r>
  <r>
    <s v="No"/>
    <x v="4"/>
    <n v="162"/>
    <n v="1.0589999999999999"/>
    <n v="616"/>
    <s v="3,08"/>
    <n v="45"/>
    <n v="17"/>
    <n v="17"/>
    <n v="0"/>
    <m/>
    <m/>
    <m/>
    <n v="28"/>
    <n v="28"/>
    <n v="0"/>
    <m/>
    <m/>
    <m/>
    <m/>
  </r>
  <r>
    <s v="No"/>
    <x v="5"/>
    <n v="194"/>
    <n v="1.86"/>
    <n v="1.099"/>
    <s v="5,39"/>
    <n v="73"/>
    <n v="37"/>
    <n v="37"/>
    <n v="0"/>
    <m/>
    <m/>
    <m/>
    <n v="36"/>
    <n v="36"/>
    <n v="0"/>
    <m/>
    <m/>
    <m/>
    <m/>
  </r>
  <r>
    <s v="No"/>
    <x v="6"/>
    <n v="0"/>
    <n v="1.1950000000000001"/>
    <n v="471"/>
    <s v="1,85"/>
    <n v="40"/>
    <n v="3"/>
    <n v="3"/>
    <n v="0"/>
    <m/>
    <m/>
    <m/>
    <n v="37"/>
    <n v="37"/>
    <n v="0"/>
    <m/>
    <m/>
    <m/>
    <m/>
  </r>
  <r>
    <s v="No"/>
    <x v="7"/>
    <n v="101"/>
    <n v="1.891"/>
    <n v="810"/>
    <s v="3,47"/>
    <n v="69"/>
    <n v="8"/>
    <n v="8"/>
    <n v="0"/>
    <m/>
    <m/>
    <m/>
    <n v="61"/>
    <n v="61"/>
    <n v="0"/>
    <m/>
    <m/>
    <m/>
    <m/>
  </r>
  <r>
    <s v="No"/>
    <x v="8"/>
    <n v="148"/>
    <n v="777"/>
    <n v="480"/>
    <s v="2,56"/>
    <n v="32"/>
    <n v="19"/>
    <n v="19"/>
    <n v="0"/>
    <m/>
    <m/>
    <m/>
    <n v="13"/>
    <n v="13"/>
    <n v="0"/>
    <m/>
    <m/>
    <m/>
    <m/>
  </r>
  <r>
    <s v="No"/>
    <x v="9"/>
    <n v="127"/>
    <n v="656"/>
    <n v="408"/>
    <s v="2,43"/>
    <n v="29"/>
    <n v="19"/>
    <n v="19"/>
    <n v="0"/>
    <m/>
    <m/>
    <m/>
    <n v="10"/>
    <n v="10"/>
    <n v="0"/>
    <m/>
    <m/>
    <m/>
    <m/>
  </r>
  <r>
    <s v="No"/>
    <x v="10"/>
    <n v="31"/>
    <n v="1.351"/>
    <n v="607"/>
    <s v="3,07"/>
    <n v="52"/>
    <n v="18"/>
    <n v="18"/>
    <n v="0"/>
    <m/>
    <m/>
    <m/>
    <n v="34"/>
    <n v="34"/>
    <n v="0"/>
    <m/>
    <m/>
    <m/>
    <m/>
  </r>
  <r>
    <s v="No"/>
    <x v="11"/>
    <n v="364"/>
    <n v="809"/>
    <n v="726"/>
    <s v="4,24"/>
    <n v="46"/>
    <n v="22"/>
    <n v="22"/>
    <n v="0"/>
    <m/>
    <m/>
    <m/>
    <n v="24"/>
    <n v="24"/>
    <n v="0"/>
    <m/>
    <m/>
    <m/>
    <m/>
  </r>
  <r>
    <s v="No"/>
    <x v="14"/>
    <n v="71"/>
    <n v="343"/>
    <n v="240"/>
    <s v="1,69"/>
    <n v="16"/>
    <n v="16"/>
    <n v="16"/>
    <n v="0"/>
    <m/>
    <m/>
    <m/>
    <m/>
    <m/>
    <m/>
    <m/>
    <m/>
    <m/>
    <m/>
  </r>
  <r>
    <s v="No"/>
    <x v="0"/>
    <n v="0"/>
    <n v="174"/>
    <n v="108"/>
    <s v="0,76"/>
    <n v="9"/>
    <n v="8"/>
    <n v="8"/>
    <n v="0"/>
    <m/>
    <m/>
    <m/>
    <n v="1"/>
    <n v="1"/>
    <n v="0"/>
    <m/>
    <m/>
    <m/>
    <m/>
  </r>
  <r>
    <s v="No"/>
    <x v="15"/>
    <n v="17"/>
    <n v="653"/>
    <n v="323"/>
    <s v="2,06"/>
    <n v="24"/>
    <n v="24"/>
    <n v="24"/>
    <n v="0"/>
    <m/>
    <m/>
    <m/>
    <m/>
    <m/>
    <m/>
    <m/>
    <m/>
    <m/>
    <m/>
  </r>
  <r>
    <s v="No"/>
    <x v="16"/>
    <n v="78"/>
    <n v="49"/>
    <n v="100"/>
    <s v="0,76"/>
    <n v="6"/>
    <n v="6"/>
    <n v="6"/>
    <n v="0"/>
    <m/>
    <m/>
    <m/>
    <m/>
    <m/>
    <m/>
    <m/>
    <m/>
    <m/>
    <m/>
  </r>
  <r>
    <s v="No"/>
    <x v="17"/>
    <n v="0"/>
    <n v="324"/>
    <n v="125"/>
    <s v="0,80"/>
    <n v="9"/>
    <n v="9"/>
    <n v="9"/>
    <n v="0"/>
    <m/>
    <m/>
    <m/>
    <m/>
    <m/>
    <m/>
    <m/>
    <m/>
    <m/>
    <m/>
  </r>
  <r>
    <s v="No"/>
    <x v="18"/>
    <n v="0"/>
    <n v="436"/>
    <n v="173"/>
    <s v="1,03"/>
    <n v="12"/>
    <n v="12"/>
    <n v="12"/>
    <n v="0"/>
    <m/>
    <m/>
    <m/>
    <m/>
    <m/>
    <m/>
    <m/>
    <m/>
    <m/>
    <m/>
  </r>
  <r>
    <s v="No"/>
    <x v="19"/>
    <n v="52"/>
    <n v="502"/>
    <n v="267"/>
    <s v="1,60"/>
    <n v="16"/>
    <n v="16"/>
    <n v="16"/>
    <n v="0"/>
    <m/>
    <m/>
    <m/>
    <m/>
    <m/>
    <m/>
    <m/>
    <m/>
    <m/>
    <m/>
  </r>
  <r>
    <s v="No"/>
    <x v="20"/>
    <n v="128"/>
    <n v="776"/>
    <n v="441"/>
    <s v="2,67"/>
    <n v="28"/>
    <n v="28"/>
    <n v="28"/>
    <n v="0"/>
    <m/>
    <m/>
    <m/>
    <m/>
    <m/>
    <m/>
    <m/>
    <m/>
    <m/>
    <m/>
  </r>
  <r>
    <s v="No"/>
    <x v="1"/>
    <n v="78"/>
    <n v="1.1080000000000001"/>
    <n v="534"/>
    <s v="3,33"/>
    <n v="35"/>
    <n v="35"/>
    <n v="35"/>
    <n v="0"/>
    <m/>
    <m/>
    <m/>
    <m/>
    <m/>
    <m/>
    <m/>
    <m/>
    <m/>
    <m/>
  </r>
  <r>
    <s v="No"/>
    <x v="21"/>
    <n v="2"/>
    <n v="384"/>
    <n v="167"/>
    <s v="0,84"/>
    <n v="9"/>
    <n v="9"/>
    <n v="9"/>
    <n v="0"/>
    <m/>
    <m/>
    <m/>
    <m/>
    <m/>
    <m/>
    <m/>
    <m/>
    <m/>
    <m/>
  </r>
  <r>
    <s v="No"/>
    <x v="22"/>
    <n v="56"/>
    <n v="679"/>
    <n v="405"/>
    <s v="2,57"/>
    <n v="28"/>
    <n v="28"/>
    <n v="28"/>
    <n v="0"/>
    <m/>
    <m/>
    <m/>
    <m/>
    <m/>
    <m/>
    <m/>
    <m/>
    <m/>
    <m/>
  </r>
  <r>
    <s v="No"/>
    <x v="23"/>
    <n v="0"/>
    <n v="1.8380000000000001"/>
    <n v="694"/>
    <s v="6,50"/>
    <n v="69"/>
    <n v="69"/>
    <n v="69"/>
    <n v="0"/>
    <m/>
    <m/>
    <m/>
    <m/>
    <m/>
    <m/>
    <m/>
    <m/>
    <m/>
    <m/>
  </r>
  <r>
    <s v="No"/>
    <x v="24"/>
    <n v="0"/>
    <n v="3.4540000000000002"/>
    <n v="1.179"/>
    <s v="11,26"/>
    <n v="120"/>
    <n v="120"/>
    <n v="120"/>
    <n v="0"/>
    <m/>
    <m/>
    <m/>
    <m/>
    <m/>
    <m/>
    <m/>
    <m/>
    <m/>
    <m/>
  </r>
  <r>
    <s v="No"/>
    <x v="25"/>
    <n v="0"/>
    <n v="4.4320000000000004"/>
    <n v="1.6930000000000001"/>
    <s v="15,59"/>
    <n v="170"/>
    <n v="164"/>
    <n v="164"/>
    <n v="0"/>
    <m/>
    <m/>
    <m/>
    <n v="6"/>
    <n v="6"/>
    <n v="0"/>
    <m/>
    <m/>
    <m/>
    <m/>
  </r>
  <r>
    <m/>
    <x v="26"/>
    <m/>
    <m/>
    <m/>
    <m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A17E5C-2B1F-485A-981E-69D812A4D249}" name="Tabella pivot19" cacheId="0" applyNumberFormats="0" applyBorderFormats="0" applyFontFormats="0" applyPatternFormats="0" applyAlignmentFormats="0" applyWidthHeightFormats="1" dataCaption="Valori" updatedVersion="7" minRefreshableVersion="3" useAutoFormatting="1" colGrandTotals="0" itemPrintTitles="1" createdVersion="7" indent="0" outline="1" outlineData="1" multipleFieldFilters="0">
  <location ref="A73:B77" firstHeaderRow="1" firstDataRow="2" firstDataCol="1"/>
  <pivotFields count="8">
    <pivotField axis="axisRow" showAll="0" sortType="descending">
      <items count="70">
        <item x="0"/>
        <item x="12"/>
        <item m="1" x="38"/>
        <item x="1"/>
        <item x="2"/>
        <item x="15"/>
        <item x="8"/>
        <item x="3"/>
        <item x="9"/>
        <item x="4"/>
        <item x="17"/>
        <item x="13"/>
        <item x="10"/>
        <item x="5"/>
        <item x="19"/>
        <item x="6"/>
        <item x="7"/>
        <item x="16"/>
        <item x="14"/>
        <item x="18"/>
        <item x="11"/>
        <item m="1" x="36"/>
        <item m="1" x="27"/>
        <item m="1" x="35"/>
        <item m="1" x="64"/>
        <item m="1" x="37"/>
        <item m="1" x="20"/>
        <item m="1" x="40"/>
        <item m="1" x="25"/>
        <item m="1" x="48"/>
        <item m="1" x="46"/>
        <item m="1" x="22"/>
        <item m="1" x="41"/>
        <item m="1" x="21"/>
        <item m="1" x="34"/>
        <item m="1" x="32"/>
        <item m="1" x="59"/>
        <item m="1" x="23"/>
        <item m="1" x="26"/>
        <item m="1" x="50"/>
        <item m="1" x="58"/>
        <item m="1" x="56"/>
        <item m="1" x="67"/>
        <item m="1" x="62"/>
        <item m="1" x="65"/>
        <item m="1" x="24"/>
        <item m="1" x="29"/>
        <item m="1" x="57"/>
        <item m="1" x="44"/>
        <item m="1" x="42"/>
        <item m="1" x="55"/>
        <item m="1" x="54"/>
        <item m="1" x="33"/>
        <item m="1" x="49"/>
        <item m="1" x="47"/>
        <item m="1" x="53"/>
        <item m="1" x="60"/>
        <item m="1" x="30"/>
        <item m="1" x="61"/>
        <item m="1" x="66"/>
        <item m="1" x="51"/>
        <item m="1" x="52"/>
        <item m="1" x="45"/>
        <item m="1" x="28"/>
        <item m="1" x="43"/>
        <item m="1" x="63"/>
        <item m="1" x="39"/>
        <item m="1" x="68"/>
        <item m="1" x="31"/>
        <item t="default"/>
      </items>
    </pivotField>
    <pivotField axis="axisCol" showAll="0">
      <items count="11">
        <item h="1" x="0"/>
        <item h="1" m="1" x="9"/>
        <item h="1" x="1"/>
        <item h="1" m="1" x="8"/>
        <item h="1" x="4"/>
        <item h="1" x="3"/>
        <item x="6"/>
        <item h="1" x="7"/>
        <item h="1" x="2"/>
        <item h="1" x="5"/>
        <item t="default"/>
      </items>
    </pivotField>
    <pivotField numFmtId="2"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3">
    <i>
      <x v="4"/>
    </i>
    <i>
      <x v="17"/>
    </i>
    <i t="grand">
      <x/>
    </i>
  </rowItems>
  <colFields count="1">
    <field x="1"/>
  </colFields>
  <colItems count="1">
    <i>
      <x v="6"/>
    </i>
  </colItems>
  <dataFields count="1">
    <dataField name="Somma di PEDANE" fld="7" baseField="0" baseItem="0"/>
  </dataFields>
  <formats count="31">
    <format dxfId="36">
      <pivotArea type="all" dataOnly="0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1" type="button" dataOnly="0" labelOnly="1" outline="0" axis="axisCol" fieldPosition="0"/>
    </format>
    <format dxfId="32">
      <pivotArea type="topRight" dataOnly="0" labelOnly="1" outline="0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grandCol="1" outline="0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type="origin" dataOnly="0" labelOnly="1" outline="0" fieldPosition="0"/>
    </format>
    <format dxfId="23">
      <pivotArea field="1" type="button" dataOnly="0" labelOnly="1" outline="0" axis="axisCol" fieldPosition="0"/>
    </format>
    <format dxfId="22">
      <pivotArea type="topRight" dataOnly="0" labelOnly="1" outline="0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fieldPosition="0">
        <references count="1">
          <reference field="1" count="0"/>
        </references>
      </pivotArea>
    </format>
    <format dxfId="17">
      <pivotArea dataOnly="0" labelOnly="1" grandCol="1" outline="0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" type="button" dataOnly="0" labelOnly="1" outline="0" axis="axisCol" fieldPosition="0"/>
    </format>
    <format dxfId="12">
      <pivotArea type="topRight" dataOnly="0" labelOnly="1" outline="0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fieldPosition="0">
        <references count="1">
          <reference field="1" count="0"/>
        </references>
      </pivotArea>
    </format>
    <format dxfId="7">
      <pivotArea dataOnly="0" labelOnly="1" grandCol="1" outline="0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CDB368-190E-45F0-8479-2B5339EA5330}" name="Tabella pivot18" cacheId="0" applyNumberFormats="0" applyBorderFormats="0" applyFontFormats="0" applyPatternFormats="0" applyAlignmentFormats="0" applyWidthHeightFormats="1" dataCaption="Valori" updatedVersion="7" minRefreshableVersion="3" useAutoFormatting="1" colGrandTotals="0" itemPrintTitles="1" createdVersion="7" indent="0" outline="1" outlineData="1" multipleFieldFilters="0">
  <location ref="G57:H69" firstHeaderRow="1" firstDataRow="2" firstDataCol="1"/>
  <pivotFields count="8">
    <pivotField axis="axisRow" showAll="0" sortType="descending">
      <items count="70">
        <item x="0"/>
        <item x="12"/>
        <item m="1" x="38"/>
        <item x="1"/>
        <item x="2"/>
        <item x="15"/>
        <item x="8"/>
        <item x="3"/>
        <item x="9"/>
        <item x="4"/>
        <item x="17"/>
        <item x="13"/>
        <item x="10"/>
        <item x="5"/>
        <item x="19"/>
        <item x="6"/>
        <item x="7"/>
        <item x="16"/>
        <item x="14"/>
        <item x="18"/>
        <item x="11"/>
        <item m="1" x="36"/>
        <item m="1" x="27"/>
        <item m="1" x="35"/>
        <item m="1" x="64"/>
        <item m="1" x="37"/>
        <item m="1" x="20"/>
        <item m="1" x="40"/>
        <item m="1" x="25"/>
        <item m="1" x="48"/>
        <item m="1" x="46"/>
        <item m="1" x="22"/>
        <item m="1" x="41"/>
        <item m="1" x="21"/>
        <item m="1" x="34"/>
        <item m="1" x="32"/>
        <item m="1" x="59"/>
        <item m="1" x="23"/>
        <item m="1" x="26"/>
        <item m="1" x="50"/>
        <item m="1" x="58"/>
        <item m="1" x="56"/>
        <item m="1" x="67"/>
        <item m="1" x="62"/>
        <item m="1" x="65"/>
        <item m="1" x="24"/>
        <item m="1" x="29"/>
        <item m="1" x="57"/>
        <item m="1" x="44"/>
        <item m="1" x="42"/>
        <item m="1" x="55"/>
        <item m="1" x="54"/>
        <item m="1" x="33"/>
        <item m="1" x="49"/>
        <item m="1" x="47"/>
        <item m="1" x="53"/>
        <item m="1" x="60"/>
        <item m="1" x="30"/>
        <item m="1" x="61"/>
        <item m="1" x="66"/>
        <item m="1" x="51"/>
        <item m="1" x="52"/>
        <item m="1" x="45"/>
        <item m="1" x="28"/>
        <item m="1" x="43"/>
        <item m="1" x="63"/>
        <item m="1" x="39"/>
        <item m="1" x="68"/>
        <item m="1" x="31"/>
        <item t="default"/>
      </items>
    </pivotField>
    <pivotField axis="axisCol" showAll="0">
      <items count="11">
        <item h="1" x="0"/>
        <item h="1" m="1" x="9"/>
        <item h="1" x="1"/>
        <item h="1" m="1" x="8"/>
        <item h="1" x="4"/>
        <item x="3"/>
        <item h="1" x="6"/>
        <item h="1" x="7"/>
        <item h="1" x="2"/>
        <item h="1" x="5"/>
        <item t="default"/>
      </items>
    </pivotField>
    <pivotField numFmtId="2"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11">
    <i>
      <x v="1"/>
    </i>
    <i>
      <x v="3"/>
    </i>
    <i>
      <x v="4"/>
    </i>
    <i>
      <x v="7"/>
    </i>
    <i>
      <x v="9"/>
    </i>
    <i>
      <x v="11"/>
    </i>
    <i>
      <x v="14"/>
    </i>
    <i>
      <x v="15"/>
    </i>
    <i>
      <x v="18"/>
    </i>
    <i>
      <x v="20"/>
    </i>
    <i t="grand">
      <x/>
    </i>
  </rowItems>
  <colFields count="1">
    <field x="1"/>
  </colFields>
  <colItems count="1">
    <i>
      <x v="5"/>
    </i>
  </colItems>
  <dataFields count="1">
    <dataField name="Somma di PEDANE" fld="7" baseField="0" baseItem="0"/>
  </dataFields>
  <formats count="31">
    <format dxfId="67">
      <pivotArea type="all" dataOnly="0" outline="0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field="1" type="button" dataOnly="0" labelOnly="1" outline="0" axis="axisCol" fieldPosition="0"/>
    </format>
    <format dxfId="63">
      <pivotArea type="topRight" dataOnly="0" labelOnly="1" outline="0" fieldPosition="0"/>
    </format>
    <format dxfId="62">
      <pivotArea field="0" type="button" dataOnly="0" labelOnly="1" outline="0" axis="axisRow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1">
          <reference field="1" count="0"/>
        </references>
      </pivotArea>
    </format>
    <format dxfId="58">
      <pivotArea dataOnly="0" labelOnly="1" grandCol="1" outline="0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field="1" type="button" dataOnly="0" labelOnly="1" outline="0" axis="axisCol" fieldPosition="0"/>
    </format>
    <format dxfId="53">
      <pivotArea type="topRight" dataOnly="0" labelOnly="1" outline="0" fieldPosition="0"/>
    </format>
    <format dxfId="52">
      <pivotArea field="0" type="button" dataOnly="0" labelOnly="1" outline="0" axis="axisRow" fieldPosition="0"/>
    </format>
    <format dxfId="51">
      <pivotArea dataOnly="0" labelOnly="1" fieldPosition="0">
        <references count="1">
          <reference field="0" count="0"/>
        </references>
      </pivotArea>
    </format>
    <format dxfId="50">
      <pivotArea dataOnly="0" labelOnly="1" grandRow="1" outline="0" fieldPosition="0"/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grandCol="1" outline="0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1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0" type="button" dataOnly="0" labelOnly="1" outline="0" axis="axisRow" fieldPosition="0"/>
    </format>
    <format dxfId="41">
      <pivotArea dataOnly="0" labelOnly="1" fieldPosition="0">
        <references count="1">
          <reference field="0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1" count="0"/>
        </references>
      </pivotArea>
    </format>
    <format dxfId="38">
      <pivotArea dataOnly="0" labelOnly="1" grandCol="1" outline="0" fieldPosition="0"/>
    </format>
    <format dxfId="3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1C3503-855C-4BF9-B19A-D6B244335781}" name="Tabella pivot17" cacheId="0" applyNumberFormats="0" applyBorderFormats="0" applyFontFormats="0" applyPatternFormats="0" applyAlignmentFormats="0" applyWidthHeightFormats="1" dataCaption="Valori" updatedVersion="7" minRefreshableVersion="3" useAutoFormatting="1" colGrandTotals="0" itemPrintTitles="1" createdVersion="7" indent="0" outline="1" outlineData="1" multipleFieldFilters="0">
  <location ref="D57:E68" firstHeaderRow="1" firstDataRow="2" firstDataCol="1"/>
  <pivotFields count="8">
    <pivotField axis="axisRow" showAll="0" sortType="descending">
      <items count="70">
        <item x="0"/>
        <item x="12"/>
        <item m="1" x="38"/>
        <item x="1"/>
        <item x="2"/>
        <item x="15"/>
        <item x="8"/>
        <item x="3"/>
        <item x="9"/>
        <item x="4"/>
        <item x="17"/>
        <item x="13"/>
        <item x="10"/>
        <item x="5"/>
        <item x="19"/>
        <item x="6"/>
        <item x="7"/>
        <item x="16"/>
        <item x="14"/>
        <item x="18"/>
        <item x="11"/>
        <item m="1" x="36"/>
        <item m="1" x="27"/>
        <item m="1" x="35"/>
        <item m="1" x="64"/>
        <item m="1" x="37"/>
        <item m="1" x="20"/>
        <item m="1" x="40"/>
        <item m="1" x="25"/>
        <item m="1" x="48"/>
        <item m="1" x="46"/>
        <item m="1" x="22"/>
        <item m="1" x="41"/>
        <item m="1" x="21"/>
        <item m="1" x="34"/>
        <item m="1" x="32"/>
        <item m="1" x="59"/>
        <item m="1" x="23"/>
        <item m="1" x="26"/>
        <item m="1" x="50"/>
        <item m="1" x="58"/>
        <item m="1" x="56"/>
        <item m="1" x="67"/>
        <item m="1" x="62"/>
        <item m="1" x="65"/>
        <item m="1" x="24"/>
        <item m="1" x="29"/>
        <item m="1" x="57"/>
        <item m="1" x="44"/>
        <item m="1" x="42"/>
        <item m="1" x="55"/>
        <item m="1" x="54"/>
        <item m="1" x="33"/>
        <item m="1" x="49"/>
        <item m="1" x="47"/>
        <item m="1" x="53"/>
        <item m="1" x="60"/>
        <item m="1" x="30"/>
        <item m="1" x="61"/>
        <item m="1" x="66"/>
        <item m="1" x="51"/>
        <item m="1" x="52"/>
        <item m="1" x="45"/>
        <item m="1" x="28"/>
        <item m="1" x="43"/>
        <item m="1" x="63"/>
        <item m="1" x="39"/>
        <item m="1" x="68"/>
        <item m="1" x="31"/>
        <item t="default"/>
      </items>
    </pivotField>
    <pivotField axis="axisCol" showAll="0">
      <items count="11">
        <item h="1" x="0"/>
        <item h="1" m="1" x="9"/>
        <item h="1" x="1"/>
        <item h="1" m="1" x="8"/>
        <item x="4"/>
        <item h="1" x="3"/>
        <item h="1" x="6"/>
        <item h="1" x="7"/>
        <item h="1" x="2"/>
        <item h="1" x="5"/>
        <item t="default"/>
      </items>
    </pivotField>
    <pivotField numFmtId="2"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10">
    <i>
      <x/>
    </i>
    <i>
      <x v="3"/>
    </i>
    <i>
      <x v="4"/>
    </i>
    <i>
      <x v="7"/>
    </i>
    <i>
      <x v="8"/>
    </i>
    <i>
      <x v="12"/>
    </i>
    <i>
      <x v="14"/>
    </i>
    <i>
      <x v="15"/>
    </i>
    <i>
      <x v="20"/>
    </i>
    <i t="grand">
      <x/>
    </i>
  </rowItems>
  <colFields count="1">
    <field x="1"/>
  </colFields>
  <colItems count="1">
    <i>
      <x v="4"/>
    </i>
  </colItems>
  <dataFields count="1">
    <dataField name="Somma di PEDANE" fld="7" baseField="0" baseItem="0"/>
  </dataFields>
  <formats count="31">
    <format dxfId="98">
      <pivotArea type="all" dataOnly="0" outline="0" fieldPosition="0"/>
    </format>
    <format dxfId="97">
      <pivotArea outline="0" collapsedLevelsAreSubtotals="1" fieldPosition="0"/>
    </format>
    <format dxfId="96">
      <pivotArea type="origin" dataOnly="0" labelOnly="1" outline="0" fieldPosition="0"/>
    </format>
    <format dxfId="95">
      <pivotArea field="1" type="button" dataOnly="0" labelOnly="1" outline="0" axis="axisCol" fieldPosition="0"/>
    </format>
    <format dxfId="94">
      <pivotArea type="topRight" dataOnly="0" labelOnly="1" outline="0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1">
          <reference field="1" count="0"/>
        </references>
      </pivotArea>
    </format>
    <format dxfId="89">
      <pivotArea dataOnly="0" labelOnly="1" grandCol="1" outline="0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type="origin" dataOnly="0" labelOnly="1" outline="0" fieldPosition="0"/>
    </format>
    <format dxfId="85">
      <pivotArea field="1" type="button" dataOnly="0" labelOnly="1" outline="0" axis="axisCol" fieldPosition="0"/>
    </format>
    <format dxfId="84">
      <pivotArea type="topRight" dataOnly="0" labelOnly="1" outline="0" fieldPosition="0"/>
    </format>
    <format dxfId="83">
      <pivotArea field="0" type="button" dataOnly="0" labelOnly="1" outline="0" axis="axisRow" fieldPosition="0"/>
    </format>
    <format dxfId="82">
      <pivotArea dataOnly="0" labelOnly="1" fieldPosition="0">
        <references count="1">
          <reference field="0" count="0"/>
        </references>
      </pivotArea>
    </format>
    <format dxfId="81">
      <pivotArea dataOnly="0" labelOnly="1" grandRow="1" outline="0" fieldPosition="0"/>
    </format>
    <format dxfId="80">
      <pivotArea dataOnly="0" labelOnly="1" fieldPosition="0">
        <references count="1">
          <reference field="1" count="0"/>
        </references>
      </pivotArea>
    </format>
    <format dxfId="79">
      <pivotArea dataOnly="0" labelOnly="1" grandCol="1" outline="0" fieldPosition="0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field="1" type="button" dataOnly="0" labelOnly="1" outline="0" axis="axisCol" fieldPosition="0"/>
    </format>
    <format dxfId="74">
      <pivotArea type="topRight" dataOnly="0" labelOnly="1" outline="0" fieldPosition="0"/>
    </format>
    <format dxfId="73">
      <pivotArea field="0" type="button" dataOnly="0" labelOnly="1" outline="0" axis="axisRow" fieldPosition="0"/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1">
          <reference field="1" count="0"/>
        </references>
      </pivotArea>
    </format>
    <format dxfId="69">
      <pivotArea dataOnly="0" labelOnly="1" grandCol="1" outline="0" fieldPosition="0"/>
    </format>
    <format dxfId="6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8BDC17-86BE-4093-9589-5F7AF1475346}" name="Tabella pivot16" cacheId="0" applyNumberFormats="0" applyBorderFormats="0" applyFontFormats="0" applyPatternFormats="0" applyAlignmentFormats="0" applyWidthHeightFormats="1" dataCaption="Valori" updatedVersion="7" minRefreshableVersion="3" useAutoFormatting="1" colGrandTotals="0" itemPrintTitles="1" createdVersion="7" indent="0" outline="1" outlineData="1" multipleFieldFilters="0">
  <location ref="A57:B69" firstHeaderRow="1" firstDataRow="2" firstDataCol="1"/>
  <pivotFields count="8">
    <pivotField axis="axisRow" showAll="0" sortType="descending">
      <items count="70">
        <item x="0"/>
        <item x="12"/>
        <item m="1" x="38"/>
        <item x="1"/>
        <item x="2"/>
        <item x="15"/>
        <item x="8"/>
        <item x="3"/>
        <item x="9"/>
        <item x="4"/>
        <item x="17"/>
        <item x="13"/>
        <item x="10"/>
        <item x="5"/>
        <item x="19"/>
        <item x="6"/>
        <item x="7"/>
        <item x="16"/>
        <item x="14"/>
        <item x="18"/>
        <item x="11"/>
        <item m="1" x="36"/>
        <item m="1" x="27"/>
        <item m="1" x="35"/>
        <item m="1" x="64"/>
        <item m="1" x="37"/>
        <item m="1" x="20"/>
        <item m="1" x="40"/>
        <item m="1" x="25"/>
        <item m="1" x="48"/>
        <item m="1" x="46"/>
        <item m="1" x="22"/>
        <item m="1" x="41"/>
        <item m="1" x="21"/>
        <item m="1" x="34"/>
        <item m="1" x="32"/>
        <item m="1" x="59"/>
        <item m="1" x="23"/>
        <item m="1" x="26"/>
        <item m="1" x="50"/>
        <item m="1" x="58"/>
        <item m="1" x="56"/>
        <item m="1" x="67"/>
        <item m="1" x="62"/>
        <item m="1" x="65"/>
        <item m="1" x="24"/>
        <item m="1" x="29"/>
        <item m="1" x="57"/>
        <item m="1" x="44"/>
        <item m="1" x="42"/>
        <item m="1" x="55"/>
        <item m="1" x="54"/>
        <item m="1" x="33"/>
        <item m="1" x="49"/>
        <item m="1" x="47"/>
        <item m="1" x="53"/>
        <item m="1" x="60"/>
        <item m="1" x="30"/>
        <item m="1" x="61"/>
        <item m="1" x="66"/>
        <item m="1" x="51"/>
        <item m="1" x="52"/>
        <item m="1" x="45"/>
        <item m="1" x="28"/>
        <item m="1" x="43"/>
        <item m="1" x="63"/>
        <item m="1" x="39"/>
        <item m="1" x="68"/>
        <item m="1" x="31"/>
        <item t="default"/>
      </items>
    </pivotField>
    <pivotField axis="axisCol" showAll="0">
      <items count="11">
        <item x="0"/>
        <item h="1" m="1" x="9"/>
        <item h="1" x="1"/>
        <item h="1" m="1" x="8"/>
        <item h="1" x="4"/>
        <item h="1" x="3"/>
        <item h="1" x="6"/>
        <item h="1" x="7"/>
        <item h="1" x="2"/>
        <item h="1" x="5"/>
        <item t="default"/>
      </items>
    </pivotField>
    <pivotField numFmtId="2"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11">
    <i>
      <x/>
    </i>
    <i>
      <x v="3"/>
    </i>
    <i>
      <x v="4"/>
    </i>
    <i>
      <x v="6"/>
    </i>
    <i>
      <x v="7"/>
    </i>
    <i>
      <x v="9"/>
    </i>
    <i>
      <x v="13"/>
    </i>
    <i>
      <x v="14"/>
    </i>
    <i>
      <x v="15"/>
    </i>
    <i>
      <x v="16"/>
    </i>
    <i t="grand">
      <x/>
    </i>
  </rowItems>
  <colFields count="1">
    <field x="1"/>
  </colFields>
  <colItems count="1">
    <i>
      <x/>
    </i>
  </colItems>
  <dataFields count="1">
    <dataField name="Somma di PEDANE" fld="7" baseField="0" baseItem="0"/>
  </dataFields>
  <formats count="31">
    <format dxfId="129">
      <pivotArea type="all" dataOnly="0" outline="0" fieldPosition="0"/>
    </format>
    <format dxfId="128">
      <pivotArea outline="0" collapsedLevelsAreSubtotals="1" fieldPosition="0"/>
    </format>
    <format dxfId="127">
      <pivotArea type="origin" dataOnly="0" labelOnly="1" outline="0" fieldPosition="0"/>
    </format>
    <format dxfId="126">
      <pivotArea field="1" type="button" dataOnly="0" labelOnly="1" outline="0" axis="axisCol" fieldPosition="0"/>
    </format>
    <format dxfId="125">
      <pivotArea type="topRight" dataOnly="0" labelOnly="1" outline="0" fieldPosition="0"/>
    </format>
    <format dxfId="124">
      <pivotArea field="0" type="button" dataOnly="0" labelOnly="1" outline="0" axis="axisRow" fieldPosition="0"/>
    </format>
    <format dxfId="123">
      <pivotArea dataOnly="0" labelOnly="1" fieldPosition="0">
        <references count="1">
          <reference field="0" count="0"/>
        </references>
      </pivotArea>
    </format>
    <format dxfId="122">
      <pivotArea dataOnly="0" labelOnly="1" grandRow="1" outline="0" fieldPosition="0"/>
    </format>
    <format dxfId="121">
      <pivotArea dataOnly="0" labelOnly="1" fieldPosition="0">
        <references count="1">
          <reference field="1" count="0"/>
        </references>
      </pivotArea>
    </format>
    <format dxfId="120">
      <pivotArea dataOnly="0" labelOnly="1" grandCol="1" outline="0" fieldPosition="0"/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type="origin" dataOnly="0" labelOnly="1" outline="0" fieldPosition="0"/>
    </format>
    <format dxfId="116">
      <pivotArea field="1" type="button" dataOnly="0" labelOnly="1" outline="0" axis="axisCol" fieldPosition="0"/>
    </format>
    <format dxfId="115">
      <pivotArea type="topRight" dataOnly="0" labelOnly="1" outline="0" fieldPosition="0"/>
    </format>
    <format dxfId="114">
      <pivotArea field="0" type="button" dataOnly="0" labelOnly="1" outline="0" axis="axisRow" fieldPosition="0"/>
    </format>
    <format dxfId="113">
      <pivotArea dataOnly="0" labelOnly="1" fieldPosition="0">
        <references count="1">
          <reference field="0" count="0"/>
        </references>
      </pivotArea>
    </format>
    <format dxfId="112">
      <pivotArea dataOnly="0" labelOnly="1" grandRow="1" outline="0" fieldPosition="0"/>
    </format>
    <format dxfId="111">
      <pivotArea dataOnly="0" labelOnly="1" fieldPosition="0">
        <references count="1">
          <reference field="1" count="0"/>
        </references>
      </pivotArea>
    </format>
    <format dxfId="110">
      <pivotArea dataOnly="0" labelOnly="1" grandCol="1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1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dataOnly="0" labelOnly="1" fieldPosition="0">
        <references count="1">
          <reference field="1" count="0"/>
        </references>
      </pivotArea>
    </format>
    <format dxfId="100">
      <pivotArea dataOnly="0" labelOnly="1" grandCol="1" outline="0" fieldPosition="0"/>
    </format>
    <format dxfId="9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C68F86-CBB2-4F6E-A0B4-06F651B34E48}" name="Tabella pivot15" cacheId="0" applyNumberFormats="0" applyBorderFormats="0" applyFontFormats="0" applyPatternFormats="0" applyAlignmentFormats="0" applyWidthHeightFormats="1" dataCaption="Valori" updatedVersion="7" minRefreshableVersion="3" useAutoFormatting="1" colGrandTotals="0" itemPrintTitles="1" createdVersion="7" indent="0" outline="1" outlineData="1" multipleFieldFilters="0">
  <location ref="A3:I25" firstHeaderRow="1" firstDataRow="2" firstDataCol="1"/>
  <pivotFields count="8">
    <pivotField axis="axisRow" showAll="0">
      <items count="70">
        <item m="1" x="31"/>
        <item m="1" x="68"/>
        <item m="1" x="39"/>
        <item m="1" x="63"/>
        <item m="1" x="43"/>
        <item m="1" x="28"/>
        <item m="1" x="45"/>
        <item m="1" x="52"/>
        <item m="1" x="51"/>
        <item m="1" x="66"/>
        <item m="1" x="61"/>
        <item m="1" x="30"/>
        <item m="1" x="60"/>
        <item m="1" x="53"/>
        <item m="1" x="47"/>
        <item m="1" x="49"/>
        <item m="1" x="33"/>
        <item m="1" x="54"/>
        <item m="1" x="55"/>
        <item m="1" x="42"/>
        <item m="1" x="44"/>
        <item m="1" x="57"/>
        <item m="1" x="29"/>
        <item m="1" x="24"/>
        <item m="1" x="65"/>
        <item m="1" x="62"/>
        <item m="1" x="67"/>
        <item m="1" x="56"/>
        <item m="1" x="58"/>
        <item m="1" x="50"/>
        <item m="1" x="26"/>
        <item m="1" x="23"/>
        <item m="1" x="59"/>
        <item m="1" x="32"/>
        <item m="1" x="34"/>
        <item m="1" x="21"/>
        <item m="1" x="41"/>
        <item m="1" x="22"/>
        <item m="1" x="46"/>
        <item m="1" x="48"/>
        <item m="1" x="25"/>
        <item m="1" x="40"/>
        <item m="1" x="20"/>
        <item m="1" x="37"/>
        <item m="1" x="64"/>
        <item m="1" x="35"/>
        <item m="1" x="27"/>
        <item m="1" x="3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38"/>
        <item x="15"/>
        <item x="16"/>
        <item x="17"/>
        <item x="18"/>
        <item x="19"/>
        <item t="default"/>
      </items>
    </pivotField>
    <pivotField axis="axisCol" showAll="0">
      <items count="11">
        <item x="0"/>
        <item m="1" x="9"/>
        <item x="1"/>
        <item m="1" x="8"/>
        <item x="4"/>
        <item x="3"/>
        <item x="6"/>
        <item x="7"/>
        <item x="2"/>
        <item x="5"/>
        <item t="default"/>
      </items>
    </pivotField>
    <pivotField numFmtId="2"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21"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4"/>
    </i>
    <i>
      <x v="65"/>
    </i>
    <i>
      <x v="66"/>
    </i>
    <i>
      <x v="67"/>
    </i>
    <i>
      <x v="68"/>
    </i>
    <i t="grand">
      <x/>
    </i>
  </rowItems>
  <colFields count="1">
    <field x="1"/>
  </colFields>
  <colItems count="8">
    <i>
      <x/>
    </i>
    <i>
      <x v="2"/>
    </i>
    <i>
      <x v="4"/>
    </i>
    <i>
      <x v="5"/>
    </i>
    <i>
      <x v="6"/>
    </i>
    <i>
      <x v="7"/>
    </i>
    <i>
      <x v="8"/>
    </i>
    <i>
      <x v="9"/>
    </i>
  </colItems>
  <dataFields count="1">
    <dataField name="Somma di PEDANE" fld="7" baseField="0" baseItem="0"/>
  </dataFields>
  <formats count="31">
    <format dxfId="160">
      <pivotArea type="all" dataOnly="0" outline="0" fieldPosition="0"/>
    </format>
    <format dxfId="159">
      <pivotArea outline="0" collapsedLevelsAreSubtotals="1" fieldPosition="0"/>
    </format>
    <format dxfId="158">
      <pivotArea type="origin" dataOnly="0" labelOnly="1" outline="0" fieldPosition="0"/>
    </format>
    <format dxfId="157">
      <pivotArea field="1" type="button" dataOnly="0" labelOnly="1" outline="0" axis="axisCol" fieldPosition="0"/>
    </format>
    <format dxfId="156">
      <pivotArea type="topRight" dataOnly="0" labelOnly="1" outline="0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1">
          <reference field="1" count="0"/>
        </references>
      </pivotArea>
    </format>
    <format dxfId="151">
      <pivotArea dataOnly="0" labelOnly="1" grandCol="1" outline="0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type="origin" dataOnly="0" labelOnly="1" outline="0" fieldPosition="0"/>
    </format>
    <format dxfId="147">
      <pivotArea field="1" type="button" dataOnly="0" labelOnly="1" outline="0" axis="axisCol" fieldPosition="0"/>
    </format>
    <format dxfId="146">
      <pivotArea type="topRight" dataOnly="0" labelOnly="1" outline="0" fieldPosition="0"/>
    </format>
    <format dxfId="145">
      <pivotArea field="0" type="button" dataOnly="0" labelOnly="1" outline="0" axis="axisRow" fieldPosition="0"/>
    </format>
    <format dxfId="144">
      <pivotArea dataOnly="0" labelOnly="1" fieldPosition="0">
        <references count="1">
          <reference field="0" count="0"/>
        </references>
      </pivotArea>
    </format>
    <format dxfId="143">
      <pivotArea dataOnly="0" labelOnly="1" grandRow="1" outline="0" fieldPosition="0"/>
    </format>
    <format dxfId="142">
      <pivotArea dataOnly="0" labelOnly="1" fieldPosition="0">
        <references count="1">
          <reference field="1" count="0"/>
        </references>
      </pivotArea>
    </format>
    <format dxfId="141">
      <pivotArea dataOnly="0" labelOnly="1" grandCol="1" outline="0" fieldPosition="0"/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type="origin" dataOnly="0" labelOnly="1" outline="0" fieldPosition="0"/>
    </format>
    <format dxfId="137">
      <pivotArea field="1" type="button" dataOnly="0" labelOnly="1" outline="0" axis="axisCol" fieldPosition="0"/>
    </format>
    <format dxfId="136">
      <pivotArea type="topRight" dataOnly="0" labelOnly="1" outline="0" fieldPosition="0"/>
    </format>
    <format dxfId="135">
      <pivotArea field="0" type="button" dataOnly="0" labelOnly="1" outline="0" axis="axisRow" fieldPosition="0"/>
    </format>
    <format dxfId="134">
      <pivotArea dataOnly="0" labelOnly="1" fieldPosition="0">
        <references count="1">
          <reference field="0" count="0"/>
        </references>
      </pivotArea>
    </format>
    <format dxfId="133">
      <pivotArea dataOnly="0" labelOnly="1" grandRow="1" outline="0" fieldPosition="0"/>
    </format>
    <format dxfId="132">
      <pivotArea dataOnly="0" labelOnly="1" fieldPosition="0">
        <references count="1">
          <reference field="1" count="0"/>
        </references>
      </pivotArea>
    </format>
    <format dxfId="131">
      <pivotArea dataOnly="0" labelOnly="1" grandCol="1" outline="0" fieldPosition="0"/>
    </format>
    <format dxfId="1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36399-D6F8-46CE-AF4A-E16102DDFDF6}" name="Tabella pivot20" cacheId="0" applyNumberFormats="0" applyBorderFormats="0" applyFontFormats="0" applyPatternFormats="0" applyAlignmentFormats="0" applyWidthHeightFormats="1" dataCaption="Valori" updatedVersion="7" minRefreshableVersion="3" useAutoFormatting="1" colGrandTotals="0" itemPrintTitles="1" createdVersion="7" indent="0" outline="1" outlineData="1" multipleFieldFilters="0">
  <location ref="D73:F78" firstHeaderRow="1" firstDataRow="2" firstDataCol="1"/>
  <pivotFields count="8">
    <pivotField axis="axisRow" showAll="0" sortType="descending">
      <items count="70">
        <item x="0"/>
        <item x="12"/>
        <item m="1" x="38"/>
        <item x="1"/>
        <item x="2"/>
        <item x="15"/>
        <item x="8"/>
        <item x="3"/>
        <item x="9"/>
        <item x="4"/>
        <item x="17"/>
        <item x="13"/>
        <item x="10"/>
        <item x="5"/>
        <item x="19"/>
        <item x="6"/>
        <item x="7"/>
        <item x="16"/>
        <item x="14"/>
        <item x="18"/>
        <item x="11"/>
        <item m="1" x="36"/>
        <item m="1" x="27"/>
        <item m="1" x="35"/>
        <item m="1" x="64"/>
        <item m="1" x="37"/>
        <item m="1" x="20"/>
        <item m="1" x="40"/>
        <item m="1" x="25"/>
        <item m="1" x="48"/>
        <item m="1" x="46"/>
        <item m="1" x="22"/>
        <item m="1" x="41"/>
        <item m="1" x="21"/>
        <item m="1" x="34"/>
        <item m="1" x="32"/>
        <item m="1" x="59"/>
        <item m="1" x="23"/>
        <item m="1" x="26"/>
        <item m="1" x="50"/>
        <item m="1" x="58"/>
        <item m="1" x="56"/>
        <item m="1" x="67"/>
        <item m="1" x="62"/>
        <item m="1" x="65"/>
        <item m="1" x="24"/>
        <item m="1" x="29"/>
        <item m="1" x="57"/>
        <item m="1" x="44"/>
        <item m="1" x="42"/>
        <item m="1" x="55"/>
        <item m="1" x="54"/>
        <item m="1" x="33"/>
        <item m="1" x="49"/>
        <item m="1" x="47"/>
        <item m="1" x="53"/>
        <item m="1" x="60"/>
        <item m="1" x="30"/>
        <item m="1" x="61"/>
        <item m="1" x="66"/>
        <item m="1" x="51"/>
        <item m="1" x="52"/>
        <item m="1" x="45"/>
        <item m="1" x="28"/>
        <item m="1" x="43"/>
        <item m="1" x="63"/>
        <item m="1" x="39"/>
        <item m="1" x="68"/>
        <item m="1" x="31"/>
        <item t="default"/>
      </items>
    </pivotField>
    <pivotField axis="axisCol" showAll="0">
      <items count="11">
        <item h="1" x="0"/>
        <item m="1" x="9"/>
        <item x="1"/>
        <item m="1" x="8"/>
        <item h="1" x="4"/>
        <item h="1" x="3"/>
        <item h="1" x="6"/>
        <item x="7"/>
        <item h="1" x="2"/>
        <item h="1" x="5"/>
        <item t="default"/>
      </items>
    </pivotField>
    <pivotField numFmtId="2"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4">
    <i>
      <x v="4"/>
    </i>
    <i>
      <x v="9"/>
    </i>
    <i>
      <x v="10"/>
    </i>
    <i t="grand">
      <x/>
    </i>
  </rowItems>
  <colFields count="1">
    <field x="1"/>
  </colFields>
  <colItems count="2">
    <i>
      <x v="2"/>
    </i>
    <i>
      <x v="7"/>
    </i>
  </colItems>
  <dataFields count="1">
    <dataField name="Somma di PEDANE" fld="7" baseField="0" baseItem="0"/>
  </dataFields>
  <formats count="31">
    <format dxfId="191">
      <pivotArea type="all" dataOnly="0" outline="0" fieldPosition="0"/>
    </format>
    <format dxfId="190">
      <pivotArea outline="0" collapsedLevelsAreSubtotals="1" fieldPosition="0"/>
    </format>
    <format dxfId="189">
      <pivotArea type="origin" dataOnly="0" labelOnly="1" outline="0" fieldPosition="0"/>
    </format>
    <format dxfId="188">
      <pivotArea field="1" type="button" dataOnly="0" labelOnly="1" outline="0" axis="axisCol" fieldPosition="0"/>
    </format>
    <format dxfId="187">
      <pivotArea type="topRight" dataOnly="0" labelOnly="1" outline="0" fieldPosition="0"/>
    </format>
    <format dxfId="186">
      <pivotArea field="0" type="button" dataOnly="0" labelOnly="1" outline="0" axis="axisRow" fieldPosition="0"/>
    </format>
    <format dxfId="185">
      <pivotArea dataOnly="0" labelOnly="1" fieldPosition="0">
        <references count="1">
          <reference field="0" count="0"/>
        </references>
      </pivotArea>
    </format>
    <format dxfId="184">
      <pivotArea dataOnly="0" labelOnly="1" grandRow="1" outline="0" fieldPosition="0"/>
    </format>
    <format dxfId="183">
      <pivotArea dataOnly="0" labelOnly="1" fieldPosition="0">
        <references count="1">
          <reference field="1" count="0"/>
        </references>
      </pivotArea>
    </format>
    <format dxfId="182">
      <pivotArea dataOnly="0" labelOnly="1" grandCol="1" outline="0" fieldPosition="0"/>
    </format>
    <format dxfId="181">
      <pivotArea type="all" dataOnly="0" outline="0" fieldPosition="0"/>
    </format>
    <format dxfId="180">
      <pivotArea outline="0" collapsedLevelsAreSubtotals="1" fieldPosition="0"/>
    </format>
    <format dxfId="179">
      <pivotArea type="origin" dataOnly="0" labelOnly="1" outline="0" fieldPosition="0"/>
    </format>
    <format dxfId="178">
      <pivotArea field="1" type="button" dataOnly="0" labelOnly="1" outline="0" axis="axisCol" fieldPosition="0"/>
    </format>
    <format dxfId="177">
      <pivotArea type="topRight" dataOnly="0" labelOnly="1" outline="0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  <format dxfId="173">
      <pivotArea dataOnly="0" labelOnly="1" fieldPosition="0">
        <references count="1">
          <reference field="1" count="0"/>
        </references>
      </pivotArea>
    </format>
    <format dxfId="172">
      <pivotArea dataOnly="0" labelOnly="1" grandCol="1" outline="0" fieldPosition="0"/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field="1" type="button" dataOnly="0" labelOnly="1" outline="0" axis="axisCol" fieldPosition="0"/>
    </format>
    <format dxfId="167">
      <pivotArea type="topRight" dataOnly="0" labelOnly="1" outline="0" fieldPosition="0"/>
    </format>
    <format dxfId="166">
      <pivotArea field="0" type="button" dataOnly="0" labelOnly="1" outline="0" axis="axisRow" fieldPosition="0"/>
    </format>
    <format dxfId="165">
      <pivotArea dataOnly="0" labelOnly="1" fieldPosition="0">
        <references count="1">
          <reference field="0" count="0"/>
        </references>
      </pivotArea>
    </format>
    <format dxfId="164">
      <pivotArea dataOnly="0" labelOnly="1" grandRow="1" outline="0" fieldPosition="0"/>
    </format>
    <format dxfId="163">
      <pivotArea dataOnly="0" labelOnly="1" fieldPosition="0">
        <references count="1">
          <reference field="1" count="0"/>
        </references>
      </pivotArea>
    </format>
    <format dxfId="162">
      <pivotArea dataOnly="0" labelOnly="1" grandCol="1" outline="0" fieldPosition="0"/>
    </format>
    <format dxfId="16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88046-0A67-41A5-8E0C-4EB7A16F2ABD}" name="Tabella pivot2" cacheId="1" applyNumberFormats="0" applyBorderFormats="0" applyFontFormats="0" applyPatternFormats="0" applyAlignmentFormats="0" applyWidthHeightFormats="1" dataCaption="Valori" updatedVersion="7" minRefreshableVersion="3" asteriskTotals="1" showMemberPropertyTips="0" useAutoFormatting="1" pageOverThenDown="1" itemPrintTitles="1" createdVersion="7" indent="0" outline="1" outlineData="1" multipleFieldFilters="0">
  <location ref="D1:E29" firstHeaderRow="1" firstDataRow="1" firstDataCol="1"/>
  <pivotFields count="2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8">
        <item x="18"/>
        <item x="8"/>
        <item x="9"/>
        <item x="2"/>
        <item x="19"/>
        <item x="20"/>
        <item x="1"/>
        <item x="10"/>
        <item x="21"/>
        <item x="22"/>
        <item x="11"/>
        <item x="13"/>
        <item x="23"/>
        <item x="24"/>
        <item x="25"/>
        <item x="3"/>
        <item x="4"/>
        <item x="5"/>
        <item x="6"/>
        <item x="12"/>
        <item x="14"/>
        <item x="0"/>
        <item x="15"/>
        <item x="16"/>
        <item x="17"/>
        <item x="7"/>
        <item x="2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Enviado3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tranet.inditex.com/AgenteAduanas/home.html?method=getHom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9914-63EC-458B-8322-E51A18891CCD}">
  <sheetPr codeName="Foglio14">
    <tabColor rgb="FF00B0F0"/>
  </sheetPr>
  <dimension ref="A1:AJ53"/>
  <sheetViews>
    <sheetView zoomScaleNormal="100" workbookViewId="0"/>
  </sheetViews>
  <sheetFormatPr defaultRowHeight="15" x14ac:dyDescent="0.25"/>
  <cols>
    <col min="10" max="10" width="22.7109375" customWidth="1"/>
  </cols>
  <sheetData>
    <row r="1" spans="1:36" ht="21" x14ac:dyDescent="0.35">
      <c r="A1" s="420" t="s">
        <v>303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</row>
    <row r="2" spans="1:36" s="1" customFormat="1" x14ac:dyDescent="0.2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418" t="s">
        <v>152</v>
      </c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</row>
    <row r="3" spans="1:36" x14ac:dyDescent="0.25">
      <c r="A3" s="68" t="s">
        <v>187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</row>
    <row r="4" spans="1:36" x14ac:dyDescent="0.25">
      <c r="A4" s="68" t="s">
        <v>188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 t="s">
        <v>153</v>
      </c>
      <c r="M4" s="68" t="s">
        <v>154</v>
      </c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</row>
    <row r="5" spans="1:36" x14ac:dyDescent="0.25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</row>
    <row r="6" spans="1:36" x14ac:dyDescent="0.25">
      <c r="A6" s="68" t="s">
        <v>189</v>
      </c>
      <c r="B6" s="68"/>
      <c r="C6" s="68"/>
      <c r="D6" s="68"/>
      <c r="E6" s="68"/>
      <c r="F6" s="68"/>
      <c r="G6" s="68"/>
      <c r="H6" s="68"/>
      <c r="I6" s="68"/>
      <c r="J6" s="68"/>
      <c r="K6" s="68"/>
      <c r="L6" s="68" t="s">
        <v>156</v>
      </c>
      <c r="M6" s="68" t="s">
        <v>155</v>
      </c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</row>
    <row r="7" spans="1:36" x14ac:dyDescent="0.25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</row>
    <row r="8" spans="1:36" x14ac:dyDescent="0.25">
      <c r="A8" s="68" t="s">
        <v>190</v>
      </c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</row>
    <row r="9" spans="1:36" x14ac:dyDescent="0.25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</row>
    <row r="10" spans="1:36" x14ac:dyDescent="0.25">
      <c r="A10" s="68" t="s">
        <v>191</v>
      </c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</row>
    <row r="11" spans="1:36" x14ac:dyDescent="0.25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</row>
    <row r="12" spans="1:36" x14ac:dyDescent="0.25">
      <c r="A12" s="68" t="s">
        <v>192</v>
      </c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</row>
    <row r="13" spans="1:36" x14ac:dyDescent="0.25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</row>
    <row r="14" spans="1:36" x14ac:dyDescent="0.25">
      <c r="A14" s="68" t="s">
        <v>193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</row>
    <row r="15" spans="1:36" x14ac:dyDescent="0.25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</row>
    <row r="16" spans="1:36" x14ac:dyDescent="0.25">
      <c r="A16" s="68" t="s">
        <v>194</v>
      </c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</row>
    <row r="17" spans="1:36" x14ac:dyDescent="0.25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</row>
    <row r="18" spans="1:36" x14ac:dyDescent="0.25">
      <c r="A18" s="68" t="s">
        <v>195</v>
      </c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</row>
    <row r="19" spans="1:36" x14ac:dyDescent="0.25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</row>
    <row r="20" spans="1:36" x14ac:dyDescent="0.25">
      <c r="A20" s="68" t="s">
        <v>196</v>
      </c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</row>
    <row r="21" spans="1:36" x14ac:dyDescent="0.25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</row>
    <row r="22" spans="1:36" x14ac:dyDescent="0.25">
      <c r="A22" s="68" t="s">
        <v>197</v>
      </c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</row>
    <row r="23" spans="1:36" x14ac:dyDescent="0.25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</row>
    <row r="24" spans="1:36" x14ac:dyDescent="0.25">
      <c r="A24" s="68" t="s">
        <v>198</v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</row>
    <row r="25" spans="1:36" x14ac:dyDescent="0.25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</row>
    <row r="26" spans="1:36" ht="15.75" thickBot="1" x14ac:dyDescent="0.3">
      <c r="A26" s="68" t="s">
        <v>199</v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</row>
    <row r="27" spans="1:36" x14ac:dyDescent="0.25">
      <c r="A27" s="68"/>
      <c r="B27" s="68"/>
      <c r="C27" s="68"/>
      <c r="D27" s="68"/>
      <c r="E27" s="68"/>
      <c r="F27" s="68"/>
      <c r="G27" s="68"/>
      <c r="H27" s="68"/>
      <c r="I27" s="419"/>
      <c r="J27" s="423" t="s">
        <v>302</v>
      </c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</row>
    <row r="28" spans="1:36" x14ac:dyDescent="0.25">
      <c r="A28" s="68" t="s">
        <v>200</v>
      </c>
      <c r="B28" s="68"/>
      <c r="C28" s="68"/>
      <c r="D28" s="68"/>
      <c r="E28" s="68"/>
      <c r="F28" s="68"/>
      <c r="G28" s="68"/>
      <c r="H28" s="68"/>
      <c r="I28" s="424">
        <v>3680</v>
      </c>
      <c r="J28" s="421">
        <v>466</v>
      </c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</row>
    <row r="29" spans="1:36" x14ac:dyDescent="0.25">
      <c r="A29" s="68"/>
      <c r="B29" s="68"/>
      <c r="C29" s="68"/>
      <c r="D29" s="68"/>
      <c r="E29" s="68"/>
      <c r="F29" s="68"/>
      <c r="G29" s="68"/>
      <c r="H29" s="68"/>
      <c r="I29" s="424">
        <v>9226</v>
      </c>
      <c r="J29" s="421">
        <v>982</v>
      </c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</row>
    <row r="30" spans="1:36" ht="15.75" thickBot="1" x14ac:dyDescent="0.3">
      <c r="A30" s="68"/>
      <c r="B30" s="68"/>
      <c r="C30" s="68"/>
      <c r="D30" s="68"/>
      <c r="E30" s="68"/>
      <c r="F30" s="68"/>
      <c r="G30" s="68"/>
      <c r="H30" s="68"/>
      <c r="I30" s="425">
        <v>3591</v>
      </c>
      <c r="J30" s="422">
        <v>449</v>
      </c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</row>
    <row r="31" spans="1:36" x14ac:dyDescent="0.25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</row>
    <row r="32" spans="1:36" x14ac:dyDescent="0.25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</row>
    <row r="33" spans="1:36" x14ac:dyDescent="0.25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</row>
    <row r="34" spans="1:36" x14ac:dyDescent="0.25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</row>
    <row r="35" spans="1:36" x14ac:dyDescent="0.25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</row>
    <row r="36" spans="1:36" x14ac:dyDescent="0.25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</row>
    <row r="37" spans="1:36" x14ac:dyDescent="0.25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</row>
    <row r="38" spans="1:36" x14ac:dyDescent="0.25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</row>
    <row r="39" spans="1:36" x14ac:dyDescent="0.25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</row>
    <row r="40" spans="1:36" x14ac:dyDescent="0.25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</row>
    <row r="41" spans="1:36" x14ac:dyDescent="0.25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</row>
    <row r="42" spans="1:36" x14ac:dyDescent="0.25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</row>
    <row r="43" spans="1:36" x14ac:dyDescent="0.25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</row>
    <row r="44" spans="1:36" x14ac:dyDescent="0.25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</row>
    <row r="45" spans="1:36" x14ac:dyDescent="0.25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</row>
    <row r="46" spans="1:36" x14ac:dyDescent="0.25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</row>
    <row r="47" spans="1:36" x14ac:dyDescent="0.25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</row>
    <row r="48" spans="1:36" x14ac:dyDescent="0.25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</row>
    <row r="49" spans="1:36" x14ac:dyDescent="0.25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</row>
    <row r="50" spans="1:36" x14ac:dyDescent="0.25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</row>
    <row r="51" spans="1:36" x14ac:dyDescent="0.25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</row>
    <row r="52" spans="1:36" x14ac:dyDescent="0.25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</row>
    <row r="53" spans="1:36" x14ac:dyDescent="0.25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</row>
  </sheetData>
  <hyperlinks>
    <hyperlink ref="L2" r:id="rId1" xr:uid="{11ED7F49-8B3E-48C2-9031-62D3BFCA3F4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sporta_0">
                <anchor moveWithCells="1" sizeWithCells="1">
                  <from>
                    <xdr:col>0</xdr:col>
                    <xdr:colOff>514350</xdr:colOff>
                    <xdr:row>47</xdr:row>
                    <xdr:rowOff>19050</xdr:rowOff>
                  </from>
                  <to>
                    <xdr:col>3</xdr:col>
                    <xdr:colOff>28575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sporta_9">
                <anchor moveWithCells="1" sizeWithCells="1">
                  <from>
                    <xdr:col>3</xdr:col>
                    <xdr:colOff>266700</xdr:colOff>
                    <xdr:row>46</xdr:row>
                    <xdr:rowOff>161925</xdr:rowOff>
                  </from>
                  <to>
                    <xdr:col>5</xdr:col>
                    <xdr:colOff>419100</xdr:colOff>
                    <xdr:row>50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FEFF0-07DE-4417-A173-DD68916BA72B}">
  <sheetPr codeName="Foglio1"/>
  <dimension ref="A1:AF923"/>
  <sheetViews>
    <sheetView topLeftCell="A55" zoomScaleNormal="100" workbookViewId="0">
      <selection activeCell="V73" sqref="V7:V73"/>
    </sheetView>
  </sheetViews>
  <sheetFormatPr defaultColWidth="7.140625" defaultRowHeight="15" x14ac:dyDescent="0.25"/>
  <cols>
    <col min="1" max="1" width="8.5703125" style="143" bestFit="1" customWidth="1"/>
    <col min="2" max="2" width="6.7109375" style="143" bestFit="1" customWidth="1"/>
    <col min="3" max="3" width="10.7109375" style="143" bestFit="1" customWidth="1"/>
    <col min="4" max="4" width="15.140625" style="143" bestFit="1" customWidth="1"/>
    <col min="5" max="5" width="10.85546875" style="143" bestFit="1" customWidth="1"/>
    <col min="6" max="9" width="7.140625" style="74"/>
    <col min="10" max="10" width="11.7109375" style="75" bestFit="1" customWidth="1"/>
    <col min="11" max="11" width="10.28515625" style="75" bestFit="1" customWidth="1"/>
    <col min="12" max="13" width="7.140625" style="74"/>
    <col min="14" max="14" width="7.140625" style="75"/>
    <col min="15" max="15" width="10.28515625" style="75" bestFit="1" customWidth="1"/>
    <col min="16" max="17" width="7.140625" style="74"/>
    <col min="18" max="18" width="7.140625" style="75"/>
    <col min="19" max="19" width="11.140625" style="75" bestFit="1" customWidth="1"/>
    <col min="20" max="20" width="11.42578125" style="76" bestFit="1" customWidth="1"/>
    <col min="21" max="21" width="10" style="76" bestFit="1" customWidth="1"/>
    <col min="22" max="22" width="22" style="76" customWidth="1"/>
    <col min="23" max="23" width="7.140625" style="74"/>
    <col min="24" max="24" width="7.140625" style="76"/>
    <col min="25" max="25" width="7.140625" style="74"/>
    <col min="26" max="26" width="7.140625" style="76"/>
    <col min="27" max="27" width="7.140625" style="74"/>
    <col min="28" max="32" width="7.140625" style="76"/>
    <col min="33" max="16384" width="7.140625" style="72"/>
  </cols>
  <sheetData>
    <row r="1" spans="1:32" x14ac:dyDescent="0.25">
      <c r="A1" s="519" t="s">
        <v>168</v>
      </c>
      <c r="B1" s="520"/>
      <c r="C1" s="521"/>
      <c r="D1" s="142" t="s">
        <v>169</v>
      </c>
      <c r="F1" s="73"/>
      <c r="AC1" s="77"/>
      <c r="AD1" s="78"/>
      <c r="AE1" s="78"/>
      <c r="AF1" s="78"/>
    </row>
    <row r="2" spans="1:32" x14ac:dyDescent="0.25">
      <c r="A2" s="144"/>
      <c r="B2" s="144"/>
      <c r="C2" s="144"/>
      <c r="D2" s="145"/>
      <c r="F2" s="73"/>
      <c r="AC2" s="77"/>
      <c r="AD2" s="78"/>
      <c r="AE2" s="78"/>
      <c r="AF2" s="78"/>
    </row>
    <row r="3" spans="1:32" x14ac:dyDescent="0.25">
      <c r="A3" s="519" t="s">
        <v>170</v>
      </c>
      <c r="B3" s="520"/>
      <c r="C3" s="521"/>
      <c r="D3" s="146" t="s">
        <v>171</v>
      </c>
      <c r="F3" s="73"/>
      <c r="AC3" s="77"/>
      <c r="AD3" s="78"/>
      <c r="AE3" s="78"/>
      <c r="AF3" s="78"/>
    </row>
    <row r="4" spans="1:32" ht="15.75" thickBot="1" x14ac:dyDescent="0.3">
      <c r="C4" s="147"/>
      <c r="E4" s="143" t="s">
        <v>171</v>
      </c>
      <c r="F4" s="73"/>
      <c r="AC4" s="77"/>
      <c r="AD4" s="78"/>
      <c r="AE4" s="78"/>
      <c r="AF4" s="78"/>
    </row>
    <row r="5" spans="1:32" ht="14.25" customHeight="1" thickBot="1" x14ac:dyDescent="0.3">
      <c r="A5" s="522" t="s">
        <v>0</v>
      </c>
      <c r="B5" s="523"/>
      <c r="C5" s="523"/>
      <c r="D5" s="523"/>
      <c r="E5" s="148" t="s">
        <v>1</v>
      </c>
      <c r="F5" s="524" t="s">
        <v>2</v>
      </c>
      <c r="G5" s="525"/>
      <c r="H5" s="525"/>
      <c r="I5" s="525"/>
      <c r="J5" s="525"/>
      <c r="K5" s="526"/>
      <c r="L5" s="524" t="s">
        <v>3</v>
      </c>
      <c r="M5" s="525"/>
      <c r="N5" s="525"/>
      <c r="O5" s="526"/>
      <c r="P5" s="524" t="s">
        <v>4</v>
      </c>
      <c r="Q5" s="525"/>
      <c r="R5" s="525"/>
      <c r="S5" s="526"/>
      <c r="T5" s="524" t="s">
        <v>5</v>
      </c>
      <c r="U5" s="526"/>
      <c r="V5" s="524" t="s">
        <v>6</v>
      </c>
      <c r="W5" s="526"/>
      <c r="X5" s="524" t="s">
        <v>6</v>
      </c>
      <c r="Y5" s="526"/>
      <c r="Z5" s="524" t="s">
        <v>6</v>
      </c>
      <c r="AA5" s="526"/>
      <c r="AB5" s="79" t="s">
        <v>7</v>
      </c>
      <c r="AC5" s="527" t="s">
        <v>8</v>
      </c>
      <c r="AD5" s="527" t="s">
        <v>9</v>
      </c>
      <c r="AE5" s="527" t="s">
        <v>10</v>
      </c>
      <c r="AF5" s="527" t="s">
        <v>11</v>
      </c>
    </row>
    <row r="6" spans="1:32" ht="37.5" customHeight="1" thickBot="1" x14ac:dyDescent="0.3">
      <c r="A6" s="310" t="s">
        <v>12</v>
      </c>
      <c r="B6" s="311" t="s">
        <v>13</v>
      </c>
      <c r="C6" s="312" t="s">
        <v>14</v>
      </c>
      <c r="D6" s="313" t="s">
        <v>15</v>
      </c>
      <c r="E6" s="314" t="s">
        <v>16</v>
      </c>
      <c r="F6" s="179" t="s">
        <v>17</v>
      </c>
      <c r="G6" s="180" t="s">
        <v>18</v>
      </c>
      <c r="H6" s="181" t="s">
        <v>19</v>
      </c>
      <c r="I6" s="180" t="s">
        <v>20</v>
      </c>
      <c r="J6" s="182" t="s">
        <v>21</v>
      </c>
      <c r="K6" s="183" t="s">
        <v>22</v>
      </c>
      <c r="L6" s="179" t="s">
        <v>23</v>
      </c>
      <c r="M6" s="180" t="s">
        <v>24</v>
      </c>
      <c r="N6" s="182" t="s">
        <v>21</v>
      </c>
      <c r="O6" s="183" t="s">
        <v>22</v>
      </c>
      <c r="P6" s="179" t="s">
        <v>25</v>
      </c>
      <c r="Q6" s="180" t="s">
        <v>24</v>
      </c>
      <c r="R6" s="182" t="s">
        <v>21</v>
      </c>
      <c r="S6" s="183" t="s">
        <v>22</v>
      </c>
      <c r="T6" s="236" t="s">
        <v>26</v>
      </c>
      <c r="U6" s="237" t="s">
        <v>27</v>
      </c>
      <c r="V6" s="81" t="s">
        <v>28</v>
      </c>
      <c r="W6" s="80" t="s">
        <v>29</v>
      </c>
      <c r="X6" s="81" t="s">
        <v>28</v>
      </c>
      <c r="Y6" s="80" t="s">
        <v>29</v>
      </c>
      <c r="Z6" s="81" t="s">
        <v>28</v>
      </c>
      <c r="AA6" s="82" t="s">
        <v>29</v>
      </c>
      <c r="AB6" s="83" t="s">
        <v>30</v>
      </c>
      <c r="AC6" s="528"/>
      <c r="AD6" s="528"/>
      <c r="AE6" s="528"/>
      <c r="AF6" s="528"/>
    </row>
    <row r="7" spans="1:32" ht="14.25" customHeight="1" thickBot="1" x14ac:dyDescent="0.3">
      <c r="A7" s="149">
        <v>1</v>
      </c>
      <c r="B7" s="150">
        <v>8601</v>
      </c>
      <c r="C7" s="151" t="s">
        <v>31</v>
      </c>
      <c r="D7" s="284" t="s">
        <v>32</v>
      </c>
      <c r="E7" s="285" t="s">
        <v>33</v>
      </c>
      <c r="F7" s="349">
        <f>_xlfn.IFNA(VLOOKUP(B7,ANALISI!A:O,4,FALSE),0)</f>
        <v>66</v>
      </c>
      <c r="G7" s="350">
        <f>_xlfn.IFNA(VLOOKUP(B7,'SPUNTA PER GIRO'!A:N,6,FALSE),0)</f>
        <v>50</v>
      </c>
      <c r="H7" s="350">
        <f>_xlfn.IFNA(VLOOKUP(B7,ANALISI!A:O,5,FALSE),0)</f>
        <v>0</v>
      </c>
      <c r="I7" s="350">
        <f>_xlfn.IFNA(VLOOKUP(B7,'SPUNTA PER GIRO'!A:N,8,FALSE),0)</f>
        <v>8</v>
      </c>
      <c r="J7" s="351">
        <f>_xlfn.IFNA(ROUND(VLOOKUP(B7,ANALISI!A:O,6,FALSE),2),0)</f>
        <v>6.52</v>
      </c>
      <c r="K7" s="352">
        <f>_xlfn.IFNA(VLOOKUP(B7,ANALISI!A:O,7,FALSE),0)</f>
        <v>1008</v>
      </c>
      <c r="L7" s="349">
        <f>_xlfn.IFNA(VLOOKUP(B7,ANALISI!A:O,8,FALSE),0)</f>
        <v>6</v>
      </c>
      <c r="M7" s="353">
        <f>_xlfn.IFNA(VLOOKUP(B7,'SPUNTA PER GIRO'!A:N,10,FALSE),0)</f>
        <v>6</v>
      </c>
      <c r="N7" s="351">
        <f>_xlfn.IFNA(ROUND(VLOOKUP(B7,ANALISI!A:O,9,FALSE),2),0)</f>
        <v>0.59</v>
      </c>
      <c r="O7" s="352">
        <f>_xlfn.IFNA(VLOOKUP(B7,ANALISI!A:O,10,FALSE),0)</f>
        <v>74</v>
      </c>
      <c r="P7" s="349">
        <f>_xlfn.IFNA(VLOOKUP(B7,ANALISI!A:O,11,FALSE),0)</f>
        <v>2</v>
      </c>
      <c r="Q7" s="353">
        <f>_xlfn.IFNA(VLOOKUP(B7,'SPUNTA PER GIRO'!A:N,12,FALSE),0)</f>
        <v>3</v>
      </c>
      <c r="R7" s="354">
        <f>_xlfn.IFNA(ROUND(VLOOKUP(B7,ANALISI!A:O,12,FALSE),2),0)</f>
        <v>0.22</v>
      </c>
      <c r="S7" s="355">
        <f>_xlfn.IFNA(VLOOKUP(B7,ANALISI!A:O,13,FALSE),0)</f>
        <v>14</v>
      </c>
      <c r="T7" s="315">
        <f>+J7+N7+R7</f>
        <v>7.3299999999999992</v>
      </c>
      <c r="U7" s="315">
        <f>+K7+O7+S7</f>
        <v>1096</v>
      </c>
      <c r="V7" s="380" t="str">
        <f>_xlfn.IFNA(VLOOKUP(B7,'SPUNTA PER GIRO'!A:T,20,FALSE),"")</f>
        <v/>
      </c>
      <c r="W7" s="84"/>
      <c r="X7" s="380"/>
      <c r="Y7" s="84"/>
      <c r="Z7" s="380"/>
      <c r="AA7" s="85"/>
      <c r="AB7" s="381"/>
      <c r="AC7" s="382"/>
      <c r="AD7" s="383">
        <v>1805282</v>
      </c>
      <c r="AE7" s="384"/>
      <c r="AF7" s="384"/>
    </row>
    <row r="8" spans="1:32" ht="14.25" customHeight="1" thickBot="1" x14ac:dyDescent="0.3">
      <c r="A8" s="152">
        <v>1</v>
      </c>
      <c r="B8" s="153">
        <v>8364</v>
      </c>
      <c r="C8" s="154" t="s">
        <v>31</v>
      </c>
      <c r="D8" s="155" t="s">
        <v>34</v>
      </c>
      <c r="E8" s="233" t="s">
        <v>33</v>
      </c>
      <c r="F8" s="356">
        <f>_xlfn.IFNA(VLOOKUP(B8,ANALISI!A:O,4,FALSE),0)</f>
        <v>136</v>
      </c>
      <c r="G8" s="357">
        <f>_xlfn.IFNA(VLOOKUP(B8,'SPUNTA PER GIRO'!A:N,6,FALSE),0)</f>
        <v>94</v>
      </c>
      <c r="H8" s="357">
        <f>_xlfn.IFNA(VLOOKUP(B8,ANALISI!A:O,5,FALSE),0)</f>
        <v>2</v>
      </c>
      <c r="I8" s="357">
        <f>_xlfn.IFNA(VLOOKUP(B8,'SPUNTA PER GIRO'!A:N,8,FALSE),0)</f>
        <v>6</v>
      </c>
      <c r="J8" s="358">
        <f>_xlfn.IFNA(ROUND(VLOOKUP(B8,ANALISI!A:O,6,FALSE),2),0)</f>
        <v>13.32</v>
      </c>
      <c r="K8" s="359">
        <f>_xlfn.IFNA(VLOOKUP(B8,ANALISI!A:O,7,FALSE),0)</f>
        <v>2074</v>
      </c>
      <c r="L8" s="360">
        <f>_xlfn.IFNA(VLOOKUP(B8,ANALISI!A:O,8,FALSE),0)</f>
        <v>11</v>
      </c>
      <c r="M8" s="353">
        <f>_xlfn.IFNA(VLOOKUP(B8,'SPUNTA PER GIRO'!A:N,10,FALSE),0)</f>
        <v>10</v>
      </c>
      <c r="N8" s="361">
        <f>_xlfn.IFNA(ROUND(VLOOKUP(B8,ANALISI!A:O,9,FALSE),2),0)</f>
        <v>0.92</v>
      </c>
      <c r="O8" s="362">
        <f>_xlfn.IFNA(VLOOKUP(B8,ANALISI!A:O,10,FALSE),0)</f>
        <v>113</v>
      </c>
      <c r="P8" s="363">
        <f>_xlfn.IFNA(VLOOKUP(B8,ANALISI!A:O,11,FALSE),0)</f>
        <v>0</v>
      </c>
      <c r="Q8" s="353">
        <f>_xlfn.IFNA(VLOOKUP(B8,'SPUNTA PER GIRO'!A:N,12,FALSE),0)</f>
        <v>0</v>
      </c>
      <c r="R8" s="364">
        <f>_xlfn.IFNA(ROUND(VLOOKUP(B8,ANALISI!A:O,12,FALSE),2),0)</f>
        <v>0</v>
      </c>
      <c r="S8" s="362">
        <f>_xlfn.IFNA(VLOOKUP(B8,ANALISI!A:O,13,FALSE),0)</f>
        <v>0</v>
      </c>
      <c r="T8" s="86">
        <f t="shared" ref="T8:U8" si="0">+J8+N8+R8</f>
        <v>14.24</v>
      </c>
      <c r="U8" s="87">
        <f t="shared" si="0"/>
        <v>2187</v>
      </c>
      <c r="V8" s="168" t="str">
        <f>_xlfn.IFNA(VLOOKUP(B8,'SPUNTA PER GIRO'!A:T,20,FALSE),"")</f>
        <v/>
      </c>
      <c r="W8" s="88"/>
      <c r="X8" s="168"/>
      <c r="Y8" s="88"/>
      <c r="Z8" s="168"/>
      <c r="AA8" s="89"/>
      <c r="AB8" s="169"/>
      <c r="AC8" s="170"/>
      <c r="AD8" s="171">
        <v>1805282</v>
      </c>
      <c r="AE8" s="172"/>
      <c r="AF8" s="172"/>
    </row>
    <row r="9" spans="1:32" ht="14.25" customHeight="1" thickBot="1" x14ac:dyDescent="0.3">
      <c r="A9" s="152">
        <v>1</v>
      </c>
      <c r="B9" s="156">
        <v>14825</v>
      </c>
      <c r="C9" s="154" t="s">
        <v>31</v>
      </c>
      <c r="D9" s="155" t="s">
        <v>35</v>
      </c>
      <c r="E9" s="233" t="s">
        <v>33</v>
      </c>
      <c r="F9" s="356">
        <f>_xlfn.IFNA(VLOOKUP(B9,ANALISI!A:O,4,FALSE),0)</f>
        <v>178</v>
      </c>
      <c r="G9" s="357">
        <f>_xlfn.IFNA(VLOOKUP(B9,'SPUNTA PER GIRO'!A:N,6,FALSE),0)</f>
        <v>170</v>
      </c>
      <c r="H9" s="357">
        <f>_xlfn.IFNA(VLOOKUP(B9,ANALISI!A:O,5,FALSE),0)</f>
        <v>2</v>
      </c>
      <c r="I9" s="357">
        <f>_xlfn.IFNA(VLOOKUP(B9,'SPUNTA PER GIRO'!A:N,8,FALSE),0)</f>
        <v>10</v>
      </c>
      <c r="J9" s="358">
        <f>_xlfn.IFNA(ROUND(VLOOKUP(B9,ANALISI!A:O,6,FALSE),2),0)</f>
        <v>16.920000000000002</v>
      </c>
      <c r="K9" s="359">
        <f>_xlfn.IFNA(VLOOKUP(B9,ANALISI!A:O,7,FALSE),0)</f>
        <v>2752</v>
      </c>
      <c r="L9" s="360">
        <f>_xlfn.IFNA(VLOOKUP(B9,ANALISI!A:O,8,FALSE),0)</f>
        <v>12</v>
      </c>
      <c r="M9" s="353">
        <f>_xlfn.IFNA(VLOOKUP(B9,'SPUNTA PER GIRO'!A:N,10,FALSE),0)</f>
        <v>14</v>
      </c>
      <c r="N9" s="361">
        <f>_xlfn.IFNA(ROUND(VLOOKUP(B9,ANALISI!A:O,9,FALSE),2),0)</f>
        <v>1.24</v>
      </c>
      <c r="O9" s="362">
        <f>_xlfn.IFNA(VLOOKUP(B9,ANALISI!A:O,10,FALSE),0)</f>
        <v>147</v>
      </c>
      <c r="P9" s="363">
        <f>_xlfn.IFNA(VLOOKUP(B9,ANALISI!A:O,11,FALSE),0)</f>
        <v>0</v>
      </c>
      <c r="Q9" s="353">
        <f>_xlfn.IFNA(VLOOKUP(B9,'SPUNTA PER GIRO'!A:N,12,FALSE),0)</f>
        <v>0</v>
      </c>
      <c r="R9" s="364">
        <f>_xlfn.IFNA(ROUND(VLOOKUP(B9,ANALISI!A:O,12,FALSE),2),0)</f>
        <v>0</v>
      </c>
      <c r="S9" s="362">
        <f>_xlfn.IFNA(VLOOKUP(B9,ANALISI!A:O,13,FALSE),0)</f>
        <v>0</v>
      </c>
      <c r="T9" s="86">
        <f t="shared" ref="T9:T38" si="1">+J9+N9+R9</f>
        <v>18.16</v>
      </c>
      <c r="U9" s="87">
        <f t="shared" ref="U9:U38" si="2">+K9+O9+S9</f>
        <v>2899</v>
      </c>
      <c r="V9" s="168" t="str">
        <f>_xlfn.IFNA(VLOOKUP(B9,'SPUNTA PER GIRO'!A:T,20,FALSE),"")</f>
        <v/>
      </c>
      <c r="W9" s="88"/>
      <c r="X9" s="168"/>
      <c r="Y9" s="88"/>
      <c r="Z9" s="168"/>
      <c r="AA9" s="89"/>
      <c r="AB9" s="169"/>
      <c r="AC9" s="173"/>
      <c r="AD9" s="171">
        <v>1805282</v>
      </c>
      <c r="AE9" s="172"/>
      <c r="AF9" s="172"/>
    </row>
    <row r="10" spans="1:32" ht="14.25" customHeight="1" thickBot="1" x14ac:dyDescent="0.3">
      <c r="A10" s="152">
        <v>1</v>
      </c>
      <c r="B10" s="153">
        <v>12899</v>
      </c>
      <c r="C10" s="154" t="s">
        <v>31</v>
      </c>
      <c r="D10" s="155" t="s">
        <v>36</v>
      </c>
      <c r="E10" s="233" t="s">
        <v>37</v>
      </c>
      <c r="F10" s="356">
        <f>_xlfn.IFNA(VLOOKUP(B10,ANALISI!A:O,4,FALSE),0)</f>
        <v>54</v>
      </c>
      <c r="G10" s="357">
        <f>_xlfn.IFNA(VLOOKUP(B10,'SPUNTA PER GIRO'!A:N,6,FALSE),0)</f>
        <v>47</v>
      </c>
      <c r="H10" s="357">
        <f>_xlfn.IFNA(VLOOKUP(B10,ANALISI!A:O,5,FALSE),0)</f>
        <v>0</v>
      </c>
      <c r="I10" s="357">
        <f>_xlfn.IFNA(VLOOKUP(B10,'SPUNTA PER GIRO'!A:N,8,FALSE),0)</f>
        <v>3</v>
      </c>
      <c r="J10" s="358">
        <f>_xlfn.IFNA(ROUND(VLOOKUP(B10,ANALISI!A:O,6,FALSE),2),0)</f>
        <v>5.1100000000000003</v>
      </c>
      <c r="K10" s="359">
        <f>_xlfn.IFNA(VLOOKUP(B10,ANALISI!A:O,7,FALSE),0)</f>
        <v>795</v>
      </c>
      <c r="L10" s="360">
        <f>_xlfn.IFNA(VLOOKUP(B10,ANALISI!A:O,8,FALSE),0)</f>
        <v>4</v>
      </c>
      <c r="M10" s="353">
        <f>_xlfn.IFNA(VLOOKUP(B10,'SPUNTA PER GIRO'!A:N,10,FALSE),0)</f>
        <v>7</v>
      </c>
      <c r="N10" s="361">
        <f>_xlfn.IFNA(ROUND(VLOOKUP(B10,ANALISI!A:O,9,FALSE),2),0)</f>
        <v>0.35</v>
      </c>
      <c r="O10" s="362">
        <f>_xlfn.IFNA(VLOOKUP(B10,ANALISI!A:O,10,FALSE),0)</f>
        <v>40</v>
      </c>
      <c r="P10" s="363">
        <f>_xlfn.IFNA(VLOOKUP(B10,ANALISI!A:O,11,FALSE),0)</f>
        <v>0</v>
      </c>
      <c r="Q10" s="353">
        <f>_xlfn.IFNA(VLOOKUP(B10,'SPUNTA PER GIRO'!A:N,12,FALSE),0)</f>
        <v>0</v>
      </c>
      <c r="R10" s="364">
        <f>_xlfn.IFNA(ROUND(VLOOKUP(B10,ANALISI!A:O,12,FALSE),2),0)</f>
        <v>0</v>
      </c>
      <c r="S10" s="362">
        <f>_xlfn.IFNA(VLOOKUP(B10,ANALISI!A:O,13,FALSE),0)</f>
        <v>0</v>
      </c>
      <c r="T10" s="86">
        <f t="shared" si="1"/>
        <v>5.46</v>
      </c>
      <c r="U10" s="87">
        <f t="shared" si="2"/>
        <v>835</v>
      </c>
      <c r="V10" s="168" t="str">
        <f>_xlfn.IFNA(VLOOKUP(B10,'SPUNTA PER GIRO'!A:T,20,FALSE),"")</f>
        <v/>
      </c>
      <c r="W10" s="88"/>
      <c r="X10" s="168"/>
      <c r="Y10" s="88"/>
      <c r="Z10" s="168"/>
      <c r="AA10" s="89"/>
      <c r="AB10" s="169"/>
      <c r="AC10" s="173"/>
      <c r="AD10" s="171">
        <v>1805282</v>
      </c>
      <c r="AE10" s="172"/>
      <c r="AF10" s="172"/>
    </row>
    <row r="11" spans="1:32" ht="14.25" customHeight="1" thickBot="1" x14ac:dyDescent="0.3">
      <c r="A11" s="152">
        <v>1</v>
      </c>
      <c r="B11" s="153">
        <v>8428</v>
      </c>
      <c r="C11" s="154" t="s">
        <v>31</v>
      </c>
      <c r="D11" s="155" t="s">
        <v>38</v>
      </c>
      <c r="E11" s="233" t="s">
        <v>33</v>
      </c>
      <c r="F11" s="356">
        <f>_xlfn.IFNA(VLOOKUP(B11,ANALISI!A:O,4,FALSE),0)</f>
        <v>154</v>
      </c>
      <c r="G11" s="357">
        <f>_xlfn.IFNA(VLOOKUP(B11,'SPUNTA PER GIRO'!A:N,6,FALSE),0)</f>
        <v>130</v>
      </c>
      <c r="H11" s="357">
        <f>_xlfn.IFNA(VLOOKUP(B11,ANALISI!A:O,5,FALSE),0)</f>
        <v>0</v>
      </c>
      <c r="I11" s="357">
        <f>_xlfn.IFNA(VLOOKUP(B11,'SPUNTA PER GIRO'!A:N,8,FALSE),0)</f>
        <v>2</v>
      </c>
      <c r="J11" s="358">
        <f>_xlfn.IFNA(ROUND(VLOOKUP(B11,ANALISI!A:O,6,FALSE),2),0)</f>
        <v>14.45</v>
      </c>
      <c r="K11" s="359">
        <f>_xlfn.IFNA(VLOOKUP(B11,ANALISI!A:O,7,FALSE),0)</f>
        <v>2229</v>
      </c>
      <c r="L11" s="360">
        <f>_xlfn.IFNA(VLOOKUP(B11,ANALISI!A:O,8,FALSE),0)</f>
        <v>7</v>
      </c>
      <c r="M11" s="353">
        <f>_xlfn.IFNA(VLOOKUP(B11,'SPUNTA PER GIRO'!A:N,10,FALSE),0)</f>
        <v>14</v>
      </c>
      <c r="N11" s="361">
        <f>_xlfn.IFNA(ROUND(VLOOKUP(B11,ANALISI!A:O,9,FALSE),2),0)</f>
        <v>0.7</v>
      </c>
      <c r="O11" s="362">
        <f>_xlfn.IFNA(VLOOKUP(B11,ANALISI!A:O,10,FALSE),0)</f>
        <v>92</v>
      </c>
      <c r="P11" s="363">
        <f>_xlfn.IFNA(VLOOKUP(B11,ANALISI!A:O,11,FALSE),0)</f>
        <v>0</v>
      </c>
      <c r="Q11" s="353">
        <f>_xlfn.IFNA(VLOOKUP(B11,'SPUNTA PER GIRO'!A:N,12,FALSE),0)</f>
        <v>0</v>
      </c>
      <c r="R11" s="364">
        <f>_xlfn.IFNA(ROUND(VLOOKUP(B11,ANALISI!A:O,12,FALSE),2),0)</f>
        <v>0</v>
      </c>
      <c r="S11" s="362">
        <f>_xlfn.IFNA(VLOOKUP(B11,ANALISI!A:O,13,FALSE),0)</f>
        <v>0</v>
      </c>
      <c r="T11" s="86">
        <f t="shared" si="1"/>
        <v>15.149999999999999</v>
      </c>
      <c r="U11" s="87">
        <f t="shared" si="2"/>
        <v>2321</v>
      </c>
      <c r="V11" s="168" t="str">
        <f>_xlfn.IFNA(VLOOKUP(B11,'SPUNTA PER GIRO'!A:T,20,FALSE),"")</f>
        <v/>
      </c>
      <c r="W11" s="88"/>
      <c r="X11" s="168"/>
      <c r="Y11" s="88"/>
      <c r="Z11" s="168"/>
      <c r="AA11" s="89"/>
      <c r="AB11" s="169"/>
      <c r="AC11" s="173"/>
      <c r="AD11" s="171">
        <v>1805282</v>
      </c>
      <c r="AE11" s="172"/>
      <c r="AF11" s="172"/>
    </row>
    <row r="12" spans="1:32" ht="14.25" customHeight="1" thickBot="1" x14ac:dyDescent="0.3">
      <c r="A12" s="152">
        <v>1</v>
      </c>
      <c r="B12" s="153">
        <v>8453</v>
      </c>
      <c r="C12" s="154" t="s">
        <v>31</v>
      </c>
      <c r="D12" s="155" t="s">
        <v>39</v>
      </c>
      <c r="E12" s="233" t="s">
        <v>33</v>
      </c>
      <c r="F12" s="356">
        <f>_xlfn.IFNA(VLOOKUP(B12,ANALISI!A:O,4,FALSE),0)</f>
        <v>59</v>
      </c>
      <c r="G12" s="357">
        <f>_xlfn.IFNA(VLOOKUP(B12,'SPUNTA PER GIRO'!A:N,6,FALSE),0)</f>
        <v>58</v>
      </c>
      <c r="H12" s="357">
        <f>_xlfn.IFNA(VLOOKUP(B12,ANALISI!A:O,5,FALSE),0)</f>
        <v>0</v>
      </c>
      <c r="I12" s="357">
        <f>_xlfn.IFNA(VLOOKUP(B12,'SPUNTA PER GIRO'!A:N,8,FALSE),0)</f>
        <v>8</v>
      </c>
      <c r="J12" s="358">
        <f>_xlfn.IFNA(ROUND(VLOOKUP(B12,ANALISI!A:O,6,FALSE),2),0)</f>
        <v>5.98</v>
      </c>
      <c r="K12" s="359">
        <f>_xlfn.IFNA(VLOOKUP(B12,ANALISI!A:O,7,FALSE),0)</f>
        <v>857</v>
      </c>
      <c r="L12" s="360">
        <f>_xlfn.IFNA(VLOOKUP(B12,ANALISI!A:O,8,FALSE),0)</f>
        <v>4</v>
      </c>
      <c r="M12" s="353">
        <f>_xlfn.IFNA(VLOOKUP(B12,'SPUNTA PER GIRO'!A:N,10,FALSE),0)</f>
        <v>6</v>
      </c>
      <c r="N12" s="361">
        <f>_xlfn.IFNA(ROUND(VLOOKUP(B12,ANALISI!A:O,9,FALSE),2),0)</f>
        <v>0.35</v>
      </c>
      <c r="O12" s="362">
        <f>_xlfn.IFNA(VLOOKUP(B12,ANALISI!A:O,10,FALSE),0)</f>
        <v>44</v>
      </c>
      <c r="P12" s="363">
        <f>_xlfn.IFNA(VLOOKUP(B12,ANALISI!A:O,11,FALSE),0)</f>
        <v>3</v>
      </c>
      <c r="Q12" s="353">
        <f>_xlfn.IFNA(VLOOKUP(B12,'SPUNTA PER GIRO'!A:N,12,FALSE),0)</f>
        <v>3</v>
      </c>
      <c r="R12" s="364">
        <f>_xlfn.IFNA(ROUND(VLOOKUP(B12,ANALISI!A:O,12,FALSE),2),0)</f>
        <v>0.33</v>
      </c>
      <c r="S12" s="362">
        <f>_xlfn.IFNA(VLOOKUP(B12,ANALISI!A:O,13,FALSE),0)</f>
        <v>14</v>
      </c>
      <c r="T12" s="86">
        <f t="shared" si="1"/>
        <v>6.66</v>
      </c>
      <c r="U12" s="87">
        <f t="shared" si="2"/>
        <v>915</v>
      </c>
      <c r="V12" s="168" t="str">
        <f>_xlfn.IFNA(VLOOKUP(B12,'SPUNTA PER GIRO'!A:T,20,FALSE),"")</f>
        <v/>
      </c>
      <c r="W12" s="88"/>
      <c r="X12" s="168"/>
      <c r="Y12" s="88"/>
      <c r="Z12" s="168"/>
      <c r="AA12" s="89"/>
      <c r="AB12" s="169"/>
      <c r="AC12" s="173"/>
      <c r="AD12" s="171">
        <v>1805282</v>
      </c>
      <c r="AE12" s="172"/>
      <c r="AF12" s="172"/>
    </row>
    <row r="13" spans="1:32" ht="14.25" customHeight="1" thickBot="1" x14ac:dyDescent="0.3">
      <c r="A13" s="152">
        <v>1</v>
      </c>
      <c r="B13" s="242">
        <v>16037</v>
      </c>
      <c r="C13" s="154" t="s">
        <v>31</v>
      </c>
      <c r="D13" s="155" t="s">
        <v>40</v>
      </c>
      <c r="E13" s="233" t="s">
        <v>37</v>
      </c>
      <c r="F13" s="356">
        <f>_xlfn.IFNA(VLOOKUP(B13,ANALISI!A:O,4,FALSE),0)</f>
        <v>83</v>
      </c>
      <c r="G13" s="357">
        <f>_xlfn.IFNA(VLOOKUP(B13,'SPUNTA PER GIRO'!A:N,6,FALSE),0)</f>
        <v>70</v>
      </c>
      <c r="H13" s="357">
        <f>_xlfn.IFNA(VLOOKUP(B13,ANALISI!A:O,5,FALSE),0)</f>
        <v>0</v>
      </c>
      <c r="I13" s="357">
        <f>_xlfn.IFNA(VLOOKUP(B13,'SPUNTA PER GIRO'!A:N,8,FALSE),0)</f>
        <v>0</v>
      </c>
      <c r="J13" s="358">
        <f>_xlfn.IFNA(ROUND(VLOOKUP(B13,ANALISI!A:O,6,FALSE),2),0)</f>
        <v>7.81</v>
      </c>
      <c r="K13" s="359">
        <f>_xlfn.IFNA(VLOOKUP(B13,ANALISI!A:O,7,FALSE),0)</f>
        <v>1300</v>
      </c>
      <c r="L13" s="360">
        <f>_xlfn.IFNA(VLOOKUP(B13,ANALISI!A:O,8,FALSE),0)</f>
        <v>5</v>
      </c>
      <c r="M13" s="353">
        <f>_xlfn.IFNA(VLOOKUP(B13,'SPUNTA PER GIRO'!A:N,10,FALSE),0)</f>
        <v>6</v>
      </c>
      <c r="N13" s="361">
        <f>_xlfn.IFNA(ROUND(VLOOKUP(B13,ANALISI!A:O,9,FALSE),2),0)</f>
        <v>0.49</v>
      </c>
      <c r="O13" s="362">
        <f>_xlfn.IFNA(VLOOKUP(B13,ANALISI!A:O,10,FALSE),0)</f>
        <v>50</v>
      </c>
      <c r="P13" s="363">
        <f>_xlfn.IFNA(VLOOKUP(B13,ANALISI!A:O,11,FALSE),0)</f>
        <v>3</v>
      </c>
      <c r="Q13" s="353">
        <f>_xlfn.IFNA(VLOOKUP(B13,'SPUNTA PER GIRO'!A:N,12,FALSE),0)</f>
        <v>3</v>
      </c>
      <c r="R13" s="364">
        <f>_xlfn.IFNA(ROUND(VLOOKUP(B13,ANALISI!A:O,12,FALSE),2),0)</f>
        <v>0.33</v>
      </c>
      <c r="S13" s="362">
        <f>_xlfn.IFNA(VLOOKUP(B13,ANALISI!A:O,13,FALSE),0)</f>
        <v>18</v>
      </c>
      <c r="T13" s="86">
        <f t="shared" si="1"/>
        <v>8.629999999999999</v>
      </c>
      <c r="U13" s="87">
        <f t="shared" si="2"/>
        <v>1368</v>
      </c>
      <c r="V13" s="168" t="str">
        <f>_xlfn.IFNA(VLOOKUP(B13,'SPUNTA PER GIRO'!A:T,20,FALSE),"")</f>
        <v/>
      </c>
      <c r="W13" s="88"/>
      <c r="X13" s="168"/>
      <c r="Y13" s="88"/>
      <c r="Z13" s="168"/>
      <c r="AA13" s="89"/>
      <c r="AB13" s="169"/>
      <c r="AC13" s="173"/>
      <c r="AD13" s="171">
        <v>1805282</v>
      </c>
      <c r="AE13" s="172"/>
      <c r="AF13" s="172"/>
    </row>
    <row r="14" spans="1:32" ht="14.25" customHeight="1" thickBot="1" x14ac:dyDescent="0.3">
      <c r="A14" s="152">
        <v>1</v>
      </c>
      <c r="B14" s="153">
        <v>11796</v>
      </c>
      <c r="C14" s="154" t="s">
        <v>31</v>
      </c>
      <c r="D14" s="155" t="s">
        <v>42</v>
      </c>
      <c r="E14" s="233" t="s">
        <v>37</v>
      </c>
      <c r="F14" s="356">
        <f>_xlfn.IFNA(VLOOKUP(B14,ANALISI!A:O,4,FALSE),0)</f>
        <v>42</v>
      </c>
      <c r="G14" s="357">
        <f>_xlfn.IFNA(VLOOKUP(B14,'SPUNTA PER GIRO'!A:N,6,FALSE),0)</f>
        <v>29</v>
      </c>
      <c r="H14" s="357">
        <f>_xlfn.IFNA(VLOOKUP(B14,ANALISI!A:O,5,FALSE),0)</f>
        <v>0</v>
      </c>
      <c r="I14" s="357">
        <f>_xlfn.IFNA(VLOOKUP(B14,'SPUNTA PER GIRO'!A:N,8,FALSE),0)</f>
        <v>0</v>
      </c>
      <c r="J14" s="358">
        <f>_xlfn.IFNA(ROUND(VLOOKUP(B14,ANALISI!A:O,6,FALSE),2),0)</f>
        <v>4.1100000000000003</v>
      </c>
      <c r="K14" s="359">
        <f>_xlfn.IFNA(VLOOKUP(B14,ANALISI!A:O,7,FALSE),0)</f>
        <v>589</v>
      </c>
      <c r="L14" s="360">
        <f>_xlfn.IFNA(VLOOKUP(B14,ANALISI!A:O,8,FALSE),0)</f>
        <v>2</v>
      </c>
      <c r="M14" s="353">
        <f>_xlfn.IFNA(VLOOKUP(B14,'SPUNTA PER GIRO'!A:N,10,FALSE),0)</f>
        <v>4</v>
      </c>
      <c r="N14" s="361">
        <f>_xlfn.IFNA(ROUND(VLOOKUP(B14,ANALISI!A:O,9,FALSE),2),0)</f>
        <v>0.22</v>
      </c>
      <c r="O14" s="362">
        <f>_xlfn.IFNA(VLOOKUP(B14,ANALISI!A:O,10,FALSE),0)</f>
        <v>27</v>
      </c>
      <c r="P14" s="363">
        <f>_xlfn.IFNA(VLOOKUP(B14,ANALISI!A:O,11,FALSE),0)</f>
        <v>2</v>
      </c>
      <c r="Q14" s="353">
        <f>_xlfn.IFNA(VLOOKUP(B14,'SPUNTA PER GIRO'!A:N,12,FALSE),0)</f>
        <v>2</v>
      </c>
      <c r="R14" s="364">
        <f>_xlfn.IFNA(ROUND(VLOOKUP(B14,ANALISI!A:O,12,FALSE),2),0)</f>
        <v>0.22</v>
      </c>
      <c r="S14" s="362">
        <f>_xlfn.IFNA(VLOOKUP(B14,ANALISI!A:O,13,FALSE),0)</f>
        <v>10</v>
      </c>
      <c r="T14" s="86">
        <f t="shared" si="1"/>
        <v>4.55</v>
      </c>
      <c r="U14" s="87">
        <f t="shared" si="2"/>
        <v>626</v>
      </c>
      <c r="V14" s="168"/>
      <c r="W14" s="88"/>
      <c r="X14" s="168"/>
      <c r="Y14" s="88"/>
      <c r="Z14" s="168"/>
      <c r="AA14" s="89"/>
      <c r="AB14" s="169"/>
      <c r="AC14" s="173"/>
      <c r="AD14" s="171">
        <v>1805282</v>
      </c>
      <c r="AE14" s="172"/>
      <c r="AF14" s="172"/>
    </row>
    <row r="15" spans="1:32" ht="14.25" customHeight="1" thickBot="1" x14ac:dyDescent="0.3">
      <c r="A15" s="152">
        <v>1</v>
      </c>
      <c r="B15" s="286">
        <v>16351</v>
      </c>
      <c r="C15" s="287" t="s">
        <v>31</v>
      </c>
      <c r="D15" s="288" t="s">
        <v>43</v>
      </c>
      <c r="E15" s="233" t="s">
        <v>37</v>
      </c>
      <c r="F15" s="356">
        <f>_xlfn.IFNA(VLOOKUP(B15,ANALISI!A:O,4,FALSE),0)</f>
        <v>137</v>
      </c>
      <c r="G15" s="357">
        <f>_xlfn.IFNA(VLOOKUP(B15,'SPUNTA PER GIRO'!A:N,6,FALSE),0)</f>
        <v>94</v>
      </c>
      <c r="H15" s="357">
        <f>_xlfn.IFNA(VLOOKUP(B15,ANALISI!A:O,5,FALSE),0)</f>
        <v>0</v>
      </c>
      <c r="I15" s="357">
        <f>_xlfn.IFNA(VLOOKUP(B15,'SPUNTA PER GIRO'!A:N,8,FALSE),0)</f>
        <v>7</v>
      </c>
      <c r="J15" s="358">
        <f>_xlfn.IFNA(ROUND(VLOOKUP(B15,ANALISI!A:O,6,FALSE),2),0)</f>
        <v>13.44</v>
      </c>
      <c r="K15" s="359">
        <f>_xlfn.IFNA(VLOOKUP(B15,ANALISI!A:O,7,FALSE),0)</f>
        <v>2101</v>
      </c>
      <c r="L15" s="360">
        <f>_xlfn.IFNA(VLOOKUP(B15,ANALISI!A:O,8,FALSE),0)</f>
        <v>9</v>
      </c>
      <c r="M15" s="353">
        <f>_xlfn.IFNA(VLOOKUP(B15,'SPUNTA PER GIRO'!A:N,10,FALSE),0)</f>
        <v>12</v>
      </c>
      <c r="N15" s="361">
        <f>_xlfn.IFNA(ROUND(VLOOKUP(B15,ANALISI!A:O,9,FALSE),2),0)</f>
        <v>0.81</v>
      </c>
      <c r="O15" s="362">
        <f>_xlfn.IFNA(VLOOKUP(B15,ANALISI!A:O,10,FALSE),0)</f>
        <v>100</v>
      </c>
      <c r="P15" s="363">
        <f>_xlfn.IFNA(VLOOKUP(B15,ANALISI!A:O,11,FALSE),0)</f>
        <v>1</v>
      </c>
      <c r="Q15" s="353">
        <f>_xlfn.IFNA(VLOOKUP(B15,'SPUNTA PER GIRO'!A:N,12,FALSE),0)</f>
        <v>2</v>
      </c>
      <c r="R15" s="364">
        <f>_xlfn.IFNA(ROUND(VLOOKUP(B15,ANALISI!A:O,12,FALSE),2),0)</f>
        <v>0.11</v>
      </c>
      <c r="S15" s="362">
        <f>_xlfn.IFNA(VLOOKUP(B15,ANALISI!A:O,13,FALSE),0)</f>
        <v>7</v>
      </c>
      <c r="T15" s="86">
        <f t="shared" si="1"/>
        <v>14.36</v>
      </c>
      <c r="U15" s="87">
        <f t="shared" si="2"/>
        <v>2208</v>
      </c>
      <c r="V15" s="168" t="str">
        <f>_xlfn.IFNA(VLOOKUP(B15,'SPUNTA PER GIRO'!A:T,20,FALSE),"")</f>
        <v/>
      </c>
      <c r="W15" s="88"/>
      <c r="X15" s="168"/>
      <c r="Y15" s="88"/>
      <c r="Z15" s="168"/>
      <c r="AA15" s="89"/>
      <c r="AB15" s="169"/>
      <c r="AC15" s="173"/>
      <c r="AD15" s="171">
        <v>1805282</v>
      </c>
      <c r="AE15" s="172"/>
      <c r="AF15" s="172"/>
    </row>
    <row r="16" spans="1:32" ht="14.25" customHeight="1" thickBot="1" x14ac:dyDescent="0.3">
      <c r="A16" s="152">
        <v>1</v>
      </c>
      <c r="B16" s="153">
        <v>14010</v>
      </c>
      <c r="C16" s="154" t="s">
        <v>31</v>
      </c>
      <c r="D16" s="155" t="s">
        <v>46</v>
      </c>
      <c r="E16" s="233" t="s">
        <v>33</v>
      </c>
      <c r="F16" s="356">
        <f>_xlfn.IFNA(VLOOKUP(B16,ANALISI!A:O,4,FALSE),0)</f>
        <v>206</v>
      </c>
      <c r="G16" s="357">
        <f>_xlfn.IFNA(VLOOKUP(B16,'SPUNTA PER GIRO'!A:N,6,FALSE),0)</f>
        <v>139</v>
      </c>
      <c r="H16" s="357">
        <f>_xlfn.IFNA(VLOOKUP(B16,ANALISI!A:O,5,FALSE),0)</f>
        <v>0</v>
      </c>
      <c r="I16" s="357">
        <f>_xlfn.IFNA(VLOOKUP(B16,'SPUNTA PER GIRO'!A:N,8,FALSE),0)</f>
        <v>10</v>
      </c>
      <c r="J16" s="358">
        <f>_xlfn.IFNA(ROUND(VLOOKUP(B16,ANALISI!A:O,6,FALSE),2),0)</f>
        <v>19.739999999999998</v>
      </c>
      <c r="K16" s="359">
        <f>_xlfn.IFNA(VLOOKUP(B16,ANALISI!A:O,7,FALSE),0)</f>
        <v>3194</v>
      </c>
      <c r="L16" s="360">
        <f>_xlfn.IFNA(VLOOKUP(B16,ANALISI!A:O,8,FALSE),0)</f>
        <v>7</v>
      </c>
      <c r="M16" s="353">
        <f>_xlfn.IFNA(VLOOKUP(B16,'SPUNTA PER GIRO'!A:N,10,FALSE),0)</f>
        <v>12</v>
      </c>
      <c r="N16" s="361">
        <f>_xlfn.IFNA(ROUND(VLOOKUP(B16,ANALISI!A:O,9,FALSE),2),0)</f>
        <v>0.7</v>
      </c>
      <c r="O16" s="362">
        <f>_xlfn.IFNA(VLOOKUP(B16,ANALISI!A:O,10,FALSE),0)</f>
        <v>87</v>
      </c>
      <c r="P16" s="363">
        <f>_xlfn.IFNA(VLOOKUP(B16,ANALISI!A:O,11,FALSE),0)</f>
        <v>0</v>
      </c>
      <c r="Q16" s="353">
        <f>_xlfn.IFNA(VLOOKUP(B16,'SPUNTA PER GIRO'!A:N,12,FALSE),0)</f>
        <v>0</v>
      </c>
      <c r="R16" s="364">
        <f>_xlfn.IFNA(ROUND(VLOOKUP(B16,ANALISI!A:O,12,FALSE),2),0)</f>
        <v>0</v>
      </c>
      <c r="S16" s="362">
        <f>_xlfn.IFNA(VLOOKUP(B16,ANALISI!A:O,13,FALSE),0)</f>
        <v>0</v>
      </c>
      <c r="T16" s="86">
        <f t="shared" si="1"/>
        <v>20.439999999999998</v>
      </c>
      <c r="U16" s="87">
        <f t="shared" si="2"/>
        <v>3281</v>
      </c>
      <c r="V16" s="168" t="str">
        <f>_xlfn.IFNA(VLOOKUP(B16,'SPUNTA PER GIRO'!A:T,20,FALSE),"")</f>
        <v/>
      </c>
      <c r="W16" s="88"/>
      <c r="X16" s="168"/>
      <c r="Y16" s="88"/>
      <c r="Z16" s="168"/>
      <c r="AA16" s="89"/>
      <c r="AB16" s="169"/>
      <c r="AC16" s="173"/>
      <c r="AD16" s="171">
        <v>1805282</v>
      </c>
      <c r="AE16" s="172"/>
      <c r="AF16" s="172"/>
    </row>
    <row r="17" spans="1:32" ht="14.25" customHeight="1" thickBot="1" x14ac:dyDescent="0.3">
      <c r="A17" s="152">
        <v>1</v>
      </c>
      <c r="B17" s="153">
        <v>4518</v>
      </c>
      <c r="C17" s="154" t="s">
        <v>44</v>
      </c>
      <c r="D17" s="155" t="s">
        <v>38</v>
      </c>
      <c r="E17" s="233" t="s">
        <v>33</v>
      </c>
      <c r="F17" s="356">
        <f>_xlfn.IFNA(VLOOKUP(B17,ANALISI!A:O,4,FALSE),0)</f>
        <v>23</v>
      </c>
      <c r="G17" s="357">
        <f>_xlfn.IFNA(VLOOKUP(B17,'SPUNTA PER GIRO'!A:N,6,FALSE),0)</f>
        <v>35</v>
      </c>
      <c r="H17" s="357">
        <f>_xlfn.IFNA(VLOOKUP(B17,ANALISI!A:O,5,FALSE),0)</f>
        <v>0</v>
      </c>
      <c r="I17" s="357">
        <f>_xlfn.IFNA(VLOOKUP(B17,'SPUNTA PER GIRO'!A:N,8,FALSE),0)</f>
        <v>14</v>
      </c>
      <c r="J17" s="358">
        <f>_xlfn.IFNA(ROUND(VLOOKUP(B17,ANALISI!A:O,6,FALSE),2),0)</f>
        <v>2.39</v>
      </c>
      <c r="K17" s="359">
        <f>_xlfn.IFNA(VLOOKUP(B17,ANALISI!A:O,7,FALSE),0)</f>
        <v>292</v>
      </c>
      <c r="L17" s="360">
        <f>_xlfn.IFNA(VLOOKUP(B17,ANALISI!A:O,8,FALSE),0)</f>
        <v>5</v>
      </c>
      <c r="M17" s="353">
        <f>_xlfn.IFNA(VLOOKUP(B17,'SPUNTA PER GIRO'!A:N,10,FALSE),0)</f>
        <v>3</v>
      </c>
      <c r="N17" s="361">
        <f>_xlfn.IFNA(ROUND(VLOOKUP(B17,ANALISI!A:O,9,FALSE),2),0)</f>
        <v>0.54</v>
      </c>
      <c r="O17" s="362">
        <f>_xlfn.IFNA(VLOOKUP(B17,ANALISI!A:O,10,FALSE),0)</f>
        <v>55</v>
      </c>
      <c r="P17" s="363">
        <f>_xlfn.IFNA(VLOOKUP(B17,ANALISI!A:O,11,FALSE),0)</f>
        <v>0</v>
      </c>
      <c r="Q17" s="353">
        <f>_xlfn.IFNA(VLOOKUP(B17,'SPUNTA PER GIRO'!A:N,12,FALSE),0)</f>
        <v>0</v>
      </c>
      <c r="R17" s="364">
        <f>_xlfn.IFNA(ROUND(VLOOKUP(B17,ANALISI!A:O,12,FALSE),2),0)</f>
        <v>0</v>
      </c>
      <c r="S17" s="362">
        <f>_xlfn.IFNA(VLOOKUP(B17,ANALISI!A:O,13,FALSE),0)</f>
        <v>0</v>
      </c>
      <c r="T17" s="86">
        <f t="shared" si="1"/>
        <v>2.93</v>
      </c>
      <c r="U17" s="87">
        <f t="shared" si="2"/>
        <v>347</v>
      </c>
      <c r="V17" s="168" t="str">
        <f>_xlfn.IFNA(VLOOKUP(B17,'SPUNTA PER GIRO'!A:T,20,FALSE),"")</f>
        <v/>
      </c>
      <c r="W17" s="88"/>
      <c r="X17" s="168"/>
      <c r="Y17" s="88"/>
      <c r="Z17" s="168"/>
      <c r="AA17" s="89"/>
      <c r="AB17" s="169"/>
      <c r="AC17" s="173"/>
      <c r="AD17" s="171">
        <v>1805282</v>
      </c>
      <c r="AE17" s="172"/>
      <c r="AF17" s="172"/>
    </row>
    <row r="18" spans="1:32" ht="14.25" customHeight="1" thickBot="1" x14ac:dyDescent="0.3">
      <c r="A18" s="152">
        <v>1</v>
      </c>
      <c r="B18" s="153">
        <v>2435</v>
      </c>
      <c r="C18" s="154" t="s">
        <v>45</v>
      </c>
      <c r="D18" s="155" t="s">
        <v>35</v>
      </c>
      <c r="E18" s="233" t="s">
        <v>33</v>
      </c>
      <c r="F18" s="356">
        <f>_xlfn.IFNA(VLOOKUP(B18,ANALISI!A:O,4,FALSE),0)</f>
        <v>26</v>
      </c>
      <c r="G18" s="357">
        <f>_xlfn.IFNA(VLOOKUP(B18,'SPUNTA PER GIRO'!A:N,6,FALSE),0)</f>
        <v>20</v>
      </c>
      <c r="H18" s="357">
        <f>_xlfn.IFNA(VLOOKUP(B18,ANALISI!A:O,5,FALSE),0)</f>
        <v>0</v>
      </c>
      <c r="I18" s="357">
        <f>_xlfn.IFNA(VLOOKUP(B18,'SPUNTA PER GIRO'!A:N,8,FALSE),0)</f>
        <v>0</v>
      </c>
      <c r="J18" s="358">
        <f>_xlfn.IFNA(ROUND(VLOOKUP(B18,ANALISI!A:O,6,FALSE),2),0)</f>
        <v>2.2400000000000002</v>
      </c>
      <c r="K18" s="359">
        <f>_xlfn.IFNA(VLOOKUP(B18,ANALISI!A:O,7,FALSE),0)</f>
        <v>319</v>
      </c>
      <c r="L18" s="360">
        <f>_xlfn.IFNA(VLOOKUP(B18,ANALISI!A:O,8,FALSE),0)</f>
        <v>2</v>
      </c>
      <c r="M18" s="353">
        <f>_xlfn.IFNA(VLOOKUP(B18,'SPUNTA PER GIRO'!A:N,10,FALSE),0)</f>
        <v>0</v>
      </c>
      <c r="N18" s="361">
        <f>_xlfn.IFNA(ROUND(VLOOKUP(B18,ANALISI!A:O,9,FALSE),2),0)</f>
        <v>0.22</v>
      </c>
      <c r="O18" s="362">
        <f>_xlfn.IFNA(VLOOKUP(B18,ANALISI!A:O,10,FALSE),0)</f>
        <v>22</v>
      </c>
      <c r="P18" s="363">
        <f>_xlfn.IFNA(VLOOKUP(B18,ANALISI!A:O,11,FALSE),0)</f>
        <v>1</v>
      </c>
      <c r="Q18" s="353">
        <f>_xlfn.IFNA(VLOOKUP(B18,'SPUNTA PER GIRO'!A:N,12,FALSE),0)</f>
        <v>1</v>
      </c>
      <c r="R18" s="364">
        <f>_xlfn.IFNA(ROUND(VLOOKUP(B18,ANALISI!A:O,12,FALSE),2),0)</f>
        <v>0.1</v>
      </c>
      <c r="S18" s="362">
        <f>_xlfn.IFNA(VLOOKUP(B18,ANALISI!A:O,13,FALSE),0)</f>
        <v>5</v>
      </c>
      <c r="T18" s="86">
        <f t="shared" si="1"/>
        <v>2.5600000000000005</v>
      </c>
      <c r="U18" s="87">
        <f t="shared" si="2"/>
        <v>346</v>
      </c>
      <c r="V18" s="168" t="str">
        <f>_xlfn.IFNA(VLOOKUP(B18,'SPUNTA PER GIRO'!A:T,20,FALSE),"")</f>
        <v/>
      </c>
      <c r="W18" s="88"/>
      <c r="X18" s="168"/>
      <c r="Y18" s="88"/>
      <c r="Z18" s="168"/>
      <c r="AA18" s="89"/>
      <c r="AB18" s="169"/>
      <c r="AC18" s="173"/>
      <c r="AD18" s="171">
        <v>1805282</v>
      </c>
      <c r="AE18" s="172"/>
      <c r="AF18" s="172"/>
    </row>
    <row r="19" spans="1:32" ht="14.25" customHeight="1" thickBot="1" x14ac:dyDescent="0.3">
      <c r="A19" s="152">
        <v>1</v>
      </c>
      <c r="B19" s="153">
        <v>2414</v>
      </c>
      <c r="C19" s="154" t="s">
        <v>45</v>
      </c>
      <c r="D19" s="155" t="s">
        <v>38</v>
      </c>
      <c r="E19" s="233" t="s">
        <v>33</v>
      </c>
      <c r="F19" s="356">
        <f>_xlfn.IFNA(VLOOKUP(B19,ANALISI!A:O,4,FALSE),0)</f>
        <v>27</v>
      </c>
      <c r="G19" s="357">
        <f>_xlfn.IFNA(VLOOKUP(B19,'SPUNTA PER GIRO'!A:N,6,FALSE),0)</f>
        <v>12</v>
      </c>
      <c r="H19" s="357">
        <f>_xlfn.IFNA(VLOOKUP(B19,ANALISI!A:O,5,FALSE),0)</f>
        <v>0</v>
      </c>
      <c r="I19" s="357">
        <f>_xlfn.IFNA(VLOOKUP(B19,'SPUNTA PER GIRO'!A:N,8,FALSE),0)</f>
        <v>4</v>
      </c>
      <c r="J19" s="358">
        <f>_xlfn.IFNA(ROUND(VLOOKUP(B19,ANALISI!A:O,6,FALSE),2),0)</f>
        <v>2.33</v>
      </c>
      <c r="K19" s="359">
        <f>_xlfn.IFNA(VLOOKUP(B19,ANALISI!A:O,7,FALSE),0)</f>
        <v>335</v>
      </c>
      <c r="L19" s="360">
        <f>_xlfn.IFNA(VLOOKUP(B19,ANALISI!A:O,8,FALSE),0)</f>
        <v>2</v>
      </c>
      <c r="M19" s="353">
        <f>_xlfn.IFNA(VLOOKUP(B19,'SPUNTA PER GIRO'!A:N,10,FALSE),0)</f>
        <v>0</v>
      </c>
      <c r="N19" s="361">
        <f>_xlfn.IFNA(ROUND(VLOOKUP(B19,ANALISI!A:O,9,FALSE),2),0)</f>
        <v>0.22</v>
      </c>
      <c r="O19" s="362">
        <f>_xlfn.IFNA(VLOOKUP(B19,ANALISI!A:O,10,FALSE),0)</f>
        <v>15</v>
      </c>
      <c r="P19" s="363">
        <f>_xlfn.IFNA(VLOOKUP(B19,ANALISI!A:O,11,FALSE),0)</f>
        <v>1</v>
      </c>
      <c r="Q19" s="353">
        <f>_xlfn.IFNA(VLOOKUP(B19,'SPUNTA PER GIRO'!A:N,12,FALSE),0)</f>
        <v>1</v>
      </c>
      <c r="R19" s="364">
        <f>_xlfn.IFNA(ROUND(VLOOKUP(B19,ANALISI!A:O,12,FALSE),2),0)</f>
        <v>0.1</v>
      </c>
      <c r="S19" s="362">
        <f>_xlfn.IFNA(VLOOKUP(B19,ANALISI!A:O,13,FALSE),0)</f>
        <v>6</v>
      </c>
      <c r="T19" s="86">
        <f t="shared" si="1"/>
        <v>2.6500000000000004</v>
      </c>
      <c r="U19" s="87">
        <f t="shared" si="2"/>
        <v>356</v>
      </c>
      <c r="V19" s="168" t="str">
        <f>_xlfn.IFNA(VLOOKUP(B19,'SPUNTA PER GIRO'!A:T,20,FALSE),"")</f>
        <v/>
      </c>
      <c r="W19" s="88"/>
      <c r="X19" s="168"/>
      <c r="Y19" s="88"/>
      <c r="Z19" s="168"/>
      <c r="AA19" s="89"/>
      <c r="AB19" s="169"/>
      <c r="AC19" s="173"/>
      <c r="AD19" s="171">
        <v>1805282</v>
      </c>
      <c r="AE19" s="172"/>
      <c r="AF19" s="172"/>
    </row>
    <row r="20" spans="1:32" ht="14.25" customHeight="1" thickBot="1" x14ac:dyDescent="0.3">
      <c r="A20" s="152">
        <v>1</v>
      </c>
      <c r="B20" s="153">
        <v>16269</v>
      </c>
      <c r="C20" s="154" t="s">
        <v>56</v>
      </c>
      <c r="D20" s="155" t="s">
        <v>40</v>
      </c>
      <c r="E20" s="233" t="s">
        <v>37</v>
      </c>
      <c r="F20" s="356">
        <f>_xlfn.IFNA(VLOOKUP(B20,ANALISI!A:O,4,FALSE),0)</f>
        <v>93</v>
      </c>
      <c r="G20" s="357">
        <f>_xlfn.IFNA(VLOOKUP(B20,'SPUNTA PER GIRO'!A:N,6,FALSE),0)</f>
        <v>69</v>
      </c>
      <c r="H20" s="357">
        <f>_xlfn.IFNA(VLOOKUP(B20,ANALISI!A:O,5,FALSE),0)</f>
        <v>0</v>
      </c>
      <c r="I20" s="357">
        <f>_xlfn.IFNA(VLOOKUP(B20,'SPUNTA PER GIRO'!A:N,8,FALSE),0)</f>
        <v>12</v>
      </c>
      <c r="J20" s="358">
        <f>_xlfn.IFNA(ROUND(VLOOKUP(B20,ANALISI!A:O,6,FALSE),2),0)</f>
        <v>9.6199999999999992</v>
      </c>
      <c r="K20" s="359">
        <f>_xlfn.IFNA(VLOOKUP(B20,ANALISI!A:O,7,FALSE),0)</f>
        <v>1699</v>
      </c>
      <c r="L20" s="360">
        <f>_xlfn.IFNA(VLOOKUP(B20,ANALISI!A:O,8,FALSE),0)</f>
        <v>6</v>
      </c>
      <c r="M20" s="353">
        <f>_xlfn.IFNA(VLOOKUP(B20,'SPUNTA PER GIRO'!A:N,10,FALSE),0)</f>
        <v>12</v>
      </c>
      <c r="N20" s="361">
        <f>_xlfn.IFNA(ROUND(VLOOKUP(B20,ANALISI!A:O,9,FALSE),2),0)</f>
        <v>0.59</v>
      </c>
      <c r="O20" s="362">
        <f>_xlfn.IFNA(VLOOKUP(B20,ANALISI!A:O,10,FALSE),0)</f>
        <v>65</v>
      </c>
      <c r="P20" s="363">
        <f>_xlfn.IFNA(VLOOKUP(B20,ANALISI!A:O,11,FALSE),0)</f>
        <v>0</v>
      </c>
      <c r="Q20" s="353">
        <f>_xlfn.IFNA(VLOOKUP(B20,'SPUNTA PER GIRO'!A:N,12,FALSE),0)</f>
        <v>0</v>
      </c>
      <c r="R20" s="364">
        <f>_xlfn.IFNA(ROUND(VLOOKUP(B20,ANALISI!A:O,12,FALSE),2),0)</f>
        <v>0</v>
      </c>
      <c r="S20" s="362">
        <f>_xlfn.IFNA(VLOOKUP(B20,ANALISI!A:O,13,FALSE),0)</f>
        <v>0</v>
      </c>
      <c r="T20" s="86">
        <f t="shared" si="1"/>
        <v>10.209999999999999</v>
      </c>
      <c r="U20" s="87">
        <f t="shared" si="2"/>
        <v>1764</v>
      </c>
      <c r="V20" s="168" t="str">
        <f>_xlfn.IFNA(VLOOKUP(B20,'SPUNTA PER GIRO'!A:T,20,FALSE),"")</f>
        <v/>
      </c>
      <c r="W20" s="88"/>
      <c r="X20" s="168"/>
      <c r="Y20" s="88"/>
      <c r="Z20" s="168"/>
      <c r="AA20" s="89"/>
      <c r="AB20" s="169"/>
      <c r="AC20" s="173"/>
      <c r="AD20" s="171">
        <v>1805282</v>
      </c>
      <c r="AE20" s="172"/>
      <c r="AF20" s="172"/>
    </row>
    <row r="21" spans="1:32" ht="14.25" customHeight="1" thickBot="1" x14ac:dyDescent="0.3">
      <c r="A21" s="152">
        <v>1</v>
      </c>
      <c r="B21" s="153">
        <v>16060</v>
      </c>
      <c r="C21" s="154" t="s">
        <v>47</v>
      </c>
      <c r="D21" s="155" t="s">
        <v>40</v>
      </c>
      <c r="E21" s="233" t="s">
        <v>37</v>
      </c>
      <c r="F21" s="356">
        <f>_xlfn.IFNA(VLOOKUP(B21,ANALISI!A:O,4,FALSE),0)</f>
        <v>145</v>
      </c>
      <c r="G21" s="357">
        <f>_xlfn.IFNA(VLOOKUP(B21,'SPUNTA PER GIRO'!A:N,6,FALSE),0)</f>
        <v>114</v>
      </c>
      <c r="H21" s="357">
        <f>_xlfn.IFNA(VLOOKUP(B21,ANALISI!A:O,5,FALSE),0)</f>
        <v>0</v>
      </c>
      <c r="I21" s="357">
        <f>_xlfn.IFNA(VLOOKUP(B21,'SPUNTA PER GIRO'!A:N,8,FALSE),0)</f>
        <v>0</v>
      </c>
      <c r="J21" s="358">
        <f>_xlfn.IFNA(ROUND(VLOOKUP(B21,ANALISI!A:O,6,FALSE),2),0)</f>
        <v>13.11</v>
      </c>
      <c r="K21" s="359">
        <f>_xlfn.IFNA(VLOOKUP(B21,ANALISI!A:O,7,FALSE),0)</f>
        <v>2141</v>
      </c>
      <c r="L21" s="360">
        <f>_xlfn.IFNA(VLOOKUP(B21,ANALISI!A:O,8,FALSE),0)</f>
        <v>5</v>
      </c>
      <c r="M21" s="353">
        <f>_xlfn.IFNA(VLOOKUP(B21,'SPUNTA PER GIRO'!A:N,10,FALSE),0)</f>
        <v>6</v>
      </c>
      <c r="N21" s="361">
        <f>_xlfn.IFNA(ROUND(VLOOKUP(B21,ANALISI!A:O,9,FALSE),2),0)</f>
        <v>0.54</v>
      </c>
      <c r="O21" s="362">
        <f>_xlfn.IFNA(VLOOKUP(B21,ANALISI!A:O,10,FALSE),0)</f>
        <v>46</v>
      </c>
      <c r="P21" s="363">
        <f>_xlfn.IFNA(VLOOKUP(B21,ANALISI!A:O,11,FALSE),0)</f>
        <v>1</v>
      </c>
      <c r="Q21" s="353">
        <f>_xlfn.IFNA(VLOOKUP(B21,'SPUNTA PER GIRO'!A:N,12,FALSE),0)</f>
        <v>3</v>
      </c>
      <c r="R21" s="364">
        <f>_xlfn.IFNA(ROUND(VLOOKUP(B21,ANALISI!A:O,12,FALSE),2),0)</f>
        <v>0.09</v>
      </c>
      <c r="S21" s="362">
        <f>_xlfn.IFNA(VLOOKUP(B21,ANALISI!A:O,13,FALSE),0)</f>
        <v>9</v>
      </c>
      <c r="T21" s="86">
        <f t="shared" si="1"/>
        <v>13.739999999999998</v>
      </c>
      <c r="U21" s="87">
        <f t="shared" si="2"/>
        <v>2196</v>
      </c>
      <c r="V21" s="168" t="str">
        <f>_xlfn.IFNA(VLOOKUP(B21,'SPUNTA PER GIRO'!A:T,20,FALSE),"")</f>
        <v/>
      </c>
      <c r="W21" s="88"/>
      <c r="X21" s="168"/>
      <c r="Y21" s="88"/>
      <c r="Z21" s="168"/>
      <c r="AA21" s="89"/>
      <c r="AB21" s="169"/>
      <c r="AC21" s="173"/>
      <c r="AD21" s="171">
        <v>1805282</v>
      </c>
      <c r="AE21" s="172"/>
      <c r="AF21" s="172"/>
    </row>
    <row r="22" spans="1:32" ht="14.25" customHeight="1" thickBot="1" x14ac:dyDescent="0.3">
      <c r="A22" s="152">
        <v>1</v>
      </c>
      <c r="B22" s="153">
        <v>12152</v>
      </c>
      <c r="C22" s="154" t="s">
        <v>47</v>
      </c>
      <c r="D22" s="155" t="s">
        <v>32</v>
      </c>
      <c r="E22" s="233" t="s">
        <v>33</v>
      </c>
      <c r="F22" s="356">
        <f>_xlfn.IFNA(VLOOKUP(B22,ANALISI!A:O,4,FALSE),0)</f>
        <v>63</v>
      </c>
      <c r="G22" s="357">
        <f>_xlfn.IFNA(VLOOKUP(B22,'SPUNTA PER GIRO'!A:N,6,FALSE),0)</f>
        <v>44</v>
      </c>
      <c r="H22" s="357">
        <f>_xlfn.IFNA(VLOOKUP(B22,ANALISI!A:O,5,FALSE),0)</f>
        <v>0</v>
      </c>
      <c r="I22" s="357">
        <f>_xlfn.IFNA(VLOOKUP(B22,'SPUNTA PER GIRO'!A:N,8,FALSE),0)</f>
        <v>0</v>
      </c>
      <c r="J22" s="358">
        <f>_xlfn.IFNA(ROUND(VLOOKUP(B22,ANALISI!A:O,6,FALSE),2),0)</f>
        <v>5.65</v>
      </c>
      <c r="K22" s="359">
        <f>_xlfn.IFNA(VLOOKUP(B22,ANALISI!A:O,7,FALSE),0)</f>
        <v>925</v>
      </c>
      <c r="L22" s="360">
        <f>_xlfn.IFNA(VLOOKUP(B22,ANALISI!A:O,8,FALSE),0)</f>
        <v>3</v>
      </c>
      <c r="M22" s="353">
        <f>_xlfn.IFNA(VLOOKUP(B22,'SPUNTA PER GIRO'!A:N,10,FALSE),0)</f>
        <v>6</v>
      </c>
      <c r="N22" s="361">
        <f>_xlfn.IFNA(ROUND(VLOOKUP(B22,ANALISI!A:O,9,FALSE),2),0)</f>
        <v>0.19</v>
      </c>
      <c r="O22" s="362">
        <f>_xlfn.IFNA(VLOOKUP(B22,ANALISI!A:O,10,FALSE),0)</f>
        <v>19</v>
      </c>
      <c r="P22" s="363">
        <f>_xlfn.IFNA(VLOOKUP(B22,ANALISI!A:O,11,FALSE),0)</f>
        <v>1</v>
      </c>
      <c r="Q22" s="353">
        <f>_xlfn.IFNA(VLOOKUP(B22,'SPUNTA PER GIRO'!A:N,12,FALSE),0)</f>
        <v>3</v>
      </c>
      <c r="R22" s="364">
        <f>_xlfn.IFNA(ROUND(VLOOKUP(B22,ANALISI!A:O,12,FALSE),2),0)</f>
        <v>0.09</v>
      </c>
      <c r="S22" s="362">
        <f>_xlfn.IFNA(VLOOKUP(B22,ANALISI!A:O,13,FALSE),0)</f>
        <v>7</v>
      </c>
      <c r="T22" s="86">
        <f t="shared" si="1"/>
        <v>5.9300000000000006</v>
      </c>
      <c r="U22" s="87">
        <f t="shared" si="2"/>
        <v>951</v>
      </c>
      <c r="V22" s="168" t="str">
        <f>_xlfn.IFNA(VLOOKUP(B22,'SPUNTA PER GIRO'!A:T,20,FALSE),"")</f>
        <v/>
      </c>
      <c r="W22" s="88"/>
      <c r="X22" s="168"/>
      <c r="Y22" s="88"/>
      <c r="Z22" s="168"/>
      <c r="AA22" s="89"/>
      <c r="AB22" s="169"/>
      <c r="AC22" s="173"/>
      <c r="AD22" s="171">
        <v>1805282</v>
      </c>
      <c r="AE22" s="172"/>
      <c r="AF22" s="172"/>
    </row>
    <row r="23" spans="1:32" ht="14.25" customHeight="1" thickBot="1" x14ac:dyDescent="0.3">
      <c r="A23" s="152">
        <v>1</v>
      </c>
      <c r="B23" s="153">
        <v>5306</v>
      </c>
      <c r="C23" s="154" t="s">
        <v>47</v>
      </c>
      <c r="D23" s="155" t="s">
        <v>34</v>
      </c>
      <c r="E23" s="233" t="s">
        <v>37</v>
      </c>
      <c r="F23" s="356">
        <f>_xlfn.IFNA(VLOOKUP(B23,ANALISI!A:O,4,FALSE),0)</f>
        <v>139</v>
      </c>
      <c r="G23" s="357">
        <f>_xlfn.IFNA(VLOOKUP(B23,'SPUNTA PER GIRO'!A:N,6,FALSE),0)</f>
        <v>92</v>
      </c>
      <c r="H23" s="357">
        <f>_xlfn.IFNA(VLOOKUP(B23,ANALISI!A:O,5,FALSE),0)</f>
        <v>0</v>
      </c>
      <c r="I23" s="357">
        <f>_xlfn.IFNA(VLOOKUP(B23,'SPUNTA PER GIRO'!A:N,8,FALSE),0)</f>
        <v>0</v>
      </c>
      <c r="J23" s="358">
        <f>_xlfn.IFNA(ROUND(VLOOKUP(B23,ANALISI!A:O,6,FALSE),2),0)</f>
        <v>12.4</v>
      </c>
      <c r="K23" s="359">
        <f>_xlfn.IFNA(VLOOKUP(B23,ANALISI!A:O,7,FALSE),0)</f>
        <v>2030</v>
      </c>
      <c r="L23" s="360">
        <f>_xlfn.IFNA(VLOOKUP(B23,ANALISI!A:O,8,FALSE),0)</f>
        <v>7</v>
      </c>
      <c r="M23" s="353">
        <f>_xlfn.IFNA(VLOOKUP(B23,'SPUNTA PER GIRO'!A:N,10,FALSE),0)</f>
        <v>6</v>
      </c>
      <c r="N23" s="361">
        <f>_xlfn.IFNA(ROUND(VLOOKUP(B23,ANALISI!A:O,9,FALSE),2),0)</f>
        <v>0.49</v>
      </c>
      <c r="O23" s="362">
        <f>_xlfn.IFNA(VLOOKUP(B23,ANALISI!A:O,10,FALSE),0)</f>
        <v>43</v>
      </c>
      <c r="P23" s="363">
        <f>_xlfn.IFNA(VLOOKUP(B23,ANALISI!A:O,11,FALSE),0)</f>
        <v>1</v>
      </c>
      <c r="Q23" s="353">
        <f>_xlfn.IFNA(VLOOKUP(B23,'SPUNTA PER GIRO'!A:N,12,FALSE),0)</f>
        <v>2</v>
      </c>
      <c r="R23" s="364">
        <f>_xlfn.IFNA(ROUND(VLOOKUP(B23,ANALISI!A:O,12,FALSE),2),0)</f>
        <v>0.09</v>
      </c>
      <c r="S23" s="362">
        <f>_xlfn.IFNA(VLOOKUP(B23,ANALISI!A:O,13,FALSE),0)</f>
        <v>6</v>
      </c>
      <c r="T23" s="86">
        <f t="shared" si="1"/>
        <v>12.98</v>
      </c>
      <c r="U23" s="87">
        <f t="shared" si="2"/>
        <v>2079</v>
      </c>
      <c r="V23" s="168" t="str">
        <f>_xlfn.IFNA(VLOOKUP(B23,'SPUNTA PER GIRO'!A:T,20,FALSE),"")</f>
        <v/>
      </c>
      <c r="W23" s="88"/>
      <c r="X23" s="168"/>
      <c r="Y23" s="88"/>
      <c r="Z23" s="168"/>
      <c r="AA23" s="89"/>
      <c r="AB23" s="169"/>
      <c r="AC23" s="173"/>
      <c r="AD23" s="171">
        <v>1805282</v>
      </c>
      <c r="AE23" s="172"/>
      <c r="AF23" s="172"/>
    </row>
    <row r="24" spans="1:32" ht="14.25" customHeight="1" thickBot="1" x14ac:dyDescent="0.3">
      <c r="A24" s="152">
        <v>1</v>
      </c>
      <c r="B24" s="156">
        <v>5367</v>
      </c>
      <c r="C24" s="154" t="s">
        <v>47</v>
      </c>
      <c r="D24" s="155" t="s">
        <v>35</v>
      </c>
      <c r="E24" s="233" t="s">
        <v>37</v>
      </c>
      <c r="F24" s="356">
        <f>_xlfn.IFNA(VLOOKUP(B24,ANALISI!A:O,4,FALSE),0)</f>
        <v>241</v>
      </c>
      <c r="G24" s="357">
        <f>_xlfn.IFNA(VLOOKUP(B24,'SPUNTA PER GIRO'!A:N,6,FALSE),0)</f>
        <v>84</v>
      </c>
      <c r="H24" s="357">
        <f>_xlfn.IFNA(VLOOKUP(B24,ANALISI!A:O,5,FALSE),0)</f>
        <v>0</v>
      </c>
      <c r="I24" s="357">
        <f>_xlfn.IFNA(VLOOKUP(B24,'SPUNTA PER GIRO'!A:N,8,FALSE),0)</f>
        <v>0</v>
      </c>
      <c r="J24" s="358">
        <f>_xlfn.IFNA(ROUND(VLOOKUP(B24,ANALISI!A:O,6,FALSE),2),0)</f>
        <v>21.17</v>
      </c>
      <c r="K24" s="359">
        <f>_xlfn.IFNA(VLOOKUP(B24,ANALISI!A:O,7,FALSE),0)</f>
        <v>3597</v>
      </c>
      <c r="L24" s="360">
        <f>_xlfn.IFNA(VLOOKUP(B24,ANALISI!A:O,8,FALSE),0)</f>
        <v>17</v>
      </c>
      <c r="M24" s="353">
        <f>_xlfn.IFNA(VLOOKUP(B24,'SPUNTA PER GIRO'!A:N,10,FALSE),0)</f>
        <v>10</v>
      </c>
      <c r="N24" s="361">
        <f>_xlfn.IFNA(ROUND(VLOOKUP(B24,ANALISI!A:O,9,FALSE),2),0)</f>
        <v>1.35</v>
      </c>
      <c r="O24" s="362">
        <f>_xlfn.IFNA(VLOOKUP(B24,ANALISI!A:O,10,FALSE),0)</f>
        <v>118</v>
      </c>
      <c r="P24" s="363">
        <f>_xlfn.IFNA(VLOOKUP(B24,ANALISI!A:O,11,FALSE),0)</f>
        <v>1</v>
      </c>
      <c r="Q24" s="353">
        <f>_xlfn.IFNA(VLOOKUP(B24,'SPUNTA PER GIRO'!A:N,12,FALSE),0)</f>
        <v>0</v>
      </c>
      <c r="R24" s="364">
        <f>_xlfn.IFNA(ROUND(VLOOKUP(B24,ANALISI!A:O,12,FALSE),2),0)</f>
        <v>0.09</v>
      </c>
      <c r="S24" s="362">
        <f>_xlfn.IFNA(VLOOKUP(B24,ANALISI!A:O,13,FALSE),0)</f>
        <v>3</v>
      </c>
      <c r="T24" s="86">
        <f t="shared" si="1"/>
        <v>22.610000000000003</v>
      </c>
      <c r="U24" s="87">
        <f t="shared" si="2"/>
        <v>3718</v>
      </c>
      <c r="V24" s="174" t="str">
        <f>_xlfn.IFNA(VLOOKUP(B24,'SPUNTA PER GIRO'!A:T,20,FALSE),"")</f>
        <v/>
      </c>
      <c r="W24" s="90"/>
      <c r="X24" s="174"/>
      <c r="Y24" s="90"/>
      <c r="Z24" s="174"/>
      <c r="AA24" s="91"/>
      <c r="AB24" s="169"/>
      <c r="AC24" s="173"/>
      <c r="AD24" s="171">
        <v>1805282</v>
      </c>
      <c r="AE24" s="172"/>
      <c r="AF24" s="172"/>
    </row>
    <row r="25" spans="1:32" ht="14.25" customHeight="1" thickBot="1" x14ac:dyDescent="0.3">
      <c r="A25" s="152">
        <v>1</v>
      </c>
      <c r="B25" s="153">
        <v>10504</v>
      </c>
      <c r="C25" s="154" t="s">
        <v>47</v>
      </c>
      <c r="D25" s="155" t="s">
        <v>36</v>
      </c>
      <c r="E25" s="233" t="s">
        <v>37</v>
      </c>
      <c r="F25" s="356">
        <f>_xlfn.IFNA(VLOOKUP(B25,ANALISI!A:O,4,FALSE),0)</f>
        <v>79</v>
      </c>
      <c r="G25" s="357">
        <f>_xlfn.IFNA(VLOOKUP(B25,'SPUNTA PER GIRO'!A:N,6,FALSE),0)</f>
        <v>54</v>
      </c>
      <c r="H25" s="357">
        <f>_xlfn.IFNA(VLOOKUP(B25,ANALISI!A:O,5,FALSE),0)</f>
        <v>0</v>
      </c>
      <c r="I25" s="357">
        <f>_xlfn.IFNA(VLOOKUP(B25,'SPUNTA PER GIRO'!A:N,8,FALSE),0)</f>
        <v>0</v>
      </c>
      <c r="J25" s="358">
        <f>_xlfn.IFNA(ROUND(VLOOKUP(B25,ANALISI!A:O,6,FALSE),2),0)</f>
        <v>6.95</v>
      </c>
      <c r="K25" s="359">
        <f>_xlfn.IFNA(VLOOKUP(B25,ANALISI!A:O,7,FALSE),0)</f>
        <v>1160</v>
      </c>
      <c r="L25" s="360">
        <f>_xlfn.IFNA(VLOOKUP(B25,ANALISI!A:O,8,FALSE),0)</f>
        <v>3</v>
      </c>
      <c r="M25" s="353">
        <f>_xlfn.IFNA(VLOOKUP(B25,'SPUNTA PER GIRO'!A:N,10,FALSE),0)</f>
        <v>4</v>
      </c>
      <c r="N25" s="361">
        <f>_xlfn.IFNA(ROUND(VLOOKUP(B25,ANALISI!A:O,9,FALSE),2),0)</f>
        <v>0.24</v>
      </c>
      <c r="O25" s="362">
        <f>_xlfn.IFNA(VLOOKUP(B25,ANALISI!A:O,10,FALSE),0)</f>
        <v>28</v>
      </c>
      <c r="P25" s="363">
        <f>_xlfn.IFNA(VLOOKUP(B25,ANALISI!A:O,11,FALSE),0)</f>
        <v>3</v>
      </c>
      <c r="Q25" s="353">
        <f>_xlfn.IFNA(VLOOKUP(B25,'SPUNTA PER GIRO'!A:N,12,FALSE),0)</f>
        <v>4</v>
      </c>
      <c r="R25" s="364">
        <f>_xlfn.IFNA(ROUND(VLOOKUP(B25,ANALISI!A:O,12,FALSE),2),0)</f>
        <v>0.26</v>
      </c>
      <c r="S25" s="362">
        <f>_xlfn.IFNA(VLOOKUP(B25,ANALISI!A:O,13,FALSE),0)</f>
        <v>21</v>
      </c>
      <c r="T25" s="86">
        <f t="shared" si="1"/>
        <v>7.45</v>
      </c>
      <c r="U25" s="87">
        <f t="shared" si="2"/>
        <v>1209</v>
      </c>
      <c r="V25" s="168" t="str">
        <f>_xlfn.IFNA(VLOOKUP(B25,'SPUNTA PER GIRO'!A:T,20,FALSE),"")</f>
        <v/>
      </c>
      <c r="W25" s="88"/>
      <c r="X25" s="168"/>
      <c r="Y25" s="88"/>
      <c r="Z25" s="168"/>
      <c r="AA25" s="89"/>
      <c r="AB25" s="169"/>
      <c r="AC25" s="173"/>
      <c r="AD25" s="171">
        <v>1805282</v>
      </c>
      <c r="AE25" s="172"/>
      <c r="AF25" s="172"/>
    </row>
    <row r="26" spans="1:32" ht="14.25" customHeight="1" thickBot="1" x14ac:dyDescent="0.3">
      <c r="A26" s="152">
        <v>1</v>
      </c>
      <c r="B26" s="153">
        <v>5349</v>
      </c>
      <c r="C26" s="157" t="s">
        <v>47</v>
      </c>
      <c r="D26" s="155" t="s">
        <v>48</v>
      </c>
      <c r="E26" s="233" t="s">
        <v>33</v>
      </c>
      <c r="F26" s="356">
        <f>_xlfn.IFNA(VLOOKUP(B26,ANALISI!A:O,4,FALSE),0)</f>
        <v>246</v>
      </c>
      <c r="G26" s="357">
        <f>_xlfn.IFNA(VLOOKUP(B26,'SPUNTA PER GIRO'!A:N,6,FALSE),0)</f>
        <v>140</v>
      </c>
      <c r="H26" s="357">
        <f>_xlfn.IFNA(VLOOKUP(B26,ANALISI!A:O,5,FALSE),0)</f>
        <v>0</v>
      </c>
      <c r="I26" s="357">
        <f>_xlfn.IFNA(VLOOKUP(B26,'SPUNTA PER GIRO'!A:N,8,FALSE),0)</f>
        <v>5</v>
      </c>
      <c r="J26" s="358">
        <f>_xlfn.IFNA(ROUND(VLOOKUP(B26,ANALISI!A:O,6,FALSE),2),0)</f>
        <v>20.68</v>
      </c>
      <c r="K26" s="359">
        <f>_xlfn.IFNA(VLOOKUP(B26,ANALISI!A:O,7,FALSE),0)</f>
        <v>3436</v>
      </c>
      <c r="L26" s="360">
        <f>_xlfn.IFNA(VLOOKUP(B26,ANALISI!A:O,8,FALSE),0)</f>
        <v>13</v>
      </c>
      <c r="M26" s="353">
        <f>_xlfn.IFNA(VLOOKUP(B26,'SPUNTA PER GIRO'!A:N,10,FALSE),0)</f>
        <v>8</v>
      </c>
      <c r="N26" s="361">
        <f>_xlfn.IFNA(ROUND(VLOOKUP(B26,ANALISI!A:O,9,FALSE),2),0)</f>
        <v>1</v>
      </c>
      <c r="O26" s="362">
        <f>_xlfn.IFNA(VLOOKUP(B26,ANALISI!A:O,10,FALSE),0)</f>
        <v>99</v>
      </c>
      <c r="P26" s="363">
        <f>_xlfn.IFNA(VLOOKUP(B26,ANALISI!A:O,11,FALSE),0)</f>
        <v>0</v>
      </c>
      <c r="Q26" s="353">
        <f>_xlfn.IFNA(VLOOKUP(B26,'SPUNTA PER GIRO'!A:N,12,FALSE),0)</f>
        <v>0</v>
      </c>
      <c r="R26" s="364">
        <f>_xlfn.IFNA(ROUND(VLOOKUP(B26,ANALISI!A:O,12,FALSE),2),0)</f>
        <v>0</v>
      </c>
      <c r="S26" s="362">
        <f>_xlfn.IFNA(VLOOKUP(B26,ANALISI!A:O,13,FALSE),0)</f>
        <v>0</v>
      </c>
      <c r="T26" s="86">
        <f t="shared" si="1"/>
        <v>21.68</v>
      </c>
      <c r="U26" s="87">
        <f t="shared" si="2"/>
        <v>3535</v>
      </c>
      <c r="V26" s="168" t="str">
        <f>_xlfn.IFNA(VLOOKUP(B26,'SPUNTA PER GIRO'!A:T,20,FALSE),"")</f>
        <v/>
      </c>
      <c r="W26" s="88"/>
      <c r="X26" s="168"/>
      <c r="Y26" s="88"/>
      <c r="Z26" s="168"/>
      <c r="AA26" s="89"/>
      <c r="AB26" s="169"/>
      <c r="AC26" s="173"/>
      <c r="AD26" s="171">
        <v>1805282</v>
      </c>
      <c r="AE26" s="172"/>
      <c r="AF26" s="172"/>
    </row>
    <row r="27" spans="1:32" ht="14.25" customHeight="1" thickBot="1" x14ac:dyDescent="0.3">
      <c r="A27" s="152">
        <v>1</v>
      </c>
      <c r="B27" s="158" t="s">
        <v>49</v>
      </c>
      <c r="C27" s="157" t="s">
        <v>47</v>
      </c>
      <c r="D27" s="155" t="s">
        <v>50</v>
      </c>
      <c r="E27" s="234" t="s">
        <v>33</v>
      </c>
      <c r="F27" s="356">
        <f>_xlfn.IFNA(VLOOKUP(B27,ANALISI!A:O,4,FALSE),0)</f>
        <v>0</v>
      </c>
      <c r="G27" s="357">
        <f>_xlfn.IFNA(VLOOKUP(B27,'SPUNTA PER GIRO'!A:N,6,FALSE),0)</f>
        <v>0</v>
      </c>
      <c r="H27" s="357">
        <f>_xlfn.IFNA(VLOOKUP(B27,ANALISI!A:O,5,FALSE),0)</f>
        <v>0</v>
      </c>
      <c r="I27" s="357">
        <f>_xlfn.IFNA(VLOOKUP(B27,'SPUNTA PER GIRO'!A:N,8,FALSE),0)</f>
        <v>0</v>
      </c>
      <c r="J27" s="358">
        <f>_xlfn.IFNA(ROUND(VLOOKUP(B27,ANALISI!A:O,6,FALSE),2),0)</f>
        <v>0</v>
      </c>
      <c r="K27" s="359">
        <f>_xlfn.IFNA(VLOOKUP(B27,ANALISI!A:O,7,FALSE),0)</f>
        <v>0</v>
      </c>
      <c r="L27" s="360">
        <f>_xlfn.IFNA(VLOOKUP(B27,ANALISI!A:O,8,FALSE),0)</f>
        <v>0</v>
      </c>
      <c r="M27" s="353">
        <f>_xlfn.IFNA(VLOOKUP(B27,'SPUNTA PER GIRO'!A:N,10,FALSE),0)</f>
        <v>0</v>
      </c>
      <c r="N27" s="361">
        <f>_xlfn.IFNA(ROUND(VLOOKUP(B27,ANALISI!A:O,9,FALSE),2),0)</f>
        <v>0</v>
      </c>
      <c r="O27" s="362">
        <f>_xlfn.IFNA(VLOOKUP(B27,ANALISI!A:O,10,FALSE),0)</f>
        <v>0</v>
      </c>
      <c r="P27" s="363">
        <f>_xlfn.IFNA(VLOOKUP(B27,ANALISI!A:O,11,FALSE),0)</f>
        <v>0</v>
      </c>
      <c r="Q27" s="353">
        <f>_xlfn.IFNA(VLOOKUP(B27,'SPUNTA PER GIRO'!A:N,12,FALSE),0)</f>
        <v>0</v>
      </c>
      <c r="R27" s="364">
        <f>_xlfn.IFNA(ROUND(VLOOKUP(B27,ANALISI!A:O,12,FALSE),2),0)</f>
        <v>0</v>
      </c>
      <c r="S27" s="362">
        <f>_xlfn.IFNA(VLOOKUP(B27,ANALISI!A:O,13,FALSE),0)</f>
        <v>0</v>
      </c>
      <c r="T27" s="86">
        <f t="shared" si="1"/>
        <v>0</v>
      </c>
      <c r="U27" s="87">
        <f t="shared" si="2"/>
        <v>0</v>
      </c>
      <c r="V27" s="168" t="str">
        <f>_xlfn.IFNA(VLOOKUP(B27,'SPUNTA PER GIRO'!A:T,20,FALSE),"")</f>
        <v/>
      </c>
      <c r="W27" s="88"/>
      <c r="X27" s="168"/>
      <c r="Y27" s="88"/>
      <c r="Z27" s="168"/>
      <c r="AA27" s="89"/>
      <c r="AB27" s="169"/>
      <c r="AC27" s="173"/>
      <c r="AD27" s="171">
        <v>1805282</v>
      </c>
      <c r="AE27" s="172"/>
      <c r="AF27" s="172"/>
    </row>
    <row r="28" spans="1:32" ht="14.25" customHeight="1" thickBot="1" x14ac:dyDescent="0.3">
      <c r="A28" s="152">
        <v>1</v>
      </c>
      <c r="B28" s="153">
        <v>6525</v>
      </c>
      <c r="C28" s="154" t="s">
        <v>47</v>
      </c>
      <c r="D28" s="155" t="s">
        <v>51</v>
      </c>
      <c r="E28" s="233" t="s">
        <v>33</v>
      </c>
      <c r="F28" s="356">
        <f>_xlfn.IFNA(VLOOKUP(B28,ANALISI!A:O,4,FALSE),0)</f>
        <v>155</v>
      </c>
      <c r="G28" s="357">
        <f>_xlfn.IFNA(VLOOKUP(B28,'SPUNTA PER GIRO'!A:N,6,FALSE),0)</f>
        <v>100</v>
      </c>
      <c r="H28" s="357">
        <f>_xlfn.IFNA(VLOOKUP(B28,ANALISI!A:O,5,FALSE),0)</f>
        <v>0</v>
      </c>
      <c r="I28" s="357">
        <f>_xlfn.IFNA(VLOOKUP(B28,'SPUNTA PER GIRO'!A:N,8,FALSE),0)</f>
        <v>0</v>
      </c>
      <c r="J28" s="358">
        <f>_xlfn.IFNA(ROUND(VLOOKUP(B28,ANALISI!A:O,6,FALSE),2),0)</f>
        <v>13.51</v>
      </c>
      <c r="K28" s="359">
        <f>_xlfn.IFNA(VLOOKUP(B28,ANALISI!A:O,7,FALSE),0)</f>
        <v>2126</v>
      </c>
      <c r="L28" s="360">
        <f>_xlfn.IFNA(VLOOKUP(B28,ANALISI!A:O,8,FALSE),0)</f>
        <v>12</v>
      </c>
      <c r="M28" s="353">
        <f>_xlfn.IFNA(VLOOKUP(B28,'SPUNTA PER GIRO'!A:N,10,FALSE),0)</f>
        <v>10</v>
      </c>
      <c r="N28" s="361">
        <f>_xlfn.IFNA(ROUND(VLOOKUP(B28,ANALISI!A:O,9,FALSE),2),0)</f>
        <v>0.78</v>
      </c>
      <c r="O28" s="362">
        <f>_xlfn.IFNA(VLOOKUP(B28,ANALISI!A:O,10,FALSE),0)</f>
        <v>80</v>
      </c>
      <c r="P28" s="363">
        <f>_xlfn.IFNA(VLOOKUP(B28,ANALISI!A:O,11,FALSE),0)</f>
        <v>1</v>
      </c>
      <c r="Q28" s="353">
        <f>_xlfn.IFNA(VLOOKUP(B28,'SPUNTA PER GIRO'!A:N,12,FALSE),0)</f>
        <v>2</v>
      </c>
      <c r="R28" s="364">
        <f>_xlfn.IFNA(ROUND(VLOOKUP(B28,ANALISI!A:O,12,FALSE),2),0)</f>
        <v>0.09</v>
      </c>
      <c r="S28" s="362">
        <f>_xlfn.IFNA(VLOOKUP(B28,ANALISI!A:O,13,FALSE),0)</f>
        <v>8</v>
      </c>
      <c r="T28" s="86">
        <f t="shared" si="1"/>
        <v>14.379999999999999</v>
      </c>
      <c r="U28" s="87">
        <f t="shared" si="2"/>
        <v>2214</v>
      </c>
      <c r="V28" s="168" t="str">
        <f>_xlfn.IFNA(VLOOKUP(B28,'SPUNTA PER GIRO'!A:T,20,FALSE),"")</f>
        <v/>
      </c>
      <c r="W28" s="88"/>
      <c r="X28" s="168"/>
      <c r="Y28" s="88"/>
      <c r="Z28" s="168"/>
      <c r="AA28" s="89"/>
      <c r="AB28" s="169"/>
      <c r="AC28" s="173"/>
      <c r="AD28" s="171">
        <v>1805282</v>
      </c>
      <c r="AE28" s="172"/>
      <c r="AF28" s="172"/>
    </row>
    <row r="29" spans="1:32" ht="14.25" customHeight="1" thickBot="1" x14ac:dyDescent="0.3">
      <c r="A29" s="152">
        <v>1</v>
      </c>
      <c r="B29" s="158" t="s">
        <v>52</v>
      </c>
      <c r="C29" s="157" t="s">
        <v>53</v>
      </c>
      <c r="D29" s="155" t="s">
        <v>54</v>
      </c>
      <c r="E29" s="234" t="s">
        <v>33</v>
      </c>
      <c r="F29" s="356">
        <f>_xlfn.IFNA(VLOOKUP(B29,ANALISI!A:O,4,FALSE),0)</f>
        <v>0</v>
      </c>
      <c r="G29" s="357">
        <f>_xlfn.IFNA(VLOOKUP(B29,'SPUNTA PER GIRO'!A:N,6,FALSE),0)</f>
        <v>0</v>
      </c>
      <c r="H29" s="357">
        <f>_xlfn.IFNA(VLOOKUP(B29,ANALISI!A:O,5,FALSE),0)</f>
        <v>0</v>
      </c>
      <c r="I29" s="357">
        <f>_xlfn.IFNA(VLOOKUP(B29,'SPUNTA PER GIRO'!A:N,8,FALSE),0)</f>
        <v>0</v>
      </c>
      <c r="J29" s="358">
        <f>_xlfn.IFNA(ROUND(VLOOKUP(B29,ANALISI!A:O,6,FALSE),2),0)</f>
        <v>0</v>
      </c>
      <c r="K29" s="359">
        <f>_xlfn.IFNA(VLOOKUP(B29,ANALISI!A:O,7,FALSE),0)</f>
        <v>0</v>
      </c>
      <c r="L29" s="360">
        <f>_xlfn.IFNA(VLOOKUP(B29,ANALISI!A:O,8,FALSE),0)</f>
        <v>0</v>
      </c>
      <c r="M29" s="353">
        <f>_xlfn.IFNA(VLOOKUP(B29,'SPUNTA PER GIRO'!A:N,10,FALSE),0)</f>
        <v>0</v>
      </c>
      <c r="N29" s="361">
        <f>_xlfn.IFNA(ROUND(VLOOKUP(B29,ANALISI!A:O,9,FALSE),2),0)</f>
        <v>0</v>
      </c>
      <c r="O29" s="362">
        <f>_xlfn.IFNA(VLOOKUP(B29,ANALISI!A:O,10,FALSE),0)</f>
        <v>0</v>
      </c>
      <c r="P29" s="363">
        <f>_xlfn.IFNA(VLOOKUP(B29,ANALISI!A:O,11,FALSE),0)</f>
        <v>0</v>
      </c>
      <c r="Q29" s="353">
        <f>_xlfn.IFNA(VLOOKUP(B29,'SPUNTA PER GIRO'!A:N,12,FALSE),0)</f>
        <v>0</v>
      </c>
      <c r="R29" s="364">
        <f>_xlfn.IFNA(ROUND(VLOOKUP(B29,ANALISI!A:O,12,FALSE),2),0)</f>
        <v>0</v>
      </c>
      <c r="S29" s="362">
        <f>_xlfn.IFNA(VLOOKUP(B29,ANALISI!A:O,13,FALSE),0)</f>
        <v>0</v>
      </c>
      <c r="T29" s="86">
        <f t="shared" si="1"/>
        <v>0</v>
      </c>
      <c r="U29" s="87">
        <f t="shared" si="2"/>
        <v>0</v>
      </c>
      <c r="V29" s="168" t="str">
        <f>_xlfn.IFNA(VLOOKUP(B29,'SPUNTA PER GIRO'!A:T,20,FALSE),"")</f>
        <v/>
      </c>
      <c r="W29" s="88"/>
      <c r="X29" s="168"/>
      <c r="Y29" s="88"/>
      <c r="Z29" s="168"/>
      <c r="AA29" s="89"/>
      <c r="AB29" s="169"/>
      <c r="AC29" s="173"/>
      <c r="AD29" s="171">
        <v>1805282</v>
      </c>
      <c r="AE29" s="172"/>
      <c r="AF29" s="172"/>
    </row>
    <row r="30" spans="1:32" ht="14.25" customHeight="1" thickBot="1" x14ac:dyDescent="0.3">
      <c r="A30" s="152">
        <v>1</v>
      </c>
      <c r="B30" s="286">
        <v>16564</v>
      </c>
      <c r="C30" s="287" t="s">
        <v>47</v>
      </c>
      <c r="D30" s="288" t="s">
        <v>43</v>
      </c>
      <c r="E30" s="233" t="s">
        <v>37</v>
      </c>
      <c r="F30" s="356">
        <f>_xlfn.IFNA(VLOOKUP(B30,ANALISI!A:O,4,FALSE),0)</f>
        <v>148</v>
      </c>
      <c r="G30" s="357">
        <f>_xlfn.IFNA(VLOOKUP(B30,'SPUNTA PER GIRO'!A:N,6,FALSE),0)</f>
        <v>96</v>
      </c>
      <c r="H30" s="357">
        <f>_xlfn.IFNA(VLOOKUP(B30,ANALISI!A:O,5,FALSE),0)</f>
        <v>0</v>
      </c>
      <c r="I30" s="357">
        <f>_xlfn.IFNA(VLOOKUP(B30,'SPUNTA PER GIRO'!A:N,8,FALSE),0)</f>
        <v>0</v>
      </c>
      <c r="J30" s="358">
        <f>_xlfn.IFNA(ROUND(VLOOKUP(B30,ANALISI!A:O,6,FALSE),2),0)</f>
        <v>13.06</v>
      </c>
      <c r="K30" s="359">
        <f>_xlfn.IFNA(VLOOKUP(B30,ANALISI!A:O,7,FALSE),0)</f>
        <v>2052</v>
      </c>
      <c r="L30" s="360">
        <f>_xlfn.IFNA(VLOOKUP(B30,ANALISI!A:O,8,FALSE),0)</f>
        <v>10</v>
      </c>
      <c r="M30" s="353">
        <f>_xlfn.IFNA(VLOOKUP(B30,'SPUNTA PER GIRO'!A:N,10,FALSE),0)</f>
        <v>5</v>
      </c>
      <c r="N30" s="361">
        <f>_xlfn.IFNA(ROUND(VLOOKUP(B30,ANALISI!A:O,9,FALSE),2),0)</f>
        <v>0.86</v>
      </c>
      <c r="O30" s="362">
        <f>_xlfn.IFNA(VLOOKUP(B30,ANALISI!A:O,10,FALSE),0)</f>
        <v>92</v>
      </c>
      <c r="P30" s="363">
        <f>_xlfn.IFNA(VLOOKUP(B30,ANALISI!A:O,11,FALSE),0)</f>
        <v>0</v>
      </c>
      <c r="Q30" s="353">
        <f>_xlfn.IFNA(VLOOKUP(B30,'SPUNTA PER GIRO'!A:N,12,FALSE),0)</f>
        <v>0</v>
      </c>
      <c r="R30" s="364">
        <f>_xlfn.IFNA(ROUND(VLOOKUP(B30,ANALISI!A:O,12,FALSE),2),0)</f>
        <v>0</v>
      </c>
      <c r="S30" s="362">
        <f>_xlfn.IFNA(VLOOKUP(B30,ANALISI!A:O,13,FALSE),0)</f>
        <v>0</v>
      </c>
      <c r="T30" s="86">
        <f t="shared" si="1"/>
        <v>13.92</v>
      </c>
      <c r="U30" s="87">
        <f t="shared" si="2"/>
        <v>2144</v>
      </c>
      <c r="V30" s="168" t="str">
        <f>_xlfn.IFNA(VLOOKUP(B30,'SPUNTA PER GIRO'!A:T,20,FALSE),"")</f>
        <v/>
      </c>
      <c r="W30" s="88"/>
      <c r="X30" s="168"/>
      <c r="Y30" s="88"/>
      <c r="Z30" s="168"/>
      <c r="AA30" s="89"/>
      <c r="AB30" s="169"/>
      <c r="AC30" s="173"/>
      <c r="AD30" s="171">
        <v>1805282</v>
      </c>
      <c r="AE30" s="172"/>
      <c r="AF30" s="172"/>
    </row>
    <row r="31" spans="1:32" ht="14.25" customHeight="1" thickBot="1" x14ac:dyDescent="0.3">
      <c r="A31" s="152">
        <v>1</v>
      </c>
      <c r="B31" s="153">
        <v>11629</v>
      </c>
      <c r="C31" s="154" t="s">
        <v>47</v>
      </c>
      <c r="D31" s="155" t="s">
        <v>55</v>
      </c>
      <c r="E31" s="233" t="s">
        <v>33</v>
      </c>
      <c r="F31" s="356">
        <f>_xlfn.IFNA(VLOOKUP(B31,ANALISI!A:O,4,FALSE),0)</f>
        <v>71</v>
      </c>
      <c r="G31" s="357">
        <f>_xlfn.IFNA(VLOOKUP(B31,'SPUNTA PER GIRO'!A:N,6,FALSE),0)</f>
        <v>38</v>
      </c>
      <c r="H31" s="357">
        <f>_xlfn.IFNA(VLOOKUP(B31,ANALISI!A:O,5,FALSE),0)</f>
        <v>0</v>
      </c>
      <c r="I31" s="357">
        <f>_xlfn.IFNA(VLOOKUP(B31,'SPUNTA PER GIRO'!A:N,8,FALSE),0)</f>
        <v>0</v>
      </c>
      <c r="J31" s="358">
        <f>_xlfn.IFNA(ROUND(VLOOKUP(B31,ANALISI!A:O,6,FALSE),2),0)</f>
        <v>5.98</v>
      </c>
      <c r="K31" s="359">
        <f>_xlfn.IFNA(VLOOKUP(B31,ANALISI!A:O,7,FALSE),0)</f>
        <v>950</v>
      </c>
      <c r="L31" s="360">
        <f>_xlfn.IFNA(VLOOKUP(B31,ANALISI!A:O,8,FALSE),0)</f>
        <v>4</v>
      </c>
      <c r="M31" s="353">
        <f>_xlfn.IFNA(VLOOKUP(B31,'SPUNTA PER GIRO'!A:N,10,FALSE),0)</f>
        <v>5</v>
      </c>
      <c r="N31" s="361">
        <f>_xlfn.IFNA(ROUND(VLOOKUP(B31,ANALISI!A:O,9,FALSE),2),0)</f>
        <v>0.3</v>
      </c>
      <c r="O31" s="362">
        <f>_xlfn.IFNA(VLOOKUP(B31,ANALISI!A:O,10,FALSE),0)</f>
        <v>31</v>
      </c>
      <c r="P31" s="363">
        <f>_xlfn.IFNA(VLOOKUP(B31,ANALISI!A:O,11,FALSE),0)</f>
        <v>2</v>
      </c>
      <c r="Q31" s="353">
        <f>_xlfn.IFNA(VLOOKUP(B31,'SPUNTA PER GIRO'!A:N,12,FALSE),0)</f>
        <v>2</v>
      </c>
      <c r="R31" s="364">
        <f>_xlfn.IFNA(ROUND(VLOOKUP(B31,ANALISI!A:O,12,FALSE),2),0)</f>
        <v>0.18</v>
      </c>
      <c r="S31" s="362">
        <f>_xlfn.IFNA(VLOOKUP(B31,ANALISI!A:O,13,FALSE),0)</f>
        <v>12</v>
      </c>
      <c r="T31" s="86">
        <f t="shared" si="1"/>
        <v>6.46</v>
      </c>
      <c r="U31" s="87">
        <f t="shared" si="2"/>
        <v>993</v>
      </c>
      <c r="V31" s="168" t="str">
        <f>_xlfn.IFNA(VLOOKUP(B31,'SPUNTA PER GIRO'!A:T,20,FALSE),"")</f>
        <v/>
      </c>
      <c r="W31" s="88"/>
      <c r="X31" s="168"/>
      <c r="Y31" s="88"/>
      <c r="Z31" s="168"/>
      <c r="AA31" s="89"/>
      <c r="AB31" s="169"/>
      <c r="AC31" s="175"/>
      <c r="AD31" s="171">
        <v>1805282</v>
      </c>
      <c r="AE31" s="172"/>
      <c r="AF31" s="172"/>
    </row>
    <row r="32" spans="1:32" ht="14.25" customHeight="1" thickBot="1" x14ac:dyDescent="0.3">
      <c r="A32" s="152">
        <v>1</v>
      </c>
      <c r="B32" s="153">
        <v>7593</v>
      </c>
      <c r="C32" s="154" t="s">
        <v>56</v>
      </c>
      <c r="D32" s="155" t="s">
        <v>57</v>
      </c>
      <c r="E32" s="233" t="s">
        <v>37</v>
      </c>
      <c r="F32" s="356">
        <f>_xlfn.IFNA(VLOOKUP(B32,ANALISI!A:O,4,FALSE),0)</f>
        <v>93</v>
      </c>
      <c r="G32" s="357">
        <f>_xlfn.IFNA(VLOOKUP(B32,'SPUNTA PER GIRO'!A:N,6,FALSE),0)</f>
        <v>63</v>
      </c>
      <c r="H32" s="357">
        <f>_xlfn.IFNA(VLOOKUP(B32,ANALISI!A:O,5,FALSE),0)</f>
        <v>0</v>
      </c>
      <c r="I32" s="357">
        <f>_xlfn.IFNA(VLOOKUP(B32,'SPUNTA PER GIRO'!A:N,8,FALSE),0)</f>
        <v>0</v>
      </c>
      <c r="J32" s="358">
        <f>_xlfn.IFNA(ROUND(VLOOKUP(B32,ANALISI!A:O,6,FALSE),2),0)</f>
        <v>9.4</v>
      </c>
      <c r="K32" s="359">
        <f>_xlfn.IFNA(VLOOKUP(B32,ANALISI!A:O,7,FALSE),0)</f>
        <v>1721</v>
      </c>
      <c r="L32" s="360">
        <f>_xlfn.IFNA(VLOOKUP(B32,ANALISI!A:O,8,FALSE),0)</f>
        <v>4</v>
      </c>
      <c r="M32" s="353">
        <f>_xlfn.IFNA(VLOOKUP(B32,'SPUNTA PER GIRO'!A:N,10,FALSE),0)</f>
        <v>11</v>
      </c>
      <c r="N32" s="361">
        <f>_xlfn.IFNA(ROUND(VLOOKUP(B32,ANALISI!A:O,9,FALSE),2),0)</f>
        <v>0.43</v>
      </c>
      <c r="O32" s="362">
        <f>_xlfn.IFNA(VLOOKUP(B32,ANALISI!A:O,10,FALSE),0)</f>
        <v>56</v>
      </c>
      <c r="P32" s="363">
        <f>_xlfn.IFNA(VLOOKUP(B32,ANALISI!A:O,11,FALSE),0)</f>
        <v>0</v>
      </c>
      <c r="Q32" s="353">
        <f>_xlfn.IFNA(VLOOKUP(B32,'SPUNTA PER GIRO'!A:N,12,FALSE),0)</f>
        <v>0</v>
      </c>
      <c r="R32" s="364">
        <f>_xlfn.IFNA(ROUND(VLOOKUP(B32,ANALISI!A:O,12,FALSE),2),0)</f>
        <v>0</v>
      </c>
      <c r="S32" s="362">
        <f>_xlfn.IFNA(VLOOKUP(B32,ANALISI!A:O,13,FALSE),0)</f>
        <v>0</v>
      </c>
      <c r="T32" s="86">
        <f t="shared" si="1"/>
        <v>9.83</v>
      </c>
      <c r="U32" s="87">
        <f t="shared" si="2"/>
        <v>1777</v>
      </c>
      <c r="V32" s="168" t="str">
        <f>_xlfn.IFNA(VLOOKUP(B32,'SPUNTA PER GIRO'!A:T,20,FALSE),"")</f>
        <v/>
      </c>
      <c r="W32" s="88"/>
      <c r="X32" s="168"/>
      <c r="Y32" s="88"/>
      <c r="Z32" s="168"/>
      <c r="AA32" s="89"/>
      <c r="AB32" s="169"/>
      <c r="AC32" s="175"/>
      <c r="AD32" s="171">
        <v>1805282</v>
      </c>
      <c r="AE32" s="172"/>
      <c r="AF32" s="172"/>
    </row>
    <row r="33" spans="1:32" ht="14.25" customHeight="1" thickBot="1" x14ac:dyDescent="0.3">
      <c r="A33" s="152">
        <v>1</v>
      </c>
      <c r="B33" s="153">
        <v>2898</v>
      </c>
      <c r="C33" s="154" t="s">
        <v>56</v>
      </c>
      <c r="D33" s="155" t="s">
        <v>34</v>
      </c>
      <c r="E33" s="233" t="s">
        <v>33</v>
      </c>
      <c r="F33" s="356">
        <f>_xlfn.IFNA(VLOOKUP(B33,ANALISI!A:O,4,FALSE),0)</f>
        <v>126</v>
      </c>
      <c r="G33" s="357">
        <f>_xlfn.IFNA(VLOOKUP(B33,'SPUNTA PER GIRO'!A:N,6,FALSE),0)</f>
        <v>90</v>
      </c>
      <c r="H33" s="357">
        <f>_xlfn.IFNA(VLOOKUP(B33,ANALISI!A:O,5,FALSE),0)</f>
        <v>0</v>
      </c>
      <c r="I33" s="357">
        <f>_xlfn.IFNA(VLOOKUP(B33,'SPUNTA PER GIRO'!A:N,8,FALSE),0)</f>
        <v>0</v>
      </c>
      <c r="J33" s="358">
        <f>_xlfn.IFNA(ROUND(VLOOKUP(B33,ANALISI!A:O,6,FALSE),2),0)</f>
        <v>13.13</v>
      </c>
      <c r="K33" s="359">
        <f>_xlfn.IFNA(VLOOKUP(B33,ANALISI!A:O,7,FALSE),0)</f>
        <v>2334</v>
      </c>
      <c r="L33" s="360">
        <f>_xlfn.IFNA(VLOOKUP(B33,ANALISI!A:O,8,FALSE),0)</f>
        <v>4</v>
      </c>
      <c r="M33" s="353">
        <f>_xlfn.IFNA(VLOOKUP(B33,'SPUNTA PER GIRO'!A:N,10,FALSE),0)</f>
        <v>9</v>
      </c>
      <c r="N33" s="361">
        <f>_xlfn.IFNA(ROUND(VLOOKUP(B33,ANALISI!A:O,9,FALSE),2),0)</f>
        <v>0.43</v>
      </c>
      <c r="O33" s="362">
        <f>_xlfn.IFNA(VLOOKUP(B33,ANALISI!A:O,10,FALSE),0)</f>
        <v>45</v>
      </c>
      <c r="P33" s="363">
        <f>_xlfn.IFNA(VLOOKUP(B33,ANALISI!A:O,11,FALSE),0)</f>
        <v>0</v>
      </c>
      <c r="Q33" s="353">
        <f>_xlfn.IFNA(VLOOKUP(B33,'SPUNTA PER GIRO'!A:N,12,FALSE),0)</f>
        <v>0</v>
      </c>
      <c r="R33" s="364">
        <f>_xlfn.IFNA(ROUND(VLOOKUP(B33,ANALISI!A:O,12,FALSE),2),0)</f>
        <v>0</v>
      </c>
      <c r="S33" s="362">
        <f>_xlfn.IFNA(VLOOKUP(B33,ANALISI!A:O,13,FALSE),0)</f>
        <v>0</v>
      </c>
      <c r="T33" s="86">
        <f t="shared" si="1"/>
        <v>13.56</v>
      </c>
      <c r="U33" s="87">
        <f t="shared" si="2"/>
        <v>2379</v>
      </c>
      <c r="V33" s="168" t="str">
        <f>_xlfn.IFNA(VLOOKUP(B33,'SPUNTA PER GIRO'!A:T,20,FALSE),"")</f>
        <v/>
      </c>
      <c r="W33" s="88"/>
      <c r="X33" s="168"/>
      <c r="Y33" s="88"/>
      <c r="Z33" s="168"/>
      <c r="AA33" s="89"/>
      <c r="AB33" s="169"/>
      <c r="AC33" s="175"/>
      <c r="AD33" s="171">
        <v>1805282</v>
      </c>
      <c r="AE33" s="172"/>
      <c r="AF33" s="172"/>
    </row>
    <row r="34" spans="1:32" ht="14.25" customHeight="1" thickBot="1" x14ac:dyDescent="0.3">
      <c r="A34" s="152">
        <v>1</v>
      </c>
      <c r="B34" s="153">
        <v>12093</v>
      </c>
      <c r="C34" s="154" t="s">
        <v>56</v>
      </c>
      <c r="D34" s="155" t="s">
        <v>36</v>
      </c>
      <c r="E34" s="233" t="s">
        <v>37</v>
      </c>
      <c r="F34" s="356">
        <f>_xlfn.IFNA(VLOOKUP(B34,ANALISI!A:O,4,FALSE),0)</f>
        <v>59</v>
      </c>
      <c r="G34" s="357">
        <f>_xlfn.IFNA(VLOOKUP(B34,'SPUNTA PER GIRO'!A:N,6,FALSE),0)</f>
        <v>46</v>
      </c>
      <c r="H34" s="357">
        <f>_xlfn.IFNA(VLOOKUP(B34,ANALISI!A:O,5,FALSE),0)</f>
        <v>0</v>
      </c>
      <c r="I34" s="357">
        <f>_xlfn.IFNA(VLOOKUP(B34,'SPUNTA PER GIRO'!A:N,8,FALSE),0)</f>
        <v>0</v>
      </c>
      <c r="J34" s="358">
        <f>_xlfn.IFNA(ROUND(VLOOKUP(B34,ANALISI!A:O,6,FALSE),2),0)</f>
        <v>6.14</v>
      </c>
      <c r="K34" s="359">
        <f>_xlfn.IFNA(VLOOKUP(B34,ANALISI!A:O,7,FALSE),0)</f>
        <v>1154</v>
      </c>
      <c r="L34" s="360">
        <f>_xlfn.IFNA(VLOOKUP(B34,ANALISI!A:O,8,FALSE),0)</f>
        <v>4</v>
      </c>
      <c r="M34" s="353">
        <f>_xlfn.IFNA(VLOOKUP(B34,'SPUNTA PER GIRO'!A:N,10,FALSE),0)</f>
        <v>9</v>
      </c>
      <c r="N34" s="361">
        <f>_xlfn.IFNA(ROUND(VLOOKUP(B34,ANALISI!A:O,9,FALSE),2),0)</f>
        <v>0.32</v>
      </c>
      <c r="O34" s="362">
        <f>_xlfn.IFNA(VLOOKUP(B34,ANALISI!A:O,10,FALSE),0)</f>
        <v>30</v>
      </c>
      <c r="P34" s="363">
        <f>_xlfn.IFNA(VLOOKUP(B34,ANALISI!A:O,11,FALSE),0)</f>
        <v>0</v>
      </c>
      <c r="Q34" s="353">
        <f>_xlfn.IFNA(VLOOKUP(B34,'SPUNTA PER GIRO'!A:N,12,FALSE),0)</f>
        <v>0</v>
      </c>
      <c r="R34" s="364">
        <f>_xlfn.IFNA(ROUND(VLOOKUP(B34,ANALISI!A:O,12,FALSE),2),0)</f>
        <v>0</v>
      </c>
      <c r="S34" s="362">
        <f>_xlfn.IFNA(VLOOKUP(B34,ANALISI!A:O,13,FALSE),0)</f>
        <v>0</v>
      </c>
      <c r="T34" s="86">
        <f t="shared" si="1"/>
        <v>6.46</v>
      </c>
      <c r="U34" s="87">
        <f t="shared" si="2"/>
        <v>1184</v>
      </c>
      <c r="V34" s="168" t="str">
        <f>_xlfn.IFNA(VLOOKUP(B34,'SPUNTA PER GIRO'!A:T,20,FALSE),"")</f>
        <v/>
      </c>
      <c r="W34" s="88"/>
      <c r="X34" s="168"/>
      <c r="Y34" s="88"/>
      <c r="Z34" s="168"/>
      <c r="AA34" s="89"/>
      <c r="AB34" s="169"/>
      <c r="AC34" s="173"/>
      <c r="AD34" s="171">
        <v>1805282</v>
      </c>
      <c r="AE34" s="176"/>
      <c r="AF34" s="172"/>
    </row>
    <row r="35" spans="1:32" ht="14.25" customHeight="1" thickBot="1" x14ac:dyDescent="0.3">
      <c r="A35" s="152">
        <v>1</v>
      </c>
      <c r="B35" s="153">
        <v>2917</v>
      </c>
      <c r="C35" s="154" t="s">
        <v>56</v>
      </c>
      <c r="D35" s="155" t="s">
        <v>38</v>
      </c>
      <c r="E35" s="233" t="s">
        <v>37</v>
      </c>
      <c r="F35" s="356">
        <f>_xlfn.IFNA(VLOOKUP(B35,ANALISI!A:O,4,FALSE),0)</f>
        <v>119</v>
      </c>
      <c r="G35" s="357">
        <f>_xlfn.IFNA(VLOOKUP(B35,'SPUNTA PER GIRO'!A:N,6,FALSE),0)</f>
        <v>95</v>
      </c>
      <c r="H35" s="357">
        <f>_xlfn.IFNA(VLOOKUP(B35,ANALISI!A:O,5,FALSE),0)</f>
        <v>0</v>
      </c>
      <c r="I35" s="357">
        <f>_xlfn.IFNA(VLOOKUP(B35,'SPUNTA PER GIRO'!A:N,8,FALSE),0)</f>
        <v>1</v>
      </c>
      <c r="J35" s="358">
        <f>_xlfn.IFNA(ROUND(VLOOKUP(B35,ANALISI!A:O,6,FALSE),2),0)</f>
        <v>12.74</v>
      </c>
      <c r="K35" s="359">
        <f>_xlfn.IFNA(VLOOKUP(B35,ANALISI!A:O,7,FALSE),0)</f>
        <v>2315</v>
      </c>
      <c r="L35" s="360">
        <f>_xlfn.IFNA(VLOOKUP(B35,ANALISI!A:O,8,FALSE),0)</f>
        <v>6</v>
      </c>
      <c r="M35" s="353">
        <f>_xlfn.IFNA(VLOOKUP(B35,'SPUNTA PER GIRO'!A:N,10,FALSE),0)</f>
        <v>15</v>
      </c>
      <c r="N35" s="361">
        <f>_xlfn.IFNA(ROUND(VLOOKUP(B35,ANALISI!A:O,9,FALSE),2),0)</f>
        <v>0.55000000000000004</v>
      </c>
      <c r="O35" s="362">
        <f>_xlfn.IFNA(VLOOKUP(B35,ANALISI!A:O,10,FALSE),0)</f>
        <v>54</v>
      </c>
      <c r="P35" s="363">
        <f>_xlfn.IFNA(VLOOKUP(B35,ANALISI!A:O,11,FALSE),0)</f>
        <v>0</v>
      </c>
      <c r="Q35" s="353">
        <f>_xlfn.IFNA(VLOOKUP(B35,'SPUNTA PER GIRO'!A:N,12,FALSE),0)</f>
        <v>0</v>
      </c>
      <c r="R35" s="364">
        <f>_xlfn.IFNA(ROUND(VLOOKUP(B35,ANALISI!A:O,12,FALSE),2),0)</f>
        <v>0</v>
      </c>
      <c r="S35" s="362">
        <f>_xlfn.IFNA(VLOOKUP(B35,ANALISI!A:O,13,FALSE),0)</f>
        <v>0</v>
      </c>
      <c r="T35" s="86">
        <f t="shared" si="1"/>
        <v>13.290000000000001</v>
      </c>
      <c r="U35" s="87">
        <f t="shared" si="2"/>
        <v>2369</v>
      </c>
      <c r="V35" s="168" t="str">
        <f>_xlfn.IFNA(VLOOKUP(B35,'SPUNTA PER GIRO'!A:T,20,FALSE),"")</f>
        <v/>
      </c>
      <c r="W35" s="88"/>
      <c r="X35" s="168"/>
      <c r="Y35" s="88"/>
      <c r="Z35" s="168"/>
      <c r="AA35" s="89"/>
      <c r="AB35" s="169"/>
      <c r="AC35" s="173"/>
      <c r="AD35" s="171">
        <v>1805282</v>
      </c>
      <c r="AE35" s="176"/>
      <c r="AF35" s="172"/>
    </row>
    <row r="36" spans="1:32" ht="14.25" customHeight="1" thickBot="1" x14ac:dyDescent="0.3">
      <c r="A36" s="152">
        <v>1</v>
      </c>
      <c r="B36" s="153">
        <v>10265</v>
      </c>
      <c r="C36" s="154" t="s">
        <v>56</v>
      </c>
      <c r="D36" s="155" t="s">
        <v>58</v>
      </c>
      <c r="E36" s="233" t="s">
        <v>37</v>
      </c>
      <c r="F36" s="356">
        <f>_xlfn.IFNA(VLOOKUP(B36,ANALISI!A:O,4,FALSE),0)</f>
        <v>48</v>
      </c>
      <c r="G36" s="357">
        <f>_xlfn.IFNA(VLOOKUP(B36,'SPUNTA PER GIRO'!A:N,6,FALSE),0)</f>
        <v>38</v>
      </c>
      <c r="H36" s="357">
        <f>_xlfn.IFNA(VLOOKUP(B36,ANALISI!A:O,5,FALSE),0)</f>
        <v>0</v>
      </c>
      <c r="I36" s="357">
        <f>_xlfn.IFNA(VLOOKUP(B36,'SPUNTA PER GIRO'!A:N,8,FALSE),0)</f>
        <v>1</v>
      </c>
      <c r="J36" s="358">
        <f>_xlfn.IFNA(ROUND(VLOOKUP(B36,ANALISI!A:O,6,FALSE),2),0)</f>
        <v>4.83</v>
      </c>
      <c r="K36" s="359">
        <f>_xlfn.IFNA(VLOOKUP(B36,ANALISI!A:O,7,FALSE),0)</f>
        <v>759</v>
      </c>
      <c r="L36" s="360">
        <f>_xlfn.IFNA(VLOOKUP(B36,ANALISI!A:O,8,FALSE),0)</f>
        <v>2</v>
      </c>
      <c r="M36" s="353">
        <f>_xlfn.IFNA(VLOOKUP(B36,'SPUNTA PER GIRO'!A:N,10,FALSE),0)</f>
        <v>8</v>
      </c>
      <c r="N36" s="361">
        <f>_xlfn.IFNA(ROUND(VLOOKUP(B36,ANALISI!A:O,9,FALSE),2),0)</f>
        <v>0.22</v>
      </c>
      <c r="O36" s="362">
        <f>_xlfn.IFNA(VLOOKUP(B36,ANALISI!A:O,10,FALSE),0)</f>
        <v>25</v>
      </c>
      <c r="P36" s="363">
        <f>_xlfn.IFNA(VLOOKUP(B36,ANALISI!A:O,11,FALSE),0)</f>
        <v>0</v>
      </c>
      <c r="Q36" s="353">
        <f>_xlfn.IFNA(VLOOKUP(B36,'SPUNTA PER GIRO'!A:N,12,FALSE),0)</f>
        <v>0</v>
      </c>
      <c r="R36" s="364">
        <f>_xlfn.IFNA(ROUND(VLOOKUP(B36,ANALISI!A:O,12,FALSE),2),0)</f>
        <v>0</v>
      </c>
      <c r="S36" s="362">
        <f>_xlfn.IFNA(VLOOKUP(B36,ANALISI!A:O,13,FALSE),0)</f>
        <v>0</v>
      </c>
      <c r="T36" s="86">
        <f t="shared" si="1"/>
        <v>5.05</v>
      </c>
      <c r="U36" s="87">
        <f t="shared" si="2"/>
        <v>784</v>
      </c>
      <c r="V36" s="168" t="str">
        <f>_xlfn.IFNA(VLOOKUP(B36,'SPUNTA PER GIRO'!A:T,20,FALSE),"")</f>
        <v/>
      </c>
      <c r="W36" s="88"/>
      <c r="X36" s="168"/>
      <c r="Y36" s="88"/>
      <c r="Z36" s="168"/>
      <c r="AA36" s="89"/>
      <c r="AB36" s="169"/>
      <c r="AC36" s="173"/>
      <c r="AD36" s="171">
        <v>1805282</v>
      </c>
      <c r="AE36" s="176"/>
      <c r="AF36" s="172"/>
    </row>
    <row r="37" spans="1:32" ht="14.25" customHeight="1" thickBot="1" x14ac:dyDescent="0.3">
      <c r="A37" s="152">
        <v>1</v>
      </c>
      <c r="B37" s="286">
        <v>16647</v>
      </c>
      <c r="C37" s="287" t="s">
        <v>56</v>
      </c>
      <c r="D37" s="288" t="s">
        <v>43</v>
      </c>
      <c r="E37" s="233" t="s">
        <v>37</v>
      </c>
      <c r="F37" s="356">
        <f>_xlfn.IFNA(VLOOKUP(B37,ANALISI!A:O,4,FALSE),0)</f>
        <v>67</v>
      </c>
      <c r="G37" s="357">
        <f>_xlfn.IFNA(VLOOKUP(B37,'SPUNTA PER GIRO'!A:N,6,FALSE),0)</f>
        <v>59</v>
      </c>
      <c r="H37" s="357">
        <f>_xlfn.IFNA(VLOOKUP(B37,ANALISI!A:O,5,FALSE),0)</f>
        <v>0</v>
      </c>
      <c r="I37" s="357">
        <f>_xlfn.IFNA(VLOOKUP(B37,'SPUNTA PER GIRO'!A:N,8,FALSE),0)</f>
        <v>2</v>
      </c>
      <c r="J37" s="358">
        <f>_xlfn.IFNA(ROUND(VLOOKUP(B37,ANALISI!A:O,6,FALSE),2),0)</f>
        <v>7.17</v>
      </c>
      <c r="K37" s="359">
        <f>_xlfn.IFNA(VLOOKUP(B37,ANALISI!A:O,7,FALSE),0)</f>
        <v>1212</v>
      </c>
      <c r="L37" s="360">
        <f>_xlfn.IFNA(VLOOKUP(B37,ANALISI!A:O,8,FALSE),0)</f>
        <v>3</v>
      </c>
      <c r="M37" s="353">
        <f>_xlfn.IFNA(VLOOKUP(B37,'SPUNTA PER GIRO'!A:N,10,FALSE),0)</f>
        <v>9</v>
      </c>
      <c r="N37" s="361">
        <f>_xlfn.IFNA(ROUND(VLOOKUP(B37,ANALISI!A:O,9,FALSE),2),0)</f>
        <v>0.32</v>
      </c>
      <c r="O37" s="362">
        <f>_xlfn.IFNA(VLOOKUP(B37,ANALISI!A:O,10,FALSE),0)</f>
        <v>36</v>
      </c>
      <c r="P37" s="363">
        <f>_xlfn.IFNA(VLOOKUP(B37,ANALISI!A:O,11,FALSE),0)</f>
        <v>0</v>
      </c>
      <c r="Q37" s="353">
        <f>_xlfn.IFNA(VLOOKUP(B37,'SPUNTA PER GIRO'!A:N,12,FALSE),0)</f>
        <v>0</v>
      </c>
      <c r="R37" s="364">
        <f>_xlfn.IFNA(ROUND(VLOOKUP(B37,ANALISI!A:O,12,FALSE),2),0)</f>
        <v>0</v>
      </c>
      <c r="S37" s="362">
        <f>_xlfn.IFNA(VLOOKUP(B37,ANALISI!A:O,13,FALSE),0)</f>
        <v>0</v>
      </c>
      <c r="T37" s="86">
        <f t="shared" si="1"/>
        <v>7.49</v>
      </c>
      <c r="U37" s="87">
        <f t="shared" si="2"/>
        <v>1248</v>
      </c>
      <c r="V37" s="168" t="str">
        <f>_xlfn.IFNA(VLOOKUP(B37,'SPUNTA PER GIRO'!A:T,20,FALSE),"")</f>
        <v/>
      </c>
      <c r="W37" s="88"/>
      <c r="X37" s="168"/>
      <c r="Y37" s="88"/>
      <c r="Z37" s="168"/>
      <c r="AA37" s="89"/>
      <c r="AB37" s="169"/>
      <c r="AC37" s="173"/>
      <c r="AD37" s="171">
        <v>1805282</v>
      </c>
      <c r="AE37" s="176"/>
      <c r="AF37" s="176"/>
    </row>
    <row r="38" spans="1:32" ht="14.25" customHeight="1" thickBot="1" x14ac:dyDescent="0.3">
      <c r="A38" s="152">
        <v>1</v>
      </c>
      <c r="B38" s="153">
        <v>12154</v>
      </c>
      <c r="C38" s="154" t="s">
        <v>56</v>
      </c>
      <c r="D38" s="155" t="s">
        <v>55</v>
      </c>
      <c r="E38" s="233" t="s">
        <v>33</v>
      </c>
      <c r="F38" s="356">
        <f>_xlfn.IFNA(VLOOKUP(B38,ANALISI!A:O,4,FALSE),0)</f>
        <v>20</v>
      </c>
      <c r="G38" s="357">
        <f>_xlfn.IFNA(VLOOKUP(B38,'SPUNTA PER GIRO'!A:N,6,FALSE),0)</f>
        <v>50</v>
      </c>
      <c r="H38" s="357">
        <f>_xlfn.IFNA(VLOOKUP(B38,ANALISI!A:O,5,FALSE),0)</f>
        <v>0</v>
      </c>
      <c r="I38" s="357">
        <f>_xlfn.IFNA(VLOOKUP(B38,'SPUNTA PER GIRO'!A:N,8,FALSE),0)</f>
        <v>0</v>
      </c>
      <c r="J38" s="358">
        <f>_xlfn.IFNA(ROUND(VLOOKUP(B38,ANALISI!A:O,6,FALSE),2),0)</f>
        <v>2.06</v>
      </c>
      <c r="K38" s="359">
        <f>_xlfn.IFNA(VLOOKUP(B38,ANALISI!A:O,7,FALSE),0)</f>
        <v>350</v>
      </c>
      <c r="L38" s="360">
        <f>_xlfn.IFNA(VLOOKUP(B38,ANALISI!A:O,8,FALSE),0)</f>
        <v>4</v>
      </c>
      <c r="M38" s="353">
        <f>_xlfn.IFNA(VLOOKUP(B38,'SPUNTA PER GIRO'!A:N,10,FALSE),0)</f>
        <v>12</v>
      </c>
      <c r="N38" s="361">
        <f>_xlfn.IFNA(ROUND(VLOOKUP(B38,ANALISI!A:O,9,FALSE),2),0)</f>
        <v>0.38</v>
      </c>
      <c r="O38" s="362">
        <f>_xlfn.IFNA(VLOOKUP(B38,ANALISI!A:O,10,FALSE),0)</f>
        <v>38</v>
      </c>
      <c r="P38" s="363">
        <f>_xlfn.IFNA(VLOOKUP(B38,ANALISI!A:O,11,FALSE),0)</f>
        <v>0</v>
      </c>
      <c r="Q38" s="353">
        <f>_xlfn.IFNA(VLOOKUP(B38,'SPUNTA PER GIRO'!A:N,12,FALSE),0)</f>
        <v>0</v>
      </c>
      <c r="R38" s="364">
        <f>_xlfn.IFNA(ROUND(VLOOKUP(B38,ANALISI!A:O,12,FALSE),2),0)</f>
        <v>0</v>
      </c>
      <c r="S38" s="362">
        <f>_xlfn.IFNA(VLOOKUP(B38,ANALISI!A:O,13,FALSE),0)</f>
        <v>0</v>
      </c>
      <c r="T38" s="86">
        <f t="shared" si="1"/>
        <v>2.44</v>
      </c>
      <c r="U38" s="87">
        <f t="shared" si="2"/>
        <v>388</v>
      </c>
      <c r="V38" s="168" t="str">
        <f>_xlfn.IFNA(VLOOKUP(B38,'SPUNTA PER GIRO'!A:T,20,FALSE),"")</f>
        <v/>
      </c>
      <c r="W38" s="88"/>
      <c r="X38" s="168"/>
      <c r="Y38" s="88"/>
      <c r="Z38" s="168"/>
      <c r="AA38" s="89"/>
      <c r="AB38" s="169"/>
      <c r="AC38" s="173"/>
      <c r="AD38" s="171">
        <v>1805282</v>
      </c>
      <c r="AE38" s="176"/>
      <c r="AF38" s="176"/>
    </row>
    <row r="39" spans="1:32" ht="14.25" customHeight="1" thickBot="1" x14ac:dyDescent="0.3">
      <c r="A39" s="152">
        <v>1</v>
      </c>
      <c r="B39" s="153">
        <v>12271</v>
      </c>
      <c r="C39" s="154" t="s">
        <v>59</v>
      </c>
      <c r="D39" s="155" t="s">
        <v>32</v>
      </c>
      <c r="E39" s="233" t="s">
        <v>33</v>
      </c>
      <c r="F39" s="356">
        <f>_xlfn.IFNA(VLOOKUP(B39,ANALISI!A:O,4,FALSE),0)</f>
        <v>220</v>
      </c>
      <c r="G39" s="357">
        <f>_xlfn.IFNA(VLOOKUP(B39,'SPUNTA PER GIRO'!A:N,6,FALSE),0)</f>
        <v>183</v>
      </c>
      <c r="H39" s="357">
        <f>_xlfn.IFNA(VLOOKUP(B39,ANALISI!A:O,5,FALSE),0)</f>
        <v>10</v>
      </c>
      <c r="I39" s="357">
        <f>_xlfn.IFNA(VLOOKUP(B39,'SPUNTA PER GIRO'!A:N,8,FALSE),0)</f>
        <v>0</v>
      </c>
      <c r="J39" s="358">
        <f>_xlfn.IFNA(ROUND(VLOOKUP(B39,ANALISI!A:O,6,FALSE),2),0)</f>
        <v>25.56</v>
      </c>
      <c r="K39" s="359">
        <f>_xlfn.IFNA(VLOOKUP(B39,ANALISI!A:O,7,FALSE),0)</f>
        <v>3709</v>
      </c>
      <c r="L39" s="92"/>
      <c r="M39" s="93"/>
      <c r="N39" s="94"/>
      <c r="O39" s="95"/>
      <c r="P39" s="363">
        <f>_xlfn.IFNA(VLOOKUP(B39,ANALISI!A:O,11,FALSE),0)</f>
        <v>0</v>
      </c>
      <c r="Q39" s="353">
        <f>_xlfn.IFNA(VLOOKUP(B39,'SPUNTA PER GIRO'!A:N,12,FALSE),0)</f>
        <v>0</v>
      </c>
      <c r="R39" s="364">
        <f>_xlfn.IFNA(ROUND(VLOOKUP(B39,ANALISI!A:O,12,FALSE),2),0)</f>
        <v>0</v>
      </c>
      <c r="S39" s="362">
        <f>_xlfn.IFNA(VLOOKUP(B39,ANALISI!A:O,13,FALSE),0)</f>
        <v>0</v>
      </c>
      <c r="T39" s="86">
        <f t="shared" ref="T39:U73" si="3">+J39+N39+R39</f>
        <v>25.56</v>
      </c>
      <c r="U39" s="87">
        <f t="shared" ref="U39:U71" si="4">+K39+O39+S39</f>
        <v>3709</v>
      </c>
      <c r="V39" s="168" t="str">
        <f>_xlfn.IFNA(VLOOKUP(B39,'SPUNTA PER GIRO'!A:T,20,FALSE),"")</f>
        <v/>
      </c>
      <c r="W39" s="88"/>
      <c r="X39" s="168"/>
      <c r="Y39" s="88"/>
      <c r="Z39" s="168"/>
      <c r="AA39" s="89"/>
      <c r="AB39" s="169"/>
      <c r="AC39" s="173"/>
      <c r="AD39" s="171">
        <v>1805282</v>
      </c>
      <c r="AE39" s="176"/>
      <c r="AF39" s="176"/>
    </row>
    <row r="40" spans="1:32" ht="14.25" customHeight="1" thickBot="1" x14ac:dyDescent="0.3">
      <c r="A40" s="152">
        <v>1</v>
      </c>
      <c r="B40" s="153">
        <v>12271</v>
      </c>
      <c r="C40" s="154" t="s">
        <v>60</v>
      </c>
      <c r="D40" s="155" t="s">
        <v>32</v>
      </c>
      <c r="E40" s="233" t="s">
        <v>33</v>
      </c>
      <c r="F40" s="96"/>
      <c r="G40" s="97"/>
      <c r="H40" s="97"/>
      <c r="I40" s="97"/>
      <c r="J40" s="98"/>
      <c r="K40" s="99"/>
      <c r="L40" s="360">
        <f>_xlfn.IFNA(VLOOKUP(B40,ANALISI!A:O,8,FALSE),0)</f>
        <v>13</v>
      </c>
      <c r="M40" s="353">
        <f>_xlfn.IFNA(VLOOKUP(B40,'SPUNTA PER GIRO'!A:N,10,FALSE),0)</f>
        <v>10</v>
      </c>
      <c r="N40" s="361">
        <f>_xlfn.IFNA(ROUND(VLOOKUP(B40,ANALISI!A:O,9,FALSE),2),0)</f>
        <v>1.32</v>
      </c>
      <c r="O40" s="362">
        <f>_xlfn.IFNA(VLOOKUP(B40,ANALISI!A:O,10,FALSE),0)</f>
        <v>143</v>
      </c>
      <c r="P40" s="92"/>
      <c r="Q40" s="93"/>
      <c r="R40" s="94"/>
      <c r="S40" s="95"/>
      <c r="T40" s="86">
        <f t="shared" si="3"/>
        <v>1.32</v>
      </c>
      <c r="U40" s="87">
        <f t="shared" si="4"/>
        <v>143</v>
      </c>
      <c r="V40" s="168"/>
      <c r="W40" s="88"/>
      <c r="X40" s="168"/>
      <c r="Y40" s="88"/>
      <c r="Z40" s="168"/>
      <c r="AA40" s="89"/>
      <c r="AB40" s="169"/>
      <c r="AC40" s="173"/>
      <c r="AD40" s="171">
        <v>1805282</v>
      </c>
      <c r="AE40" s="176"/>
      <c r="AF40" s="176"/>
    </row>
    <row r="41" spans="1:32" ht="14.25" customHeight="1" thickBot="1" x14ac:dyDescent="0.3">
      <c r="A41" s="152">
        <v>1</v>
      </c>
      <c r="B41" s="153">
        <v>1265</v>
      </c>
      <c r="C41" s="154" t="s">
        <v>59</v>
      </c>
      <c r="D41" s="155" t="s">
        <v>61</v>
      </c>
      <c r="E41" s="233" t="s">
        <v>37</v>
      </c>
      <c r="F41" s="356">
        <f>_xlfn.IFNA(VLOOKUP(B41,ANALISI!A:O,4,FALSE),0)</f>
        <v>299</v>
      </c>
      <c r="G41" s="357">
        <f>_xlfn.IFNA(VLOOKUP(B41,'SPUNTA PER GIRO'!A:N,6,FALSE),0)</f>
        <v>262</v>
      </c>
      <c r="H41" s="357">
        <f>_xlfn.IFNA(VLOOKUP(B41,ANALISI!A:O,5,FALSE),0)</f>
        <v>24</v>
      </c>
      <c r="I41" s="357">
        <f>_xlfn.IFNA(VLOOKUP(B41,'SPUNTA PER GIRO'!A:N,8,FALSE),0)</f>
        <v>15</v>
      </c>
      <c r="J41" s="358">
        <f>_xlfn.IFNA(ROUND(VLOOKUP(B41,ANALISI!A:O,6,FALSE),2),0)</f>
        <v>36.409999999999997</v>
      </c>
      <c r="K41" s="359">
        <f>_xlfn.IFNA(VLOOKUP(B41,ANALISI!A:O,7,FALSE),0)</f>
        <v>5547</v>
      </c>
      <c r="L41" s="92"/>
      <c r="M41" s="93"/>
      <c r="N41" s="94"/>
      <c r="O41" s="95"/>
      <c r="P41" s="363">
        <f>_xlfn.IFNA(VLOOKUP(B41,ANALISI!A:O,11,FALSE),0)</f>
        <v>0</v>
      </c>
      <c r="Q41" s="353">
        <f>_xlfn.IFNA(VLOOKUP(B41,'SPUNTA PER GIRO'!A:N,12,FALSE),0)</f>
        <v>0</v>
      </c>
      <c r="R41" s="364">
        <f>_xlfn.IFNA(ROUND(VLOOKUP(B41,ANALISI!A:O,12,FALSE),2),0)</f>
        <v>0</v>
      </c>
      <c r="S41" s="362">
        <f>_xlfn.IFNA(VLOOKUP(B41,ANALISI!A:O,13,FALSE),0)</f>
        <v>0</v>
      </c>
      <c r="T41" s="86">
        <f t="shared" si="3"/>
        <v>36.409999999999997</v>
      </c>
      <c r="U41" s="87">
        <f t="shared" si="4"/>
        <v>5547</v>
      </c>
      <c r="V41" s="168" t="str">
        <f>_xlfn.IFNA(VLOOKUP(B41,'SPUNTA PER GIRO'!A:T,20,FALSE),"")</f>
        <v xml:space="preserve">1C  da </v>
      </c>
      <c r="W41" s="88"/>
      <c r="X41" s="168"/>
      <c r="Y41" s="88"/>
      <c r="Z41" s="168"/>
      <c r="AA41" s="89"/>
      <c r="AB41" s="169"/>
      <c r="AC41" s="173"/>
      <c r="AD41" s="171">
        <v>1805282</v>
      </c>
      <c r="AE41" s="176"/>
      <c r="AF41" s="176"/>
    </row>
    <row r="42" spans="1:32" ht="14.25" customHeight="1" thickBot="1" x14ac:dyDescent="0.3">
      <c r="A42" s="152">
        <v>1</v>
      </c>
      <c r="B42" s="153">
        <v>1265</v>
      </c>
      <c r="C42" s="154" t="s">
        <v>60</v>
      </c>
      <c r="D42" s="155" t="s">
        <v>61</v>
      </c>
      <c r="E42" s="233" t="s">
        <v>37</v>
      </c>
      <c r="F42" s="96"/>
      <c r="G42" s="97"/>
      <c r="H42" s="97"/>
      <c r="I42" s="97"/>
      <c r="J42" s="98"/>
      <c r="K42" s="99"/>
      <c r="L42" s="360">
        <f>_xlfn.IFNA(VLOOKUP(B42,ANALISI!A:O,8,FALSE),0)</f>
        <v>36</v>
      </c>
      <c r="M42" s="353">
        <f>_xlfn.IFNA(VLOOKUP(B42,'SPUNTA PER GIRO'!A:N,10,FALSE),0)</f>
        <v>22</v>
      </c>
      <c r="N42" s="361">
        <f>_xlfn.IFNA(ROUND(VLOOKUP(B42,ANALISI!A:O,9,FALSE),2),0)</f>
        <v>3.56</v>
      </c>
      <c r="O42" s="362">
        <f>_xlfn.IFNA(VLOOKUP(B42,ANALISI!A:O,10,FALSE),0)</f>
        <v>411</v>
      </c>
      <c r="P42" s="92"/>
      <c r="Q42" s="93"/>
      <c r="R42" s="94"/>
      <c r="S42" s="95"/>
      <c r="T42" s="86">
        <f t="shared" si="3"/>
        <v>3.56</v>
      </c>
      <c r="U42" s="87">
        <f t="shared" si="4"/>
        <v>411</v>
      </c>
      <c r="V42" s="168" t="str">
        <f>_xlfn.IFNA(VLOOKUP(B42,'SPUNTA PER GIRO'!A:T,20,FALSE),"")</f>
        <v xml:space="preserve">1C  da </v>
      </c>
      <c r="W42" s="88"/>
      <c r="X42" s="168"/>
      <c r="Y42" s="88"/>
      <c r="Z42" s="168"/>
      <c r="AA42" s="89"/>
      <c r="AB42" s="169"/>
      <c r="AC42" s="173"/>
      <c r="AD42" s="171">
        <v>1805282</v>
      </c>
      <c r="AE42" s="176"/>
      <c r="AF42" s="176"/>
    </row>
    <row r="43" spans="1:32" ht="14.25" customHeight="1" thickBot="1" x14ac:dyDescent="0.3">
      <c r="A43" s="152">
        <v>1</v>
      </c>
      <c r="B43" s="153">
        <v>3534</v>
      </c>
      <c r="C43" s="154" t="s">
        <v>59</v>
      </c>
      <c r="D43" s="155" t="s">
        <v>34</v>
      </c>
      <c r="E43" s="233" t="s">
        <v>37</v>
      </c>
      <c r="F43" s="356">
        <f>_xlfn.IFNA(VLOOKUP(B43,ANALISI!A:O,4,FALSE),0)</f>
        <v>370</v>
      </c>
      <c r="G43" s="357">
        <f>_xlfn.IFNA(VLOOKUP(B43,'SPUNTA PER GIRO'!A:N,6,FALSE),0)</f>
        <v>294</v>
      </c>
      <c r="H43" s="357">
        <f>_xlfn.IFNA(VLOOKUP(B43,ANALISI!A:O,5,FALSE),0)</f>
        <v>28</v>
      </c>
      <c r="I43" s="357">
        <f>_xlfn.IFNA(VLOOKUP(B43,'SPUNTA PER GIRO'!A:N,8,FALSE),0)</f>
        <v>0</v>
      </c>
      <c r="J43" s="358">
        <f>_xlfn.IFNA(ROUND(VLOOKUP(B43,ANALISI!A:O,6,FALSE),2),0)</f>
        <v>43.31</v>
      </c>
      <c r="K43" s="359">
        <f>_xlfn.IFNA(VLOOKUP(B43,ANALISI!A:O,7,FALSE),0)</f>
        <v>6544</v>
      </c>
      <c r="L43" s="92"/>
      <c r="M43" s="93"/>
      <c r="N43" s="94"/>
      <c r="O43" s="95"/>
      <c r="P43" s="363">
        <f>_xlfn.IFNA(VLOOKUP(B43,ANALISI!A:O,11,FALSE),0)</f>
        <v>0</v>
      </c>
      <c r="Q43" s="353">
        <f>_xlfn.IFNA(VLOOKUP(B43,'SPUNTA PER GIRO'!A:N,12,FALSE),0)</f>
        <v>0</v>
      </c>
      <c r="R43" s="364">
        <f>_xlfn.IFNA(ROUND(VLOOKUP(B43,ANALISI!A:O,12,FALSE),2),0)</f>
        <v>0</v>
      </c>
      <c r="S43" s="362">
        <f>_xlfn.IFNA(VLOOKUP(B43,ANALISI!A:O,13,FALSE),0)</f>
        <v>0</v>
      </c>
      <c r="T43" s="86">
        <f t="shared" si="3"/>
        <v>43.31</v>
      </c>
      <c r="U43" s="87">
        <f t="shared" si="4"/>
        <v>6544</v>
      </c>
      <c r="V43" s="168" t="str">
        <f>_xlfn.IFNA(VLOOKUP(B43,'SPUNTA PER GIRO'!A:T,20,FALSE),"")</f>
        <v/>
      </c>
      <c r="W43" s="88"/>
      <c r="X43" s="168"/>
      <c r="Y43" s="88"/>
      <c r="Z43" s="168"/>
      <c r="AA43" s="89"/>
      <c r="AB43" s="169"/>
      <c r="AC43" s="173"/>
      <c r="AD43" s="171">
        <v>1805282</v>
      </c>
      <c r="AE43" s="176"/>
      <c r="AF43" s="176"/>
    </row>
    <row r="44" spans="1:32" ht="14.25" customHeight="1" thickBot="1" x14ac:dyDescent="0.3">
      <c r="A44" s="152">
        <v>1</v>
      </c>
      <c r="B44" s="153">
        <v>3534</v>
      </c>
      <c r="C44" s="154" t="s">
        <v>60</v>
      </c>
      <c r="D44" s="155" t="s">
        <v>34</v>
      </c>
      <c r="E44" s="233" t="s">
        <v>37</v>
      </c>
      <c r="F44" s="96"/>
      <c r="G44" s="97"/>
      <c r="H44" s="97"/>
      <c r="I44" s="97"/>
      <c r="J44" s="98"/>
      <c r="K44" s="99"/>
      <c r="L44" s="360">
        <f>_xlfn.IFNA(VLOOKUP(B44,ANALISI!A:O,8,FALSE),0)</f>
        <v>31</v>
      </c>
      <c r="M44" s="353">
        <f>_xlfn.IFNA(VLOOKUP(B44,'SPUNTA PER GIRO'!A:N,10,FALSE),0)</f>
        <v>17</v>
      </c>
      <c r="N44" s="361">
        <f>_xlfn.IFNA(ROUND(VLOOKUP(B44,ANALISI!A:O,9,FALSE),2),0)</f>
        <v>2.96</v>
      </c>
      <c r="O44" s="362">
        <f>_xlfn.IFNA(VLOOKUP(B44,ANALISI!A:O,10,FALSE),0)</f>
        <v>326</v>
      </c>
      <c r="P44" s="92"/>
      <c r="Q44" s="93"/>
      <c r="R44" s="94"/>
      <c r="S44" s="95"/>
      <c r="T44" s="86">
        <f t="shared" si="3"/>
        <v>2.96</v>
      </c>
      <c r="U44" s="87">
        <f t="shared" si="4"/>
        <v>326</v>
      </c>
      <c r="V44" s="168" t="str">
        <f>_xlfn.IFNA(VLOOKUP(B44,'SPUNTA PER GIRO'!A:T,20,FALSE),"")</f>
        <v/>
      </c>
      <c r="W44" s="88"/>
      <c r="X44" s="168"/>
      <c r="Y44" s="88"/>
      <c r="Z44" s="168"/>
      <c r="AA44" s="89"/>
      <c r="AB44" s="169"/>
      <c r="AC44" s="173"/>
      <c r="AD44" s="171">
        <v>1805282</v>
      </c>
      <c r="AE44" s="176"/>
      <c r="AF44" s="176"/>
    </row>
    <row r="45" spans="1:32" ht="14.25" customHeight="1" thickBot="1" x14ac:dyDescent="0.3">
      <c r="A45" s="152">
        <v>1</v>
      </c>
      <c r="B45" s="153">
        <v>3680</v>
      </c>
      <c r="C45" s="154" t="s">
        <v>62</v>
      </c>
      <c r="D45" s="159" t="s">
        <v>63</v>
      </c>
      <c r="E45" s="233" t="s">
        <v>37</v>
      </c>
      <c r="F45" s="356">
        <f>_xlfn.IFNA(VLOOKUP(B45,ANALISI!A:O,4,FALSE),0)</f>
        <v>273</v>
      </c>
      <c r="G45" s="357">
        <f>_xlfn.IFNA(VLOOKUP(B45,'SPUNTA PER GIRO'!A:N,6,FALSE),0)</f>
        <v>19</v>
      </c>
      <c r="H45" s="357">
        <f>_xlfn.IFNA(VLOOKUP(B45,ANALISI!A:O,5,FALSE),0)</f>
        <v>37</v>
      </c>
      <c r="I45" s="357">
        <f>_xlfn.IFNA(VLOOKUP(B45,'SPUNTA PER GIRO'!A:N,8,FALSE),0)</f>
        <v>2</v>
      </c>
      <c r="J45" s="358">
        <f>_xlfn.IFNA(ROUND(VLOOKUP(B45,ANALISI!A:O,6,FALSE),2),0)</f>
        <v>32.64</v>
      </c>
      <c r="K45" s="359">
        <f>_xlfn.IFNA(VLOOKUP(B45,ANALISI!A:O,7,FALSE),0)</f>
        <v>5069</v>
      </c>
      <c r="L45" s="92"/>
      <c r="M45" s="93"/>
      <c r="N45" s="94"/>
      <c r="O45" s="95"/>
      <c r="P45" s="363">
        <f>_xlfn.IFNA(VLOOKUP(B45,ANALISI!A:O,11,FALSE),0)</f>
        <v>0</v>
      </c>
      <c r="Q45" s="353">
        <f>_xlfn.IFNA(VLOOKUP(B45,'SPUNTA PER GIRO'!A:N,12,FALSE),0)</f>
        <v>0</v>
      </c>
      <c r="R45" s="364">
        <f>_xlfn.IFNA(ROUND(VLOOKUP(B45,ANALISI!A:O,12,FALSE),2),0)</f>
        <v>0</v>
      </c>
      <c r="S45" s="362">
        <f>_xlfn.IFNA(VLOOKUP(B45,ANALISI!A:O,13,FALSE),0)</f>
        <v>0</v>
      </c>
      <c r="T45" s="86">
        <f t="shared" si="3"/>
        <v>32.64</v>
      </c>
      <c r="U45" s="87">
        <f t="shared" si="4"/>
        <v>5069</v>
      </c>
      <c r="V45" s="168" t="str">
        <f>_xlfn.IFNA(VLOOKUP(B45,'SPUNTA PER GIRO'!A:T,20,FALSE),"")</f>
        <v xml:space="preserve">17C  da 215C  da 2C  da </v>
      </c>
      <c r="W45" s="88"/>
      <c r="X45" s="168"/>
      <c r="Y45" s="88"/>
      <c r="Z45" s="168"/>
      <c r="AA45" s="89"/>
      <c r="AB45" s="169"/>
      <c r="AC45" s="173"/>
      <c r="AD45" s="171">
        <v>1805282</v>
      </c>
      <c r="AE45" s="176"/>
      <c r="AF45" s="176"/>
    </row>
    <row r="46" spans="1:32" ht="14.25" customHeight="1" thickBot="1" x14ac:dyDescent="0.3">
      <c r="A46" s="152">
        <v>1</v>
      </c>
      <c r="B46" s="153">
        <v>3680</v>
      </c>
      <c r="C46" s="154" t="s">
        <v>60</v>
      </c>
      <c r="D46" s="155" t="s">
        <v>35</v>
      </c>
      <c r="E46" s="233" t="s">
        <v>37</v>
      </c>
      <c r="F46" s="96"/>
      <c r="G46" s="97"/>
      <c r="H46" s="97"/>
      <c r="I46" s="97"/>
      <c r="J46" s="98"/>
      <c r="K46" s="99"/>
      <c r="L46" s="360">
        <f>_xlfn.IFNA(VLOOKUP(B46,ANALISI!A:O,8,FALSE),0)</f>
        <v>48</v>
      </c>
      <c r="M46" s="353">
        <f>_xlfn.IFNA(VLOOKUP(B46,'SPUNTA PER GIRO'!A:N,10,FALSE),0)</f>
        <v>33</v>
      </c>
      <c r="N46" s="361">
        <f>_xlfn.IFNA(ROUND(VLOOKUP(B46,ANALISI!A:O,9,FALSE),2),0)</f>
        <v>4.72</v>
      </c>
      <c r="O46" s="362">
        <f>_xlfn.IFNA(VLOOKUP(B46,ANALISI!A:O,10,FALSE),0)</f>
        <v>520</v>
      </c>
      <c r="P46" s="92"/>
      <c r="Q46" s="93"/>
      <c r="R46" s="94"/>
      <c r="S46" s="95"/>
      <c r="T46" s="86">
        <f t="shared" si="3"/>
        <v>4.72</v>
      </c>
      <c r="U46" s="87">
        <f t="shared" si="4"/>
        <v>520</v>
      </c>
      <c r="V46" s="168" t="str">
        <f>_xlfn.IFNA(VLOOKUP(B46,'SPUNTA PER GIRO'!A:T,20,FALSE),"")</f>
        <v xml:space="preserve">17C  da 215C  da 2C  da </v>
      </c>
      <c r="W46" s="88"/>
      <c r="X46" s="168"/>
      <c r="Y46" s="88"/>
      <c r="Z46" s="168"/>
      <c r="AA46" s="89"/>
      <c r="AB46" s="169"/>
      <c r="AC46" s="173"/>
      <c r="AD46" s="171">
        <v>1805282</v>
      </c>
      <c r="AE46" s="176"/>
      <c r="AF46" s="176"/>
    </row>
    <row r="47" spans="1:32" ht="14.25" customHeight="1" thickBot="1" x14ac:dyDescent="0.3">
      <c r="A47" s="152">
        <v>1</v>
      </c>
      <c r="B47" s="160">
        <v>3680</v>
      </c>
      <c r="C47" s="289" t="s">
        <v>62</v>
      </c>
      <c r="D47" s="348" t="s">
        <v>64</v>
      </c>
      <c r="E47" s="233" t="s">
        <v>37</v>
      </c>
      <c r="F47" s="243"/>
      <c r="G47" s="244"/>
      <c r="H47" s="244"/>
      <c r="I47" s="244"/>
      <c r="J47" s="245">
        <f>IF($AB$47 &gt;0,+J45,0)</f>
        <v>0</v>
      </c>
      <c r="K47" s="245">
        <f>IF($AB$47 &gt;0,+K45,0)</f>
        <v>0</v>
      </c>
      <c r="L47" s="243"/>
      <c r="M47" s="246"/>
      <c r="N47" s="247"/>
      <c r="O47" s="248"/>
      <c r="P47" s="243"/>
      <c r="Q47" s="246"/>
      <c r="R47" s="247"/>
      <c r="S47" s="248"/>
      <c r="T47" s="433"/>
      <c r="U47" s="434"/>
      <c r="V47" s="168" t="str">
        <f>_xlfn.IFNA(VLOOKUP(B47,'SPUNTA PER GIRO'!A:T,20,FALSE),"")</f>
        <v xml:space="preserve">17C  da 215C  da 2C  da </v>
      </c>
      <c r="W47" s="88"/>
      <c r="X47" s="168"/>
      <c r="Y47" s="88"/>
      <c r="Z47" s="168"/>
      <c r="AA47" s="89"/>
      <c r="AB47" s="177"/>
      <c r="AC47" s="173"/>
      <c r="AD47" s="171">
        <v>1805282</v>
      </c>
      <c r="AE47" s="176"/>
      <c r="AF47" s="176"/>
    </row>
    <row r="48" spans="1:32" ht="14.25" customHeight="1" thickBot="1" x14ac:dyDescent="0.3">
      <c r="A48" s="152">
        <v>1</v>
      </c>
      <c r="B48" s="158" t="s">
        <v>65</v>
      </c>
      <c r="C48" s="157" t="s">
        <v>62</v>
      </c>
      <c r="D48" s="155" t="s">
        <v>66</v>
      </c>
      <c r="E48" s="234" t="s">
        <v>33</v>
      </c>
      <c r="F48" s="356">
        <f>_xlfn.IFNA(VLOOKUP(B48,ANALISI!A:O,4,FALSE),0)</f>
        <v>0</v>
      </c>
      <c r="G48" s="357">
        <f>_xlfn.IFNA(VLOOKUP(B48,'SPUNTA PER GIRO'!A:N,6,FALSE),0)</f>
        <v>0</v>
      </c>
      <c r="H48" s="357">
        <f>_xlfn.IFNA(VLOOKUP(B48,ANALISI!A:O,5,FALSE),0)</f>
        <v>0</v>
      </c>
      <c r="I48" s="357">
        <f>_xlfn.IFNA(VLOOKUP(B48,'SPUNTA PER GIRO'!A:N,8,FALSE),0)</f>
        <v>0</v>
      </c>
      <c r="J48" s="358">
        <f>_xlfn.IFNA(ROUND(VLOOKUP(B48,ANALISI!A:O,6,FALSE),2),0)</f>
        <v>0</v>
      </c>
      <c r="K48" s="359">
        <f>_xlfn.IFNA(VLOOKUP(B48,ANALISI!A:O,7,FALSE),0)</f>
        <v>0</v>
      </c>
      <c r="L48" s="360">
        <f>_xlfn.IFNA(VLOOKUP(B48,ANALISI!A:O,8,FALSE),0)</f>
        <v>0</v>
      </c>
      <c r="M48" s="353">
        <f>_xlfn.IFNA(VLOOKUP(B48,'SPUNTA PER GIRO'!A:N,10,FALSE),0)</f>
        <v>0</v>
      </c>
      <c r="N48" s="361">
        <f>_xlfn.IFNA(ROUND(VLOOKUP(B48,ANALISI!A:O,9,FALSE),2),0)</f>
        <v>0</v>
      </c>
      <c r="O48" s="362">
        <f>_xlfn.IFNA(VLOOKUP(B48,ANALISI!A:O,10,FALSE),0)</f>
        <v>0</v>
      </c>
      <c r="P48" s="363">
        <f>_xlfn.IFNA(VLOOKUP(B48,ANALISI!A:O,11,FALSE),0)</f>
        <v>0</v>
      </c>
      <c r="Q48" s="353">
        <f>_xlfn.IFNA(VLOOKUP(B48,'SPUNTA PER GIRO'!A:N,12,FALSE),0)</f>
        <v>0</v>
      </c>
      <c r="R48" s="364">
        <f>_xlfn.IFNA(ROUND(VLOOKUP(B48,ANALISI!A:O,12,FALSE),2),0)</f>
        <v>0</v>
      </c>
      <c r="S48" s="362">
        <f>_xlfn.IFNA(VLOOKUP(B48,ANALISI!A:O,13,FALSE),0)</f>
        <v>0</v>
      </c>
      <c r="T48" s="435"/>
      <c r="U48" s="436"/>
      <c r="V48" s="168" t="str">
        <f>_xlfn.IFNA(VLOOKUP(B48,'SPUNTA PER GIRO'!A:T,20,FALSE),"")</f>
        <v/>
      </c>
      <c r="W48" s="88"/>
      <c r="X48" s="168"/>
      <c r="Y48" s="88"/>
      <c r="Z48" s="168"/>
      <c r="AA48" s="89"/>
      <c r="AB48" s="169"/>
      <c r="AC48" s="173"/>
      <c r="AD48" s="171">
        <v>1805282</v>
      </c>
      <c r="AE48" s="176"/>
      <c r="AF48" s="176"/>
    </row>
    <row r="49" spans="1:32" ht="14.25" customHeight="1" thickBot="1" x14ac:dyDescent="0.3">
      <c r="A49" s="152">
        <v>1</v>
      </c>
      <c r="B49" s="161">
        <v>9226</v>
      </c>
      <c r="C49" s="154" t="s">
        <v>59</v>
      </c>
      <c r="D49" s="162" t="s">
        <v>67</v>
      </c>
      <c r="E49" s="233" t="s">
        <v>37</v>
      </c>
      <c r="F49" s="356">
        <f>_xlfn.IFNA(VLOOKUP(B49,ANALISI!A:O,4,FALSE),0)</f>
        <v>280</v>
      </c>
      <c r="G49" s="357">
        <f>_xlfn.IFNA(VLOOKUP(B49,'SPUNTA PER GIRO'!A:N,6,FALSE),0)</f>
        <v>0</v>
      </c>
      <c r="H49" s="357">
        <f>_xlfn.IFNA(VLOOKUP(B49,ANALISI!A:O,5,FALSE),0)</f>
        <v>61</v>
      </c>
      <c r="I49" s="357">
        <f>_xlfn.IFNA(VLOOKUP(B49,'SPUNTA PER GIRO'!A:N,8,FALSE),0)</f>
        <v>0</v>
      </c>
      <c r="J49" s="358">
        <f>_xlfn.IFNA(ROUND(VLOOKUP(B49,ANALISI!A:O,6,FALSE),2),0)</f>
        <v>35.42</v>
      </c>
      <c r="K49" s="359">
        <f>_xlfn.IFNA(VLOOKUP(B49,ANALISI!A:O,7,FALSE),0)</f>
        <v>5294</v>
      </c>
      <c r="L49" s="92"/>
      <c r="M49" s="93"/>
      <c r="N49" s="94"/>
      <c r="O49" s="95"/>
      <c r="P49" s="363">
        <f>_xlfn.IFNA(VLOOKUP(B49,ANALISI!A:O,11,FALSE),0)</f>
        <v>0</v>
      </c>
      <c r="Q49" s="353">
        <f>_xlfn.IFNA(VLOOKUP(B49,'SPUNTA PER GIRO'!A:N,12,FALSE),0)</f>
        <v>0</v>
      </c>
      <c r="R49" s="364">
        <f>_xlfn.IFNA(ROUND(VLOOKUP(B49,ANALISI!A:O,12,FALSE),2),0)</f>
        <v>0</v>
      </c>
      <c r="S49" s="362">
        <f>_xlfn.IFNA(VLOOKUP(B49,ANALISI!A:O,13,FALSE),0)</f>
        <v>0</v>
      </c>
      <c r="T49" s="86">
        <f t="shared" si="3"/>
        <v>35.42</v>
      </c>
      <c r="U49" s="87">
        <f t="shared" si="4"/>
        <v>5294</v>
      </c>
      <c r="V49" s="168" t="str">
        <f>_xlfn.IFNA(VLOOKUP(B49,'SPUNTA PER GIRO'!A:T,20,FALSE),"")</f>
        <v/>
      </c>
      <c r="W49" s="88"/>
      <c r="X49" s="168"/>
      <c r="Y49" s="88"/>
      <c r="Z49" s="168"/>
      <c r="AA49" s="89"/>
      <c r="AB49" s="169"/>
      <c r="AC49" s="173"/>
      <c r="AD49" s="171">
        <v>1805282</v>
      </c>
      <c r="AE49" s="176"/>
      <c r="AF49" s="176"/>
    </row>
    <row r="50" spans="1:32" ht="14.25" customHeight="1" thickBot="1" x14ac:dyDescent="0.3">
      <c r="A50" s="152">
        <v>1</v>
      </c>
      <c r="B50" s="161">
        <v>9226</v>
      </c>
      <c r="C50" s="154" t="s">
        <v>60</v>
      </c>
      <c r="D50" s="162" t="s">
        <v>67</v>
      </c>
      <c r="E50" s="233" t="s">
        <v>37</v>
      </c>
      <c r="F50" s="92"/>
      <c r="G50" s="93"/>
      <c r="H50" s="93"/>
      <c r="I50" s="93"/>
      <c r="J50" s="94"/>
      <c r="K50" s="95"/>
      <c r="L50" s="360">
        <f>_xlfn.IFNA(VLOOKUP(B50,ANALISI!A:O,8,FALSE),0)</f>
        <v>74</v>
      </c>
      <c r="M50" s="353">
        <f>_xlfn.IFNA(VLOOKUP(B50,'SPUNTA PER GIRO'!A:N,10,FALSE),0)</f>
        <v>0</v>
      </c>
      <c r="N50" s="361">
        <f>_xlfn.IFNA(ROUND(VLOOKUP(B50,ANALISI!A:O,9,FALSE),2),0)</f>
        <v>7.29</v>
      </c>
      <c r="O50" s="362">
        <f>_xlfn.IFNA(VLOOKUP(B50,ANALISI!A:O,10,FALSE),0)</f>
        <v>815</v>
      </c>
      <c r="P50" s="92"/>
      <c r="Q50" s="93"/>
      <c r="R50" s="94"/>
      <c r="S50" s="95"/>
      <c r="T50" s="86">
        <f t="shared" si="3"/>
        <v>7.29</v>
      </c>
      <c r="U50" s="87">
        <f t="shared" si="4"/>
        <v>815</v>
      </c>
      <c r="V50" s="168" t="str">
        <f>_xlfn.IFNA(VLOOKUP(B50,'SPUNTA PER GIRO'!A:T,20,FALSE),"")</f>
        <v/>
      </c>
      <c r="W50" s="88"/>
      <c r="X50" s="168"/>
      <c r="Y50" s="88"/>
      <c r="Z50" s="168"/>
      <c r="AA50" s="89"/>
      <c r="AB50" s="169"/>
      <c r="AC50" s="173"/>
      <c r="AD50" s="171">
        <v>1805282</v>
      </c>
      <c r="AE50" s="176"/>
      <c r="AF50" s="176"/>
    </row>
    <row r="51" spans="1:32" ht="14.25" customHeight="1" thickBot="1" x14ac:dyDescent="0.3">
      <c r="A51" s="152">
        <v>1</v>
      </c>
      <c r="B51" s="160">
        <v>9226</v>
      </c>
      <c r="C51" s="289" t="s">
        <v>62</v>
      </c>
      <c r="D51" s="290" t="s">
        <v>67</v>
      </c>
      <c r="E51" s="233" t="s">
        <v>37</v>
      </c>
      <c r="F51" s="243"/>
      <c r="G51" s="244"/>
      <c r="H51" s="244"/>
      <c r="I51" s="244"/>
      <c r="J51" s="245">
        <f>IF($AB$51 &gt;0,+J49,0)</f>
        <v>0</v>
      </c>
      <c r="K51" s="245">
        <f>IF($AB$47 &gt;0,+K49,0)</f>
        <v>0</v>
      </c>
      <c r="L51" s="243"/>
      <c r="M51" s="246"/>
      <c r="N51" s="247"/>
      <c r="O51" s="248"/>
      <c r="P51" s="243"/>
      <c r="Q51" s="246"/>
      <c r="R51" s="247"/>
      <c r="S51" s="248"/>
      <c r="T51" s="433"/>
      <c r="U51" s="434"/>
      <c r="V51" s="168" t="str">
        <f>_xlfn.IFNA(VLOOKUP(B51,'SPUNTA PER GIRO'!A:T,20,FALSE),"")</f>
        <v/>
      </c>
      <c r="W51" s="88"/>
      <c r="X51" s="168"/>
      <c r="Y51" s="88"/>
      <c r="Z51" s="168"/>
      <c r="AA51" s="89"/>
      <c r="AB51" s="177"/>
      <c r="AC51" s="173"/>
      <c r="AD51" s="171">
        <v>1805282</v>
      </c>
      <c r="AE51" s="176"/>
      <c r="AF51" s="176"/>
    </row>
    <row r="52" spans="1:32" ht="14.25" customHeight="1" thickBot="1" x14ac:dyDescent="0.3">
      <c r="A52" s="152">
        <v>1</v>
      </c>
      <c r="B52" s="161">
        <v>12059</v>
      </c>
      <c r="C52" s="154" t="s">
        <v>59</v>
      </c>
      <c r="D52" s="162" t="s">
        <v>36</v>
      </c>
      <c r="E52" s="233" t="s">
        <v>37</v>
      </c>
      <c r="F52" s="356">
        <f>_xlfn.IFNA(VLOOKUP(B52,ANALISI!A:O,4,FALSE),0)</f>
        <v>306</v>
      </c>
      <c r="G52" s="357">
        <f>_xlfn.IFNA(VLOOKUP(B52,'SPUNTA PER GIRO'!A:N,6,FALSE),0)</f>
        <v>226</v>
      </c>
      <c r="H52" s="357">
        <f>_xlfn.IFNA(VLOOKUP(B52,ANALISI!A:O,5,FALSE),0)</f>
        <v>13</v>
      </c>
      <c r="I52" s="357">
        <f>_xlfn.IFNA(VLOOKUP(B52,'SPUNTA PER GIRO'!A:N,8,FALSE),0)</f>
        <v>15</v>
      </c>
      <c r="J52" s="358">
        <f>_xlfn.IFNA(ROUND(VLOOKUP(B52,ANALISI!A:O,6,FALSE),2),0)</f>
        <v>34.83</v>
      </c>
      <c r="K52" s="359">
        <f>_xlfn.IFNA(VLOOKUP(B52,ANALISI!A:O,7,FALSE),0)</f>
        <v>5198</v>
      </c>
      <c r="L52" s="92"/>
      <c r="M52" s="93"/>
      <c r="N52" s="94"/>
      <c r="O52" s="95"/>
      <c r="P52" s="363">
        <f>_xlfn.IFNA(VLOOKUP(B52,ANALISI!A:O,11,FALSE),0)</f>
        <v>0</v>
      </c>
      <c r="Q52" s="353">
        <f>_xlfn.IFNA(VLOOKUP(B52,'SPUNTA PER GIRO'!A:N,12,FALSE),0)</f>
        <v>0</v>
      </c>
      <c r="R52" s="364">
        <f>_xlfn.IFNA(ROUND(VLOOKUP(B52,ANALISI!A:O,12,FALSE),2),0)</f>
        <v>0</v>
      </c>
      <c r="S52" s="362">
        <f>_xlfn.IFNA(VLOOKUP(B52,ANALISI!A:O,13,FALSE),0)</f>
        <v>0</v>
      </c>
      <c r="T52" s="86">
        <f t="shared" si="3"/>
        <v>34.83</v>
      </c>
      <c r="U52" s="87">
        <f t="shared" si="4"/>
        <v>5198</v>
      </c>
      <c r="V52" s="168" t="str">
        <f>_xlfn.IFNA(VLOOKUP(B52,'SPUNTA PER GIRO'!A:T,20,FALSE),"")</f>
        <v/>
      </c>
      <c r="W52" s="88"/>
      <c r="X52" s="168"/>
      <c r="Y52" s="88"/>
      <c r="Z52" s="168"/>
      <c r="AA52" s="89"/>
      <c r="AB52" s="169"/>
      <c r="AC52" s="173"/>
      <c r="AD52" s="171">
        <v>1805282</v>
      </c>
      <c r="AE52" s="176"/>
      <c r="AF52" s="176"/>
    </row>
    <row r="53" spans="1:32" ht="14.25" customHeight="1" thickBot="1" x14ac:dyDescent="0.3">
      <c r="A53" s="152">
        <v>1</v>
      </c>
      <c r="B53" s="161">
        <v>12059</v>
      </c>
      <c r="C53" s="154" t="s">
        <v>60</v>
      </c>
      <c r="D53" s="162" t="s">
        <v>36</v>
      </c>
      <c r="E53" s="233" t="s">
        <v>37</v>
      </c>
      <c r="F53" s="92"/>
      <c r="G53" s="93"/>
      <c r="H53" s="93"/>
      <c r="I53" s="93"/>
      <c r="J53" s="94"/>
      <c r="K53" s="95"/>
      <c r="L53" s="360">
        <f>_xlfn.IFNA(VLOOKUP(B53,ANALISI!A:O,8,FALSE),0)</f>
        <v>20</v>
      </c>
      <c r="M53" s="353">
        <f>_xlfn.IFNA(VLOOKUP(B53,'SPUNTA PER GIRO'!A:N,10,FALSE),0)</f>
        <v>18</v>
      </c>
      <c r="N53" s="361">
        <f>_xlfn.IFNA(ROUND(VLOOKUP(B53,ANALISI!A:O,9,FALSE),2),0)</f>
        <v>2.1</v>
      </c>
      <c r="O53" s="362">
        <f>_xlfn.IFNA(VLOOKUP(B53,ANALISI!A:O,10,FALSE),0)</f>
        <v>223</v>
      </c>
      <c r="P53" s="92"/>
      <c r="Q53" s="93"/>
      <c r="R53" s="94"/>
      <c r="S53" s="95"/>
      <c r="T53" s="86">
        <f t="shared" si="3"/>
        <v>2.1</v>
      </c>
      <c r="U53" s="87">
        <f t="shared" si="4"/>
        <v>223</v>
      </c>
      <c r="V53" s="168" t="str">
        <f>_xlfn.IFNA(VLOOKUP(B53,'SPUNTA PER GIRO'!A:T,20,FALSE),"")</f>
        <v/>
      </c>
      <c r="W53" s="88"/>
      <c r="X53" s="168"/>
      <c r="Y53" s="88"/>
      <c r="Z53" s="168"/>
      <c r="AA53" s="89"/>
      <c r="AB53" s="169"/>
      <c r="AC53" s="173"/>
      <c r="AD53" s="171">
        <v>1805282</v>
      </c>
      <c r="AE53" s="176"/>
      <c r="AF53" s="176"/>
    </row>
    <row r="54" spans="1:32" ht="14.25" customHeight="1" thickBot="1" x14ac:dyDescent="0.3">
      <c r="A54" s="152">
        <v>1</v>
      </c>
      <c r="B54" s="161">
        <v>3591</v>
      </c>
      <c r="C54" s="154" t="s">
        <v>59</v>
      </c>
      <c r="D54" s="162" t="s">
        <v>38</v>
      </c>
      <c r="E54" s="233" t="s">
        <v>37</v>
      </c>
      <c r="F54" s="356">
        <f>_xlfn.IFNA(VLOOKUP(B54,ANALISI!A:O,4,FALSE),0)</f>
        <v>332</v>
      </c>
      <c r="G54" s="357">
        <f>_xlfn.IFNA(VLOOKUP(B54,'SPUNTA PER GIRO'!A:N,6,FALSE),0)</f>
        <v>0</v>
      </c>
      <c r="H54" s="357">
        <f>_xlfn.IFNA(VLOOKUP(B54,ANALISI!A:O,5,FALSE),0)</f>
        <v>36</v>
      </c>
      <c r="I54" s="357">
        <f>_xlfn.IFNA(VLOOKUP(B54,'SPUNTA PER GIRO'!A:N,8,FALSE),0)</f>
        <v>0</v>
      </c>
      <c r="J54" s="358">
        <f>_xlfn.IFNA(ROUND(VLOOKUP(B54,ANALISI!A:O,6,FALSE),2),0)</f>
        <v>37.590000000000003</v>
      </c>
      <c r="K54" s="359">
        <f>_xlfn.IFNA(VLOOKUP(B54,ANALISI!A:O,7,FALSE),0)</f>
        <v>5906</v>
      </c>
      <c r="L54" s="92"/>
      <c r="M54" s="93"/>
      <c r="N54" s="94"/>
      <c r="O54" s="95"/>
      <c r="P54" s="363">
        <f>_xlfn.IFNA(VLOOKUP(B54,ANALISI!A:O,11,FALSE),0)</f>
        <v>0</v>
      </c>
      <c r="Q54" s="353">
        <f>_xlfn.IFNA(VLOOKUP(B54,'SPUNTA PER GIRO'!A:N,12,FALSE),0)</f>
        <v>0</v>
      </c>
      <c r="R54" s="364">
        <f>_xlfn.IFNA(ROUND(VLOOKUP(B54,ANALISI!A:O,12,FALSE),2),0)</f>
        <v>0</v>
      </c>
      <c r="S54" s="362">
        <f>_xlfn.IFNA(VLOOKUP(B54,ANALISI!A:O,13,FALSE),0)</f>
        <v>0</v>
      </c>
      <c r="T54" s="86">
        <f t="shared" si="3"/>
        <v>37.590000000000003</v>
      </c>
      <c r="U54" s="87">
        <f t="shared" si="4"/>
        <v>5906</v>
      </c>
      <c r="V54" s="168" t="str">
        <f>_xlfn.IFNA(VLOOKUP(B54,'SPUNTA PER GIRO'!A:T,20,FALSE),"")</f>
        <v xml:space="preserve">17C  da 280C  da </v>
      </c>
      <c r="W54" s="88"/>
      <c r="X54" s="168"/>
      <c r="Y54" s="88"/>
      <c r="Z54" s="168"/>
      <c r="AA54" s="89"/>
      <c r="AB54" s="169"/>
      <c r="AC54" s="173"/>
      <c r="AD54" s="171">
        <v>1805282</v>
      </c>
      <c r="AE54" s="176"/>
      <c r="AF54" s="176"/>
    </row>
    <row r="55" spans="1:32" ht="14.25" customHeight="1" thickBot="1" x14ac:dyDescent="0.3">
      <c r="A55" s="152">
        <v>1</v>
      </c>
      <c r="B55" s="161">
        <v>3591</v>
      </c>
      <c r="C55" s="154" t="s">
        <v>60</v>
      </c>
      <c r="D55" s="162" t="s">
        <v>38</v>
      </c>
      <c r="E55" s="233" t="s">
        <v>37</v>
      </c>
      <c r="F55" s="92"/>
      <c r="G55" s="93"/>
      <c r="H55" s="93"/>
      <c r="I55" s="93"/>
      <c r="J55" s="94"/>
      <c r="K55" s="95"/>
      <c r="L55" s="360">
        <f>_xlfn.IFNA(VLOOKUP(B55,ANALISI!A:O,8,FALSE),0)</f>
        <v>41</v>
      </c>
      <c r="M55" s="353">
        <f>_xlfn.IFNA(VLOOKUP(B55,'SPUNTA PER GIRO'!A:N,10,FALSE),0)</f>
        <v>0</v>
      </c>
      <c r="N55" s="361">
        <f>_xlfn.IFNA(ROUND(VLOOKUP(B55,ANALISI!A:O,9,FALSE),2),0)</f>
        <v>3.97</v>
      </c>
      <c r="O55" s="362">
        <f>_xlfn.IFNA(VLOOKUP(B55,ANALISI!A:O,10,FALSE),0)</f>
        <v>452</v>
      </c>
      <c r="P55" s="92"/>
      <c r="Q55" s="93"/>
      <c r="R55" s="94"/>
      <c r="S55" s="95"/>
      <c r="T55" s="86">
        <f t="shared" si="3"/>
        <v>3.97</v>
      </c>
      <c r="U55" s="87">
        <f t="shared" si="4"/>
        <v>452</v>
      </c>
      <c r="V55" s="168" t="str">
        <f>_xlfn.IFNA(VLOOKUP(B55,'SPUNTA PER GIRO'!A:T,20,FALSE),"")</f>
        <v xml:space="preserve">17C  da 280C  da </v>
      </c>
      <c r="W55" s="88"/>
      <c r="X55" s="168"/>
      <c r="Y55" s="88"/>
      <c r="Z55" s="168"/>
      <c r="AA55" s="89"/>
      <c r="AB55" s="169"/>
      <c r="AC55" s="173"/>
      <c r="AD55" s="171">
        <v>1805282</v>
      </c>
      <c r="AE55" s="176"/>
      <c r="AF55" s="176"/>
    </row>
    <row r="56" spans="1:32" ht="14.25" customHeight="1" thickBot="1" x14ac:dyDescent="0.3">
      <c r="A56" s="152">
        <v>1</v>
      </c>
      <c r="B56" s="160">
        <v>3591</v>
      </c>
      <c r="C56" s="289" t="s">
        <v>59</v>
      </c>
      <c r="D56" s="290" t="s">
        <v>38</v>
      </c>
      <c r="E56" s="233" t="s">
        <v>37</v>
      </c>
      <c r="F56" s="243"/>
      <c r="G56" s="244"/>
      <c r="H56" s="244"/>
      <c r="I56" s="244"/>
      <c r="J56" s="245">
        <f>+IF($AB$56&gt;0,J54,0)</f>
        <v>0</v>
      </c>
      <c r="K56" s="245">
        <f>+IF($AB$56&gt;0,K54,0)</f>
        <v>0</v>
      </c>
      <c r="L56" s="243"/>
      <c r="M56" s="246"/>
      <c r="N56" s="247"/>
      <c r="O56" s="248"/>
      <c r="P56" s="243"/>
      <c r="Q56" s="246"/>
      <c r="R56" s="247"/>
      <c r="S56" s="248"/>
      <c r="T56" s="433"/>
      <c r="U56" s="434"/>
      <c r="V56" s="168" t="str">
        <f>_xlfn.IFNA(VLOOKUP(B56,'SPUNTA PER GIRO'!A:T,20,FALSE),"")</f>
        <v xml:space="preserve">17C  da 280C  da </v>
      </c>
      <c r="W56" s="88"/>
      <c r="X56" s="168"/>
      <c r="Y56" s="88"/>
      <c r="Z56" s="168"/>
      <c r="AA56" s="89"/>
      <c r="AB56" s="177"/>
      <c r="AC56" s="173"/>
      <c r="AD56" s="171">
        <v>1805282</v>
      </c>
      <c r="AE56" s="176"/>
      <c r="AF56" s="176"/>
    </row>
    <row r="57" spans="1:32" ht="14.25" customHeight="1" thickBot="1" x14ac:dyDescent="0.3">
      <c r="A57" s="152">
        <v>1</v>
      </c>
      <c r="B57" s="378">
        <v>16723</v>
      </c>
      <c r="C57" s="287" t="s">
        <v>59</v>
      </c>
      <c r="D57" s="379" t="s">
        <v>39</v>
      </c>
      <c r="E57" s="233" t="s">
        <v>37</v>
      </c>
      <c r="F57" s="356">
        <f>_xlfn.IFNA(VLOOKUP(B57,ANALISI!A:O,4,FALSE),0)</f>
        <v>480</v>
      </c>
      <c r="G57" s="357">
        <f>_xlfn.IFNA(VLOOKUP(B57,'SPUNTA PER GIRO'!A:N,6,FALSE),0)</f>
        <v>400</v>
      </c>
      <c r="H57" s="357">
        <f>_xlfn.IFNA(VLOOKUP(B57,ANALISI!A:O,5,FALSE),0)</f>
        <v>24</v>
      </c>
      <c r="I57" s="357">
        <f>_xlfn.IFNA(VLOOKUP(B57,'SPUNTA PER GIRO'!A:N,8,FALSE),0)</f>
        <v>15</v>
      </c>
      <c r="J57" s="358">
        <f>_xlfn.IFNA(ROUND(VLOOKUP(B57,ANALISI!A:O,6,FALSE),2),0)</f>
        <v>56.62</v>
      </c>
      <c r="K57" s="359">
        <f>_xlfn.IFNA(VLOOKUP(B57,ANALISI!A:O,7,FALSE),0)</f>
        <v>8533</v>
      </c>
      <c r="L57" s="92"/>
      <c r="M57" s="93"/>
      <c r="N57" s="94"/>
      <c r="O57" s="95"/>
      <c r="P57" s="363">
        <f>_xlfn.IFNA(VLOOKUP(B57,ANALISI!A:O,11,FALSE),0)</f>
        <v>0</v>
      </c>
      <c r="Q57" s="353">
        <f>_xlfn.IFNA(VLOOKUP(B57,'SPUNTA PER GIRO'!A:N,12,FALSE),0)</f>
        <v>0</v>
      </c>
      <c r="R57" s="364">
        <f>_xlfn.IFNA(ROUND(VLOOKUP(B57,ANALISI!A:O,12,FALSE),2),0)</f>
        <v>0</v>
      </c>
      <c r="S57" s="362">
        <f>_xlfn.IFNA(VLOOKUP(B57,ANALISI!A:O,13,FALSE),0)</f>
        <v>0</v>
      </c>
      <c r="T57" s="86">
        <f t="shared" si="3"/>
        <v>56.62</v>
      </c>
      <c r="U57" s="87">
        <f t="shared" si="4"/>
        <v>8533</v>
      </c>
      <c r="V57" s="168" t="str">
        <f>_xlfn.IFNA(VLOOKUP(B57,'SPUNTA PER GIRO'!A:T,20,FALSE),"")</f>
        <v/>
      </c>
      <c r="W57" s="88"/>
      <c r="X57" s="168"/>
      <c r="Y57" s="88"/>
      <c r="Z57" s="168"/>
      <c r="AA57" s="89"/>
      <c r="AB57" s="169"/>
      <c r="AC57" s="173"/>
      <c r="AD57" s="171">
        <v>1805282</v>
      </c>
      <c r="AE57" s="176"/>
      <c r="AF57" s="176"/>
    </row>
    <row r="58" spans="1:32" ht="14.25" customHeight="1" thickBot="1" x14ac:dyDescent="0.3">
      <c r="A58" s="152">
        <v>1</v>
      </c>
      <c r="B58" s="378">
        <v>16723</v>
      </c>
      <c r="C58" s="287" t="s">
        <v>60</v>
      </c>
      <c r="D58" s="379" t="s">
        <v>39</v>
      </c>
      <c r="E58" s="233" t="s">
        <v>37</v>
      </c>
      <c r="F58" s="92"/>
      <c r="G58" s="93"/>
      <c r="H58" s="93"/>
      <c r="I58" s="93"/>
      <c r="J58" s="94"/>
      <c r="K58" s="95"/>
      <c r="L58" s="360">
        <f>_xlfn.IFNA(VLOOKUP(B58,ANALISI!A:O,8,FALSE),0)</f>
        <v>48</v>
      </c>
      <c r="M58" s="353">
        <f>_xlfn.IFNA(VLOOKUP(B58,'SPUNTA PER GIRO'!A:N,10,FALSE),0)</f>
        <v>33</v>
      </c>
      <c r="N58" s="361">
        <f>_xlfn.IFNA(ROUND(VLOOKUP(B58,ANALISI!A:O,9,FALSE),2),0)</f>
        <v>4.59</v>
      </c>
      <c r="O58" s="362">
        <f>_xlfn.IFNA(VLOOKUP(B58,ANALISI!A:O,10,FALSE),0)</f>
        <v>490</v>
      </c>
      <c r="P58" s="92"/>
      <c r="Q58" s="93"/>
      <c r="R58" s="94"/>
      <c r="S58" s="95"/>
      <c r="T58" s="86">
        <f t="shared" si="3"/>
        <v>4.59</v>
      </c>
      <c r="U58" s="87">
        <f t="shared" si="4"/>
        <v>490</v>
      </c>
      <c r="V58" s="168" t="str">
        <f>_xlfn.IFNA(VLOOKUP(B58,'SPUNTA PER GIRO'!A:T,20,FALSE),"")</f>
        <v/>
      </c>
      <c r="W58" s="88"/>
      <c r="X58" s="168"/>
      <c r="Y58" s="88"/>
      <c r="Z58" s="168"/>
      <c r="AA58" s="89"/>
      <c r="AB58" s="169"/>
      <c r="AC58" s="173"/>
      <c r="AD58" s="171">
        <v>1805282</v>
      </c>
      <c r="AE58" s="176"/>
      <c r="AF58" s="176"/>
    </row>
    <row r="59" spans="1:32" ht="14.25" customHeight="1" thickBot="1" x14ac:dyDescent="0.3">
      <c r="A59" s="152">
        <v>1</v>
      </c>
      <c r="B59" s="161">
        <v>3503</v>
      </c>
      <c r="C59" s="154" t="s">
        <v>62</v>
      </c>
      <c r="D59" s="162" t="s">
        <v>68</v>
      </c>
      <c r="E59" s="233" t="s">
        <v>37</v>
      </c>
      <c r="F59" s="356">
        <f>_xlfn.IFNA(VLOOKUP(B59,ANALISI!A:O,4,FALSE),0)</f>
        <v>430</v>
      </c>
      <c r="G59" s="357">
        <f>_xlfn.IFNA(VLOOKUP(B59,'SPUNTA PER GIRO'!A:N,6,FALSE),0)</f>
        <v>338</v>
      </c>
      <c r="H59" s="357">
        <f>_xlfn.IFNA(VLOOKUP(B59,ANALISI!A:O,5,FALSE),0)</f>
        <v>16</v>
      </c>
      <c r="I59" s="357">
        <f>_xlfn.IFNA(VLOOKUP(B59,'SPUNTA PER GIRO'!A:N,8,FALSE),0)</f>
        <v>6</v>
      </c>
      <c r="J59" s="358">
        <f>_xlfn.IFNA(ROUND(VLOOKUP(B59,ANALISI!A:O,6,FALSE),2),0)</f>
        <v>50.18</v>
      </c>
      <c r="K59" s="359">
        <f>_xlfn.IFNA(VLOOKUP(B59,ANALISI!A:O,7,FALSE),0)</f>
        <v>7336</v>
      </c>
      <c r="L59" s="92"/>
      <c r="M59" s="93"/>
      <c r="N59" s="94"/>
      <c r="O59" s="95"/>
      <c r="P59" s="363">
        <f>_xlfn.IFNA(VLOOKUP(B59,ANALISI!A:O,11,FALSE),0)</f>
        <v>0</v>
      </c>
      <c r="Q59" s="353">
        <f>_xlfn.IFNA(VLOOKUP(B59,'SPUNTA PER GIRO'!A:N,12,FALSE),0)</f>
        <v>0</v>
      </c>
      <c r="R59" s="364">
        <f>_xlfn.IFNA(ROUND(VLOOKUP(B59,ANALISI!A:O,12,FALSE),2),0)</f>
        <v>0</v>
      </c>
      <c r="S59" s="362">
        <f>_xlfn.IFNA(VLOOKUP(B59,ANALISI!A:O,13,FALSE),0)</f>
        <v>0</v>
      </c>
      <c r="T59" s="86">
        <f t="shared" si="3"/>
        <v>50.18</v>
      </c>
      <c r="U59" s="87">
        <f t="shared" si="4"/>
        <v>7336</v>
      </c>
      <c r="V59" s="168" t="str">
        <f>_xlfn.IFNA(VLOOKUP(B59,'SPUNTA PER GIRO'!A:T,20,FALSE),"")</f>
        <v/>
      </c>
      <c r="W59" s="88"/>
      <c r="X59" s="168"/>
      <c r="Y59" s="88"/>
      <c r="Z59" s="168"/>
      <c r="AA59" s="89"/>
      <c r="AB59" s="169"/>
      <c r="AC59" s="173"/>
      <c r="AD59" s="171">
        <v>1805282</v>
      </c>
      <c r="AE59" s="176"/>
      <c r="AF59" s="176"/>
    </row>
    <row r="60" spans="1:32" ht="14.25" customHeight="1" thickBot="1" x14ac:dyDescent="0.3">
      <c r="A60" s="152">
        <v>1</v>
      </c>
      <c r="B60" s="161">
        <v>3503</v>
      </c>
      <c r="C60" s="154" t="s">
        <v>60</v>
      </c>
      <c r="D60" s="162" t="s">
        <v>43</v>
      </c>
      <c r="E60" s="233" t="s">
        <v>37</v>
      </c>
      <c r="F60" s="92"/>
      <c r="G60" s="93"/>
      <c r="H60" s="93"/>
      <c r="I60" s="93"/>
      <c r="J60" s="94"/>
      <c r="K60" s="95"/>
      <c r="L60" s="360">
        <f>_xlfn.IFNA(VLOOKUP(B60,ANALISI!A:O,8,FALSE),0)</f>
        <v>40</v>
      </c>
      <c r="M60" s="353">
        <f>_xlfn.IFNA(VLOOKUP(B60,'SPUNTA PER GIRO'!A:N,10,FALSE),0)</f>
        <v>25</v>
      </c>
      <c r="N60" s="361">
        <f>_xlfn.IFNA(ROUND(VLOOKUP(B60,ANALISI!A:O,9,FALSE),2),0)</f>
        <v>3.85</v>
      </c>
      <c r="O60" s="362">
        <f>_xlfn.IFNA(VLOOKUP(B60,ANALISI!A:O,10,FALSE),0)</f>
        <v>427</v>
      </c>
      <c r="P60" s="92"/>
      <c r="Q60" s="93"/>
      <c r="R60" s="94"/>
      <c r="S60" s="95"/>
      <c r="T60" s="86">
        <f t="shared" si="3"/>
        <v>3.85</v>
      </c>
      <c r="U60" s="87">
        <f t="shared" si="4"/>
        <v>427</v>
      </c>
      <c r="V60" s="168" t="str">
        <f>_xlfn.IFNA(VLOOKUP(B60,'SPUNTA PER GIRO'!A:T,20,FALSE),"")</f>
        <v/>
      </c>
      <c r="W60" s="88"/>
      <c r="X60" s="168"/>
      <c r="Y60" s="88"/>
      <c r="Z60" s="168"/>
      <c r="AA60" s="89"/>
      <c r="AB60" s="169"/>
      <c r="AC60" s="175"/>
      <c r="AD60" s="171">
        <v>1805282</v>
      </c>
      <c r="AE60" s="172"/>
      <c r="AF60" s="172"/>
    </row>
    <row r="61" spans="1:32" ht="14.25" customHeight="1" thickBot="1" x14ac:dyDescent="0.3">
      <c r="A61" s="152">
        <v>1</v>
      </c>
      <c r="B61" s="163" t="s">
        <v>69</v>
      </c>
      <c r="C61" s="157" t="s">
        <v>62</v>
      </c>
      <c r="D61" s="162" t="s">
        <v>70</v>
      </c>
      <c r="E61" s="234" t="s">
        <v>33</v>
      </c>
      <c r="F61" s="356">
        <f>_xlfn.IFNA(VLOOKUP(B61,ANALISI!A:O,4,FALSE),0)</f>
        <v>0</v>
      </c>
      <c r="G61" s="357">
        <f>_xlfn.IFNA(VLOOKUP(B61,'SPUNTA PER GIRO'!A:N,6,FALSE),0)</f>
        <v>0</v>
      </c>
      <c r="H61" s="357">
        <f>_xlfn.IFNA(VLOOKUP(B61,ANALISI!A:O,5,FALSE),0)</f>
        <v>0</v>
      </c>
      <c r="I61" s="357">
        <f>_xlfn.IFNA(VLOOKUP(B61,'SPUNTA PER GIRO'!A:N,8,FALSE),0)</f>
        <v>0</v>
      </c>
      <c r="J61" s="358">
        <f>_xlfn.IFNA(ROUND(VLOOKUP(B61,ANALISI!A:O,6,FALSE),2),0)</f>
        <v>0</v>
      </c>
      <c r="K61" s="359">
        <f>_xlfn.IFNA(VLOOKUP(B61,ANALISI!A:O,7,FALSE),0)</f>
        <v>0</v>
      </c>
      <c r="L61" s="360">
        <f>_xlfn.IFNA(VLOOKUP(B61,ANALISI!A:O,8,FALSE),0)</f>
        <v>0</v>
      </c>
      <c r="M61" s="353">
        <f>_xlfn.IFNA(VLOOKUP(B61,'SPUNTA PER GIRO'!A:N,10,FALSE),0)</f>
        <v>0</v>
      </c>
      <c r="N61" s="361">
        <f>_xlfn.IFNA(ROUND(VLOOKUP(B61,ANALISI!A:O,9,FALSE),2),0)</f>
        <v>0</v>
      </c>
      <c r="O61" s="362">
        <f>_xlfn.IFNA(VLOOKUP(B61,ANALISI!A:O,10,FALSE),0)</f>
        <v>0</v>
      </c>
      <c r="P61" s="363">
        <f>_xlfn.IFNA(VLOOKUP(B61,ANALISI!A:O,11,FALSE),0)</f>
        <v>0</v>
      </c>
      <c r="Q61" s="353">
        <f>_xlfn.IFNA(VLOOKUP(B61,'SPUNTA PER GIRO'!A:N,12,FALSE),0)</f>
        <v>0</v>
      </c>
      <c r="R61" s="364">
        <f>_xlfn.IFNA(ROUND(VLOOKUP(B61,ANALISI!A:O,12,FALSE),2),0)</f>
        <v>0</v>
      </c>
      <c r="S61" s="362">
        <f>_xlfn.IFNA(VLOOKUP(B61,ANALISI!A:O,13,FALSE),0)</f>
        <v>0</v>
      </c>
      <c r="T61" s="431"/>
      <c r="U61" s="432"/>
      <c r="V61" s="168" t="str">
        <f>_xlfn.IFNA(VLOOKUP(B61,'SPUNTA PER GIRO'!A:T,20,FALSE),"")</f>
        <v/>
      </c>
      <c r="W61" s="88"/>
      <c r="X61" s="168"/>
      <c r="Y61" s="88"/>
      <c r="Z61" s="168"/>
      <c r="AA61" s="89"/>
      <c r="AB61" s="169"/>
      <c r="AC61" s="175"/>
      <c r="AD61" s="171">
        <v>1805282</v>
      </c>
      <c r="AE61" s="172"/>
      <c r="AF61" s="172"/>
    </row>
    <row r="62" spans="1:32" ht="14.25" customHeight="1" thickBot="1" x14ac:dyDescent="0.3">
      <c r="A62" s="152">
        <v>1</v>
      </c>
      <c r="B62" s="164">
        <v>1971</v>
      </c>
      <c r="C62" s="154" t="s">
        <v>71</v>
      </c>
      <c r="D62" s="162" t="s">
        <v>35</v>
      </c>
      <c r="E62" s="233" t="s">
        <v>37</v>
      </c>
      <c r="F62" s="100"/>
      <c r="G62" s="101"/>
      <c r="H62" s="357">
        <f>_xlfn.IFNA(VLOOKUP(B62,ANALISI!A:O,5,FALSE),0)</f>
        <v>0</v>
      </c>
      <c r="I62" s="357">
        <f>_xlfn.IFNA(VLOOKUP(B62,'SPUNTA PER GIRO'!A:N,8,FALSE),0)</f>
        <v>0</v>
      </c>
      <c r="J62" s="358">
        <f>_xlfn.IFNA(ROUND(VLOOKUP(B62,ANALISI!A:O,6,FALSE),2),0)</f>
        <v>12.51</v>
      </c>
      <c r="K62" s="359">
        <f>_xlfn.IFNA(VLOOKUP(B62,ANALISI!A:O,7,FALSE),0)</f>
        <v>1284</v>
      </c>
      <c r="L62" s="360">
        <f>_xlfn.IFNA(VLOOKUP(B62,ANALISI!A:O,8,FALSE),0)</f>
        <v>0</v>
      </c>
      <c r="M62" s="353">
        <f>_xlfn.IFNA(VLOOKUP(B62,'SPUNTA PER GIRO'!A:N,10,FALSE),0)</f>
        <v>3</v>
      </c>
      <c r="N62" s="361">
        <f>_xlfn.IFNA(ROUND(VLOOKUP(B62,ANALISI!A:O,9,FALSE),2),0)</f>
        <v>0</v>
      </c>
      <c r="O62" s="362">
        <f>_xlfn.IFNA(VLOOKUP(B62,ANALISI!A:O,10,FALSE),0)</f>
        <v>0</v>
      </c>
      <c r="P62" s="363">
        <f>_xlfn.IFNA(VLOOKUP(B62,ANALISI!A:O,11,FALSE),0)</f>
        <v>11</v>
      </c>
      <c r="Q62" s="353">
        <f>_xlfn.IFNA(VLOOKUP(B62,'SPUNTA PER GIRO'!A:N,12,FALSE),0)</f>
        <v>15</v>
      </c>
      <c r="R62" s="364">
        <f>_xlfn.IFNA(ROUND(VLOOKUP(B62,ANALISI!A:O,12,FALSE),2),0)</f>
        <v>1.06</v>
      </c>
      <c r="S62" s="362">
        <f>_xlfn.IFNA(VLOOKUP(B62,ANALISI!A:O,13,FALSE),0)</f>
        <v>40</v>
      </c>
      <c r="T62" s="86">
        <f t="shared" si="3"/>
        <v>13.57</v>
      </c>
      <c r="U62" s="87">
        <f t="shared" si="4"/>
        <v>1324</v>
      </c>
      <c r="V62" s="168" t="str">
        <f>_xlfn.IFNA(VLOOKUP(B62,'SPUNTA PER GIRO'!A:T,20,FALSE),"")</f>
        <v xml:space="preserve">3C  da 169C  da </v>
      </c>
      <c r="W62" s="88"/>
      <c r="X62" s="168"/>
      <c r="Y62" s="88"/>
      <c r="Z62" s="168"/>
      <c r="AA62" s="89"/>
      <c r="AB62" s="169"/>
      <c r="AC62" s="175"/>
      <c r="AD62" s="171">
        <v>1805282</v>
      </c>
      <c r="AE62" s="172"/>
      <c r="AF62" s="172"/>
    </row>
    <row r="63" spans="1:32" ht="14.25" customHeight="1" thickBot="1" x14ac:dyDescent="0.3">
      <c r="A63" s="152">
        <v>1</v>
      </c>
      <c r="B63" s="161">
        <v>1755</v>
      </c>
      <c r="C63" s="154" t="s">
        <v>71</v>
      </c>
      <c r="D63" s="162" t="s">
        <v>38</v>
      </c>
      <c r="E63" s="233" t="s">
        <v>37</v>
      </c>
      <c r="F63" s="100"/>
      <c r="G63" s="101"/>
      <c r="H63" s="357">
        <f>_xlfn.IFNA(VLOOKUP(B63,ANALISI!A:O,5,FALSE),0)</f>
        <v>0</v>
      </c>
      <c r="I63" s="357">
        <f>_xlfn.IFNA(VLOOKUP(B63,'SPUNTA PER GIRO'!A:N,8,FALSE),0)</f>
        <v>114</v>
      </c>
      <c r="J63" s="358">
        <f>_xlfn.IFNA(ROUND(VLOOKUP(B63,ANALISI!A:O,6,FALSE),2),0)</f>
        <v>7.63</v>
      </c>
      <c r="K63" s="359">
        <f>_xlfn.IFNA(VLOOKUP(B63,ANALISI!A:O,7,FALSE),0)</f>
        <v>794</v>
      </c>
      <c r="L63" s="360">
        <f>_xlfn.IFNA(VLOOKUP(B63,ANALISI!A:O,8,FALSE),0)</f>
        <v>0</v>
      </c>
      <c r="M63" s="353">
        <f>_xlfn.IFNA(VLOOKUP(B63,'SPUNTA PER GIRO'!A:N,10,FALSE),0)</f>
        <v>2</v>
      </c>
      <c r="N63" s="361">
        <f>_xlfn.IFNA(ROUND(VLOOKUP(B63,ANALISI!A:O,9,FALSE),2),0)</f>
        <v>0</v>
      </c>
      <c r="O63" s="362">
        <f>_xlfn.IFNA(VLOOKUP(B63,ANALISI!A:O,10,FALSE),0)</f>
        <v>0</v>
      </c>
      <c r="P63" s="363">
        <f>_xlfn.IFNA(VLOOKUP(B63,ANALISI!A:O,11,FALSE),0)</f>
        <v>14</v>
      </c>
      <c r="Q63" s="353">
        <f>_xlfn.IFNA(VLOOKUP(B63,'SPUNTA PER GIRO'!A:N,12,FALSE),0)</f>
        <v>11</v>
      </c>
      <c r="R63" s="364">
        <f>_xlfn.IFNA(ROUND(VLOOKUP(B63,ANALISI!A:O,12,FALSE),2),0)</f>
        <v>1.34</v>
      </c>
      <c r="S63" s="362">
        <f>_xlfn.IFNA(VLOOKUP(B63,ANALISI!A:O,13,FALSE),0)</f>
        <v>54</v>
      </c>
      <c r="T63" s="86">
        <f t="shared" si="3"/>
        <v>8.9700000000000006</v>
      </c>
      <c r="U63" s="87">
        <f t="shared" si="4"/>
        <v>848</v>
      </c>
      <c r="V63" s="168" t="str">
        <f>_xlfn.IFNA(VLOOKUP(B63,'SPUNTA PER GIRO'!A:T,20,FALSE),"")</f>
        <v/>
      </c>
      <c r="W63" s="88"/>
      <c r="X63" s="168"/>
      <c r="Y63" s="88"/>
      <c r="Z63" s="168"/>
      <c r="AA63" s="89"/>
      <c r="AB63" s="169"/>
      <c r="AC63" s="175"/>
      <c r="AD63" s="171">
        <v>1805282</v>
      </c>
      <c r="AE63" s="172"/>
      <c r="AF63" s="172"/>
    </row>
    <row r="64" spans="1:32" ht="14.25" customHeight="1" thickBot="1" x14ac:dyDescent="0.3">
      <c r="A64" s="152">
        <v>1</v>
      </c>
      <c r="B64" s="161">
        <v>1984</v>
      </c>
      <c r="C64" s="154" t="s">
        <v>71</v>
      </c>
      <c r="D64" s="162" t="s">
        <v>72</v>
      </c>
      <c r="E64" s="233" t="s">
        <v>37</v>
      </c>
      <c r="F64" s="100"/>
      <c r="G64" s="101"/>
      <c r="H64" s="357">
        <f>_xlfn.IFNA(VLOOKUP(B64,ANALISI!A:O,5,FALSE),0)</f>
        <v>6</v>
      </c>
      <c r="I64" s="357">
        <f>_xlfn.IFNA(VLOOKUP(B64,'SPUNTA PER GIRO'!A:N,8,FALSE),0)</f>
        <v>0</v>
      </c>
      <c r="J64" s="358">
        <f>_xlfn.IFNA(ROUND(VLOOKUP(B64,ANALISI!A:O,6,FALSE),2),0)</f>
        <v>16.79</v>
      </c>
      <c r="K64" s="359">
        <f>_xlfn.IFNA(VLOOKUP(B64,ANALISI!A:O,7,FALSE),0)</f>
        <v>1808</v>
      </c>
      <c r="L64" s="360">
        <f>_xlfn.IFNA(VLOOKUP(B64,ANALISI!A:O,8,FALSE),0)</f>
        <v>0</v>
      </c>
      <c r="M64" s="353">
        <f>_xlfn.IFNA(VLOOKUP(B64,'SPUNTA PER GIRO'!A:N,10,FALSE),0)</f>
        <v>0</v>
      </c>
      <c r="N64" s="361">
        <f>_xlfn.IFNA(ROUND(VLOOKUP(B64,ANALISI!A:O,9,FALSE),2),0)</f>
        <v>0</v>
      </c>
      <c r="O64" s="362">
        <f>_xlfn.IFNA(VLOOKUP(B64,ANALISI!A:O,10,FALSE),0)</f>
        <v>0</v>
      </c>
      <c r="P64" s="363">
        <f>_xlfn.IFNA(VLOOKUP(B64,ANALISI!A:O,11,FALSE),0)</f>
        <v>17</v>
      </c>
      <c r="Q64" s="353">
        <f>_xlfn.IFNA(VLOOKUP(B64,'SPUNTA PER GIRO'!A:N,12,FALSE),0)</f>
        <v>9</v>
      </c>
      <c r="R64" s="364">
        <f>_xlfn.IFNA(ROUND(VLOOKUP(B64,ANALISI!A:O,12,FALSE),2),0)</f>
        <v>1.63</v>
      </c>
      <c r="S64" s="362">
        <f>_xlfn.IFNA(VLOOKUP(B64,ANALISI!A:O,13,FALSE),0)</f>
        <v>80</v>
      </c>
      <c r="T64" s="86">
        <f t="shared" si="3"/>
        <v>18.419999999999998</v>
      </c>
      <c r="U64" s="87">
        <f t="shared" si="4"/>
        <v>1888</v>
      </c>
      <c r="V64" s="168" t="str">
        <f>_xlfn.IFNA(VLOOKUP(B64,'SPUNTA PER GIRO'!A:T,20,FALSE),"")</f>
        <v xml:space="preserve">186C  da 3C  da 1C  da </v>
      </c>
      <c r="W64" s="88"/>
      <c r="X64" s="168"/>
      <c r="Y64" s="88"/>
      <c r="Z64" s="168"/>
      <c r="AA64" s="89"/>
      <c r="AB64" s="169"/>
      <c r="AC64" s="175"/>
      <c r="AD64" s="171">
        <v>1805282</v>
      </c>
      <c r="AE64" s="172"/>
      <c r="AF64" s="172"/>
    </row>
    <row r="65" spans="1:32" ht="14.25" customHeight="1" thickBot="1" x14ac:dyDescent="0.3">
      <c r="A65" s="152">
        <v>1</v>
      </c>
      <c r="B65" s="160">
        <v>1971</v>
      </c>
      <c r="C65" s="289" t="s">
        <v>219</v>
      </c>
      <c r="D65" s="290" t="s">
        <v>35</v>
      </c>
      <c r="E65" s="233" t="s">
        <v>37</v>
      </c>
      <c r="F65" s="243"/>
      <c r="G65" s="244"/>
      <c r="H65" s="244"/>
      <c r="I65" s="244"/>
      <c r="J65" s="245">
        <f>IF($AB$65 &gt;0,+J62+N62,0)</f>
        <v>0</v>
      </c>
      <c r="K65" s="245">
        <f>IF($AB$47 &gt;0,+K63+O63,0)</f>
        <v>0</v>
      </c>
      <c r="L65" s="243"/>
      <c r="M65" s="246"/>
      <c r="N65" s="247"/>
      <c r="O65" s="248"/>
      <c r="P65" s="243"/>
      <c r="Q65" s="246"/>
      <c r="R65" s="247"/>
      <c r="S65" s="248"/>
      <c r="T65" s="433"/>
      <c r="U65" s="434"/>
      <c r="V65" s="168" t="str">
        <f>_xlfn.IFNA(VLOOKUP(B65,'SPUNTA PER GIRO'!A:T,20,FALSE),"")</f>
        <v xml:space="preserve">3C  da 169C  da </v>
      </c>
      <c r="W65" s="88"/>
      <c r="X65" s="168"/>
      <c r="Y65" s="88"/>
      <c r="Z65" s="168"/>
      <c r="AA65" s="89"/>
      <c r="AB65" s="177"/>
      <c r="AC65" s="173"/>
      <c r="AD65" s="171">
        <v>1805282</v>
      </c>
      <c r="AE65" s="176"/>
      <c r="AF65" s="176"/>
    </row>
    <row r="66" spans="1:32" ht="14.25" customHeight="1" thickBot="1" x14ac:dyDescent="0.3">
      <c r="A66" s="152">
        <v>1</v>
      </c>
      <c r="B66" s="160">
        <v>1984</v>
      </c>
      <c r="C66" s="289" t="s">
        <v>219</v>
      </c>
      <c r="D66" s="290" t="s">
        <v>72</v>
      </c>
      <c r="E66" s="233" t="s">
        <v>37</v>
      </c>
      <c r="F66" s="243"/>
      <c r="G66" s="244"/>
      <c r="H66" s="244"/>
      <c r="I66" s="244"/>
      <c r="J66" s="245">
        <f>IF($AB$66 &gt;0,+J64+N64,0)</f>
        <v>0</v>
      </c>
      <c r="K66" s="245">
        <f>IF($AB$47 &gt;0,+K64+O64,0)</f>
        <v>0</v>
      </c>
      <c r="L66" s="243"/>
      <c r="M66" s="246"/>
      <c r="N66" s="247"/>
      <c r="O66" s="248"/>
      <c r="P66" s="243"/>
      <c r="Q66" s="246"/>
      <c r="R66" s="247"/>
      <c r="S66" s="248"/>
      <c r="T66" s="433"/>
      <c r="U66" s="434"/>
      <c r="V66" s="168" t="str">
        <f>_xlfn.IFNA(VLOOKUP(B66,'SPUNTA PER GIRO'!A:T,20,FALSE),"")</f>
        <v xml:space="preserve">186C  da 3C  da 1C  da </v>
      </c>
      <c r="W66" s="88"/>
      <c r="X66" s="168"/>
      <c r="Y66" s="88"/>
      <c r="Z66" s="168"/>
      <c r="AA66" s="89"/>
      <c r="AB66" s="177"/>
      <c r="AC66" s="173"/>
      <c r="AD66" s="171">
        <v>1805282</v>
      </c>
      <c r="AE66" s="176"/>
      <c r="AF66" s="176"/>
    </row>
    <row r="67" spans="1:32" ht="14.25" customHeight="1" thickBot="1" x14ac:dyDescent="0.3">
      <c r="A67" s="152">
        <v>1</v>
      </c>
      <c r="B67" s="164">
        <v>6760</v>
      </c>
      <c r="C67" s="153" t="s">
        <v>56</v>
      </c>
      <c r="D67" s="162" t="s">
        <v>35</v>
      </c>
      <c r="E67" s="235" t="s">
        <v>33</v>
      </c>
      <c r="F67" s="356">
        <f>_xlfn.IFNA(VLOOKUP(B67,ANALISI!A:O,4,FALSE),0)</f>
        <v>137</v>
      </c>
      <c r="G67" s="357">
        <f>_xlfn.IFNA(VLOOKUP(B67,'SPUNTA PER GIRO'!A:N,6,FALSE),0)</f>
        <v>106</v>
      </c>
      <c r="H67" s="357">
        <f>_xlfn.IFNA(VLOOKUP(B67,ANALISI!A:O,5,FALSE),0)</f>
        <v>0</v>
      </c>
      <c r="I67" s="357">
        <f>_xlfn.IFNA(VLOOKUP(B67,'SPUNTA PER GIRO'!A:N,8,FALSE),0)</f>
        <v>0</v>
      </c>
      <c r="J67" s="358">
        <f>_xlfn.IFNA(ROUND(VLOOKUP(B67,ANALISI!A:O,6,FALSE),2),0)</f>
        <v>14.37</v>
      </c>
      <c r="K67" s="359">
        <f>_xlfn.IFNA(VLOOKUP(B67,ANALISI!A:O,7,FALSE),0)</f>
        <v>2523</v>
      </c>
      <c r="L67" s="360">
        <f>_xlfn.IFNA(VLOOKUP(B67,ANALISI!A:O,8,FALSE),0)</f>
        <v>11</v>
      </c>
      <c r="M67" s="353">
        <f>_xlfn.IFNA(VLOOKUP(B67,'SPUNTA PER GIRO'!A:N,10,FALSE),0)</f>
        <v>10</v>
      </c>
      <c r="N67" s="361">
        <f>_xlfn.IFNA(ROUND(VLOOKUP(B67,ANALISI!A:O,9,FALSE),2),0)</f>
        <v>1.19</v>
      </c>
      <c r="O67" s="362">
        <f>_xlfn.IFNA(VLOOKUP(B67,ANALISI!A:O,10,FALSE),0)</f>
        <v>135</v>
      </c>
      <c r="P67" s="363">
        <f>_xlfn.IFNA(VLOOKUP(B67,ANALISI!A:O,11,FALSE),0)</f>
        <v>0</v>
      </c>
      <c r="Q67" s="353">
        <f>_xlfn.IFNA(VLOOKUP(B67,'SPUNTA PER GIRO'!A:N,12,FALSE),0)</f>
        <v>0</v>
      </c>
      <c r="R67" s="364">
        <f>_xlfn.IFNA(ROUND(VLOOKUP(B67,ANALISI!A:O,12,FALSE),2),0)</f>
        <v>0</v>
      </c>
      <c r="S67" s="362">
        <f>_xlfn.IFNA(VLOOKUP(B67,ANALISI!A:O,13,FALSE),0)</f>
        <v>0</v>
      </c>
      <c r="T67" s="86">
        <f t="shared" si="3"/>
        <v>15.559999999999999</v>
      </c>
      <c r="U67" s="87">
        <f t="shared" si="4"/>
        <v>2658</v>
      </c>
      <c r="V67" s="168" t="str">
        <f>_xlfn.IFNA(VLOOKUP(B67,'SPUNTA PER GIRO'!A:T,20,FALSE),"")</f>
        <v/>
      </c>
      <c r="W67" s="88"/>
      <c r="X67" s="168"/>
      <c r="Y67" s="88"/>
      <c r="Z67" s="168"/>
      <c r="AA67" s="89"/>
      <c r="AB67" s="169"/>
      <c r="AC67" s="175"/>
      <c r="AD67" s="171">
        <v>1805282</v>
      </c>
      <c r="AE67" s="172"/>
      <c r="AF67" s="172"/>
    </row>
    <row r="68" spans="1:32" ht="14.25" customHeight="1" thickBot="1" x14ac:dyDescent="0.3">
      <c r="A68" s="152">
        <v>1</v>
      </c>
      <c r="B68" s="164">
        <v>15733</v>
      </c>
      <c r="C68" s="153" t="s">
        <v>59</v>
      </c>
      <c r="D68" s="162" t="s">
        <v>172</v>
      </c>
      <c r="E68" s="235" t="s">
        <v>37</v>
      </c>
      <c r="F68" s="356">
        <f>_xlfn.IFNA(VLOOKUP(B68,ANALISI!A:O,4,FALSE),0)</f>
        <v>1959</v>
      </c>
      <c r="G68" s="357">
        <f>_xlfn.IFNA(VLOOKUP(B68,'SPUNTA PER GIRO'!A:N,6,FALSE),0)</f>
        <v>854</v>
      </c>
      <c r="H68" s="357">
        <f>_xlfn.IFNA(VLOOKUP(B68,ANALISI!A:O,5,FALSE),0)</f>
        <v>34</v>
      </c>
      <c r="I68" s="357">
        <f>_xlfn.IFNA(VLOOKUP(B68,'SPUNTA PER GIRO'!A:N,8,FALSE),0)</f>
        <v>0</v>
      </c>
      <c r="J68" s="358">
        <f>_xlfn.IFNA(ROUND(VLOOKUP(B68,ANALISI!A:O,6,FALSE),2),0)</f>
        <v>228.98</v>
      </c>
      <c r="K68" s="359">
        <f>_xlfn.IFNA(VLOOKUP(B68,ANALISI!A:O,7,FALSE),0)</f>
        <v>34252</v>
      </c>
      <c r="L68" s="92"/>
      <c r="M68" s="93"/>
      <c r="N68" s="94"/>
      <c r="O68" s="95"/>
      <c r="P68" s="363">
        <f>_xlfn.IFNA(VLOOKUP(B68,ANALISI!A:O,11,FALSE),0)</f>
        <v>0</v>
      </c>
      <c r="Q68" s="353">
        <f>_xlfn.IFNA(VLOOKUP(B68,'SPUNTA PER GIRO'!A:N,12,FALSE),0)</f>
        <v>0</v>
      </c>
      <c r="R68" s="364">
        <f>_xlfn.IFNA(ROUND(VLOOKUP(B68,ANALISI!A:O,12,FALSE),2),0)</f>
        <v>0</v>
      </c>
      <c r="S68" s="362">
        <f>_xlfn.IFNA(VLOOKUP(B68,ANALISI!A:O,13,FALSE),0)</f>
        <v>0</v>
      </c>
      <c r="T68" s="86">
        <f t="shared" si="3"/>
        <v>228.98</v>
      </c>
      <c r="U68" s="87">
        <f t="shared" si="4"/>
        <v>34252</v>
      </c>
      <c r="V68" s="168" t="str">
        <f>_xlfn.IFNA(VLOOKUP(B68,'SPUNTA PER GIRO'!A:T,20,FALSE),"")</f>
        <v/>
      </c>
      <c r="W68" s="88"/>
      <c r="X68" s="168"/>
      <c r="Y68" s="88"/>
      <c r="Z68" s="168"/>
      <c r="AA68" s="89"/>
      <c r="AB68" s="169"/>
      <c r="AC68" s="175"/>
      <c r="AD68" s="171">
        <v>1805282</v>
      </c>
      <c r="AE68" s="172"/>
      <c r="AF68" s="172"/>
    </row>
    <row r="69" spans="1:32" ht="14.25" customHeight="1" thickBot="1" x14ac:dyDescent="0.3">
      <c r="A69" s="152">
        <v>1</v>
      </c>
      <c r="B69" s="164">
        <v>15733</v>
      </c>
      <c r="C69" s="153" t="s">
        <v>60</v>
      </c>
      <c r="D69" s="162" t="s">
        <v>172</v>
      </c>
      <c r="E69" s="235" t="s">
        <v>37</v>
      </c>
      <c r="F69" s="92"/>
      <c r="G69" s="93"/>
      <c r="H69" s="93"/>
      <c r="I69" s="93"/>
      <c r="J69" s="94"/>
      <c r="K69" s="95"/>
      <c r="L69" s="360">
        <f>_xlfn.IFNA(VLOOKUP(B69,ANALISI!A:O,8,FALSE),0)</f>
        <v>162</v>
      </c>
      <c r="M69" s="353">
        <f>_xlfn.IFNA(VLOOKUP(B69,'SPUNTA PER GIRO'!A:N,10,FALSE),0)</f>
        <v>56</v>
      </c>
      <c r="N69" s="361">
        <f>_xlfn.IFNA(ROUND(VLOOKUP(B69,ANALISI!A:O,9,FALSE),2),0)</f>
        <v>16.100000000000001</v>
      </c>
      <c r="O69" s="362">
        <f>_xlfn.IFNA(VLOOKUP(B69,ANALISI!A:O,10,FALSE),0)</f>
        <v>1754</v>
      </c>
      <c r="P69" s="92"/>
      <c r="Q69" s="93"/>
      <c r="R69" s="94"/>
      <c r="S69" s="95"/>
      <c r="T69" s="86">
        <f t="shared" si="3"/>
        <v>16.100000000000001</v>
      </c>
      <c r="U69" s="87">
        <f t="shared" si="4"/>
        <v>1754</v>
      </c>
      <c r="V69" s="168" t="str">
        <f>_xlfn.IFNA(VLOOKUP(B69,'SPUNTA PER GIRO'!A:T,20,FALSE),"")</f>
        <v/>
      </c>
      <c r="W69" s="88"/>
      <c r="X69" s="168"/>
      <c r="Y69" s="88"/>
      <c r="Z69" s="168"/>
      <c r="AA69" s="89"/>
      <c r="AB69" s="169"/>
      <c r="AC69" s="175"/>
      <c r="AD69" s="171">
        <v>1805282</v>
      </c>
      <c r="AE69" s="172"/>
      <c r="AF69" s="172"/>
    </row>
    <row r="70" spans="1:32" ht="14.25" customHeight="1" thickBot="1" x14ac:dyDescent="0.3">
      <c r="A70" s="152">
        <v>1</v>
      </c>
      <c r="B70" s="161">
        <v>5641</v>
      </c>
      <c r="C70" s="154" t="s">
        <v>31</v>
      </c>
      <c r="D70" s="162" t="s">
        <v>73</v>
      </c>
      <c r="E70" s="235" t="s">
        <v>37</v>
      </c>
      <c r="F70" s="356">
        <f>_xlfn.IFNA(VLOOKUP(B70,ANALISI!A:O,4,FALSE),0)</f>
        <v>111</v>
      </c>
      <c r="G70" s="357">
        <f>_xlfn.IFNA(VLOOKUP(B70,'SPUNTA PER GIRO'!A:N,6,FALSE),0)</f>
        <v>85</v>
      </c>
      <c r="H70" s="357">
        <f>_xlfn.IFNA(VLOOKUP(B70,ANALISI!A:O,5,FALSE),0)</f>
        <v>0</v>
      </c>
      <c r="I70" s="357">
        <f>_xlfn.IFNA(VLOOKUP(B70,'SPUNTA PER GIRO'!A:N,8,FALSE),0)</f>
        <v>0</v>
      </c>
      <c r="J70" s="358">
        <f>_xlfn.IFNA(ROUND(VLOOKUP(B70,ANALISI!A:O,6,FALSE),2),0)</f>
        <v>10.99</v>
      </c>
      <c r="K70" s="359">
        <f>_xlfn.IFNA(VLOOKUP(B70,ANALISI!A:O,7,FALSE),0)</f>
        <v>1693</v>
      </c>
      <c r="L70" s="360">
        <f>_xlfn.IFNA(VLOOKUP(B70,ANALISI!A:O,8,FALSE),0)</f>
        <v>5</v>
      </c>
      <c r="M70" s="353">
        <f>_xlfn.IFNA(VLOOKUP(B70,'SPUNTA PER GIRO'!A:N,10,FALSE),0)</f>
        <v>7</v>
      </c>
      <c r="N70" s="361">
        <f>_xlfn.IFNA(ROUND(VLOOKUP(B70,ANALISI!A:O,9,FALSE),2),0)</f>
        <v>0.54</v>
      </c>
      <c r="O70" s="362">
        <f>_xlfn.IFNA(VLOOKUP(B70,ANALISI!A:O,10,FALSE),0)</f>
        <v>64</v>
      </c>
      <c r="P70" s="363">
        <f>_xlfn.IFNA(VLOOKUP(B70,ANALISI!A:O,11,FALSE),0)</f>
        <v>1</v>
      </c>
      <c r="Q70" s="353">
        <f>_xlfn.IFNA(VLOOKUP(B70,'SPUNTA PER GIRO'!A:N,12,FALSE),0)</f>
        <v>2</v>
      </c>
      <c r="R70" s="364">
        <f>_xlfn.IFNA(ROUND(VLOOKUP(B70,ANALISI!A:O,12,FALSE),2),0)</f>
        <v>0.11</v>
      </c>
      <c r="S70" s="362">
        <f>_xlfn.IFNA(VLOOKUP(B70,ANALISI!A:O,13,FALSE),0)</f>
        <v>8</v>
      </c>
      <c r="T70" s="86">
        <f t="shared" si="3"/>
        <v>11.64</v>
      </c>
      <c r="U70" s="87">
        <f t="shared" si="4"/>
        <v>1765</v>
      </c>
      <c r="V70" s="168" t="str">
        <f>_xlfn.IFNA(VLOOKUP(B70,'SPUNTA PER GIRO'!A:T,20,FALSE),"")</f>
        <v/>
      </c>
      <c r="W70" s="88"/>
      <c r="X70" s="168"/>
      <c r="Y70" s="88"/>
      <c r="Z70" s="168"/>
      <c r="AA70" s="89"/>
      <c r="AB70" s="169"/>
      <c r="AC70" s="175"/>
      <c r="AD70" s="171">
        <v>1805282</v>
      </c>
      <c r="AE70" s="172"/>
      <c r="AF70" s="172"/>
    </row>
    <row r="71" spans="1:32" ht="14.25" customHeight="1" thickBot="1" x14ac:dyDescent="0.3">
      <c r="A71" s="152">
        <v>1</v>
      </c>
      <c r="B71" s="161">
        <v>5405</v>
      </c>
      <c r="C71" s="154" t="s">
        <v>47</v>
      </c>
      <c r="D71" s="162" t="s">
        <v>73</v>
      </c>
      <c r="E71" s="235" t="s">
        <v>33</v>
      </c>
      <c r="F71" s="356">
        <f>_xlfn.IFNA(VLOOKUP(B71,ANALISI!A:O,4,FALSE),0)</f>
        <v>120</v>
      </c>
      <c r="G71" s="357">
        <f>_xlfn.IFNA(VLOOKUP(B71,'SPUNTA PER GIRO'!A:N,6,FALSE),0)</f>
        <v>92</v>
      </c>
      <c r="H71" s="357">
        <f>_xlfn.IFNA(VLOOKUP(B71,ANALISI!A:O,5,FALSE),0)</f>
        <v>0</v>
      </c>
      <c r="I71" s="357">
        <f>_xlfn.IFNA(VLOOKUP(B71,'SPUNTA PER GIRO'!A:N,8,FALSE),0)</f>
        <v>0</v>
      </c>
      <c r="J71" s="358">
        <f>_xlfn.IFNA(ROUND(VLOOKUP(B71,ANALISI!A:O,6,FALSE),2),0)</f>
        <v>10.54</v>
      </c>
      <c r="K71" s="359">
        <f>_xlfn.IFNA(VLOOKUP(B71,ANALISI!A:O,7,FALSE),0)</f>
        <v>1785</v>
      </c>
      <c r="L71" s="360">
        <f>_xlfn.IFNA(VLOOKUP(B71,ANALISI!A:O,8,FALSE),0)</f>
        <v>4</v>
      </c>
      <c r="M71" s="353">
        <f>_xlfn.IFNA(VLOOKUP(B71,'SPUNTA PER GIRO'!A:N,10,FALSE),0)</f>
        <v>7</v>
      </c>
      <c r="N71" s="361">
        <f>_xlfn.IFNA(ROUND(VLOOKUP(B71,ANALISI!A:O,9,FALSE),2),0)</f>
        <v>0.38</v>
      </c>
      <c r="O71" s="362">
        <f>_xlfn.IFNA(VLOOKUP(B71,ANALISI!A:O,10,FALSE),0)</f>
        <v>40</v>
      </c>
      <c r="P71" s="363">
        <f>_xlfn.IFNA(VLOOKUP(B71,ANALISI!A:O,11,FALSE),0)</f>
        <v>2</v>
      </c>
      <c r="Q71" s="353">
        <f>_xlfn.IFNA(VLOOKUP(B71,'SPUNTA PER GIRO'!A:N,12,FALSE),0)</f>
        <v>1</v>
      </c>
      <c r="R71" s="364">
        <f>_xlfn.IFNA(ROUND(VLOOKUP(B71,ANALISI!A:O,12,FALSE),2),0)</f>
        <v>0.18</v>
      </c>
      <c r="S71" s="362">
        <f>_xlfn.IFNA(VLOOKUP(B71,ANALISI!A:O,13,FALSE),0)</f>
        <v>12</v>
      </c>
      <c r="T71" s="86">
        <f t="shared" si="3"/>
        <v>11.1</v>
      </c>
      <c r="U71" s="87">
        <f t="shared" si="4"/>
        <v>1837</v>
      </c>
      <c r="V71" s="168" t="str">
        <f>_xlfn.IFNA(VLOOKUP(B71,'SPUNTA PER GIRO'!A:T,20,FALSE),"")</f>
        <v/>
      </c>
      <c r="W71" s="88"/>
      <c r="X71" s="168"/>
      <c r="Y71" s="88"/>
      <c r="Z71" s="168"/>
      <c r="AA71" s="89"/>
      <c r="AB71" s="169"/>
      <c r="AC71" s="175"/>
      <c r="AD71" s="171">
        <v>1805282</v>
      </c>
      <c r="AE71" s="172"/>
      <c r="AF71" s="172"/>
    </row>
    <row r="72" spans="1:32" ht="14.25" customHeight="1" thickBot="1" x14ac:dyDescent="0.3">
      <c r="A72" s="152">
        <v>1</v>
      </c>
      <c r="B72" s="161">
        <v>2972</v>
      </c>
      <c r="C72" s="154" t="s">
        <v>56</v>
      </c>
      <c r="D72" s="162" t="s">
        <v>73</v>
      </c>
      <c r="E72" s="235" t="s">
        <v>33</v>
      </c>
      <c r="F72" s="356">
        <f>_xlfn.IFNA(VLOOKUP(B72,ANALISI!A:O,4,FALSE),0)</f>
        <v>73</v>
      </c>
      <c r="G72" s="357">
        <f>_xlfn.IFNA(VLOOKUP(B72,'SPUNTA PER GIRO'!A:N,6,FALSE),0)</f>
        <v>60</v>
      </c>
      <c r="H72" s="357">
        <f>_xlfn.IFNA(VLOOKUP(B72,ANALISI!A:O,5,FALSE),0)</f>
        <v>0</v>
      </c>
      <c r="I72" s="357">
        <f>_xlfn.IFNA(VLOOKUP(B72,'SPUNTA PER GIRO'!A:N,8,FALSE),0)</f>
        <v>0</v>
      </c>
      <c r="J72" s="358">
        <f>_xlfn.IFNA(ROUND(VLOOKUP(B72,ANALISI!A:O,6,FALSE),2),0)</f>
        <v>7.87</v>
      </c>
      <c r="K72" s="359">
        <f>_xlfn.IFNA(VLOOKUP(B72,ANALISI!A:O,7,FALSE),0)</f>
        <v>1421</v>
      </c>
      <c r="L72" s="360">
        <f>_xlfn.IFNA(VLOOKUP(B72,ANALISI!A:O,8,FALSE),0)</f>
        <v>4</v>
      </c>
      <c r="M72" s="353">
        <f>_xlfn.IFNA(VLOOKUP(B72,'SPUNTA PER GIRO'!A:N,10,FALSE),0)</f>
        <v>10</v>
      </c>
      <c r="N72" s="361">
        <f>_xlfn.IFNA(ROUND(VLOOKUP(B72,ANALISI!A:O,9,FALSE),2),0)</f>
        <v>0.35</v>
      </c>
      <c r="O72" s="362">
        <f>_xlfn.IFNA(VLOOKUP(B72,ANALISI!A:O,10,FALSE),0)</f>
        <v>40</v>
      </c>
      <c r="P72" s="363">
        <f>_xlfn.IFNA(VLOOKUP(B72,ANALISI!A:O,11,FALSE),0)</f>
        <v>0</v>
      </c>
      <c r="Q72" s="353">
        <f>_xlfn.IFNA(VLOOKUP(B72,'SPUNTA PER GIRO'!A:N,12,FALSE),0)</f>
        <v>0</v>
      </c>
      <c r="R72" s="364">
        <f>_xlfn.IFNA(ROUND(VLOOKUP(B72,ANALISI!A:O,12,FALSE),2),0)</f>
        <v>0</v>
      </c>
      <c r="S72" s="362">
        <f>_xlfn.IFNA(VLOOKUP(B72,ANALISI!A:O,13,FALSE),0)</f>
        <v>0</v>
      </c>
      <c r="T72" s="86">
        <f t="shared" si="3"/>
        <v>8.2200000000000006</v>
      </c>
      <c r="U72" s="87">
        <f t="shared" si="3"/>
        <v>1461</v>
      </c>
      <c r="V72" s="385" t="str">
        <f>_xlfn.IFNA(VLOOKUP(B72,'SPUNTA PER GIRO'!A:T,20,FALSE),"")</f>
        <v/>
      </c>
      <c r="W72" s="386"/>
      <c r="X72" s="385"/>
      <c r="Y72" s="386"/>
      <c r="Z72" s="385"/>
      <c r="AA72" s="387"/>
      <c r="AB72" s="388"/>
      <c r="AC72" s="389"/>
      <c r="AD72" s="171">
        <v>1805282</v>
      </c>
      <c r="AE72" s="178"/>
      <c r="AF72" s="178"/>
    </row>
    <row r="73" spans="1:32" ht="20.25" customHeight="1" thickBot="1" x14ac:dyDescent="0.3">
      <c r="A73" s="165">
        <v>1</v>
      </c>
      <c r="B73" s="166">
        <v>17019</v>
      </c>
      <c r="C73" s="167" t="s">
        <v>44</v>
      </c>
      <c r="D73" s="249" t="s">
        <v>312</v>
      </c>
      <c r="E73" s="250" t="s">
        <v>37</v>
      </c>
      <c r="F73" s="356">
        <f>_xlfn.IFNA(VLOOKUP(B73,ANALISI!A:O,4,FALSE),0)</f>
        <v>45</v>
      </c>
      <c r="G73" s="357">
        <f>_xlfn.IFNA(VLOOKUP(B73,'SPUNTA PER GIRO'!A:N,6,FALSE),0)</f>
        <v>44</v>
      </c>
      <c r="H73" s="357">
        <f>_xlfn.IFNA(VLOOKUP(B73,ANALISI!A:O,5,FALSE),0)</f>
        <v>3</v>
      </c>
      <c r="I73" s="357">
        <f>_xlfn.IFNA(VLOOKUP(B73,'SPUNTA PER GIRO'!A:N,8,FALSE),0)</f>
        <v>32</v>
      </c>
      <c r="J73" s="358">
        <f>_xlfn.IFNA(ROUND(VLOOKUP(B73,ANALISI!A:O,6,FALSE),2),0)</f>
        <v>7.53</v>
      </c>
      <c r="K73" s="359">
        <f>_xlfn.IFNA(VLOOKUP(B73,ANALISI!A:O,7,FALSE),0)</f>
        <v>611</v>
      </c>
      <c r="L73" s="360">
        <f>_xlfn.IFNA(VLOOKUP(B73,ANALISI!A:O,8,FALSE),0)</f>
        <v>17</v>
      </c>
      <c r="M73" s="353">
        <f>_xlfn.IFNA(VLOOKUP(B73,'SPUNTA PER GIRO'!A:N,10,FALSE),0)</f>
        <v>25</v>
      </c>
      <c r="N73" s="361">
        <f>_xlfn.IFNA(ROUND(VLOOKUP(B73,ANALISI!A:O,9,FALSE),2),0)</f>
        <v>1.73</v>
      </c>
      <c r="O73" s="362">
        <f>_xlfn.IFNA(VLOOKUP(B73,ANALISI!A:O,10,FALSE),0)</f>
        <v>158</v>
      </c>
      <c r="P73" s="363">
        <f>_xlfn.IFNA(VLOOKUP(B73,ANALISI!A:O,11,FALSE),0)</f>
        <v>0</v>
      </c>
      <c r="Q73" s="353">
        <f>_xlfn.IFNA(VLOOKUP(B73,'SPUNTA PER GIRO'!A:N,12,FALSE),0)</f>
        <v>0</v>
      </c>
      <c r="R73" s="364">
        <f>_xlfn.IFNA(ROUND(VLOOKUP(B73,ANALISI!A:O,12,FALSE),2),0)</f>
        <v>0</v>
      </c>
      <c r="S73" s="362">
        <f>_xlfn.IFNA(VLOOKUP(B73,ANALISI!A:O,13,FALSE),0)</f>
        <v>0</v>
      </c>
      <c r="T73" s="437">
        <f t="shared" si="3"/>
        <v>9.26</v>
      </c>
      <c r="U73" s="438">
        <f t="shared" si="3"/>
        <v>769</v>
      </c>
      <c r="V73" s="385" t="str">
        <f>_xlfn.IFNA(VLOOKUP(B73,'SPUNTA PER GIRO'!A:T,20,FALSE),"")</f>
        <v/>
      </c>
      <c r="W73" s="386"/>
      <c r="X73" s="385"/>
      <c r="Y73" s="386"/>
      <c r="Z73" s="385"/>
      <c r="AA73" s="387"/>
      <c r="AB73" s="388"/>
      <c r="AC73" s="389"/>
      <c r="AD73" s="171">
        <v>1805282</v>
      </c>
      <c r="AE73" s="178"/>
      <c r="AF73" s="178"/>
    </row>
    <row r="74" spans="1:32" x14ac:dyDescent="0.25">
      <c r="C74" s="147"/>
      <c r="F74" s="73"/>
    </row>
    <row r="75" spans="1:32" x14ac:dyDescent="0.25">
      <c r="C75" s="147"/>
      <c r="F75" s="73"/>
    </row>
    <row r="76" spans="1:32" x14ac:dyDescent="0.25">
      <c r="C76" s="147"/>
      <c r="F76" s="73"/>
    </row>
    <row r="77" spans="1:32" x14ac:dyDescent="0.25">
      <c r="C77" s="147"/>
      <c r="F77" s="73"/>
    </row>
    <row r="78" spans="1:32" x14ac:dyDescent="0.25">
      <c r="C78" s="147"/>
      <c r="F78" s="73"/>
    </row>
    <row r="79" spans="1:32" x14ac:dyDescent="0.25">
      <c r="C79" s="147"/>
      <c r="F79" s="73"/>
    </row>
    <row r="80" spans="1:32" x14ac:dyDescent="0.25">
      <c r="C80" s="147"/>
      <c r="F80" s="73"/>
    </row>
    <row r="81" spans="3:6" x14ac:dyDescent="0.25">
      <c r="C81" s="147"/>
      <c r="F81" s="73"/>
    </row>
    <row r="82" spans="3:6" x14ac:dyDescent="0.25">
      <c r="C82" s="147"/>
      <c r="F82" s="73"/>
    </row>
    <row r="83" spans="3:6" x14ac:dyDescent="0.25">
      <c r="C83" s="147"/>
      <c r="F83" s="73"/>
    </row>
    <row r="84" spans="3:6" x14ac:dyDescent="0.25">
      <c r="C84" s="147"/>
      <c r="F84" s="73"/>
    </row>
    <row r="85" spans="3:6" x14ac:dyDescent="0.25">
      <c r="C85" s="147"/>
      <c r="F85" s="73"/>
    </row>
    <row r="86" spans="3:6" x14ac:dyDescent="0.25">
      <c r="C86" s="147"/>
      <c r="F86" s="73"/>
    </row>
    <row r="87" spans="3:6" x14ac:dyDescent="0.25">
      <c r="C87" s="147"/>
      <c r="F87" s="73"/>
    </row>
    <row r="88" spans="3:6" x14ac:dyDescent="0.25">
      <c r="C88" s="147"/>
      <c r="F88" s="73"/>
    </row>
    <row r="89" spans="3:6" x14ac:dyDescent="0.25">
      <c r="C89" s="147"/>
      <c r="F89" s="73"/>
    </row>
    <row r="90" spans="3:6" x14ac:dyDescent="0.25">
      <c r="C90" s="147"/>
      <c r="F90" s="73"/>
    </row>
    <row r="91" spans="3:6" x14ac:dyDescent="0.25">
      <c r="C91" s="147"/>
      <c r="F91" s="73"/>
    </row>
    <row r="92" spans="3:6" x14ac:dyDescent="0.25">
      <c r="C92" s="147"/>
      <c r="F92" s="73"/>
    </row>
    <row r="93" spans="3:6" x14ac:dyDescent="0.25">
      <c r="C93" s="147"/>
      <c r="F93" s="73"/>
    </row>
    <row r="94" spans="3:6" x14ac:dyDescent="0.25">
      <c r="C94" s="147"/>
      <c r="F94" s="73"/>
    </row>
    <row r="95" spans="3:6" x14ac:dyDescent="0.25">
      <c r="C95" s="147"/>
      <c r="F95" s="73"/>
    </row>
    <row r="96" spans="3:6" x14ac:dyDescent="0.25">
      <c r="C96" s="147"/>
      <c r="F96" s="73"/>
    </row>
    <row r="97" spans="3:6" x14ac:dyDescent="0.25">
      <c r="C97" s="147"/>
      <c r="F97" s="73"/>
    </row>
    <row r="98" spans="3:6" x14ac:dyDescent="0.25">
      <c r="C98" s="147"/>
      <c r="F98" s="73"/>
    </row>
    <row r="99" spans="3:6" x14ac:dyDescent="0.25">
      <c r="C99" s="147"/>
      <c r="F99" s="73"/>
    </row>
    <row r="100" spans="3:6" x14ac:dyDescent="0.25">
      <c r="C100" s="147"/>
      <c r="F100" s="73"/>
    </row>
    <row r="101" spans="3:6" x14ac:dyDescent="0.25">
      <c r="C101" s="147"/>
      <c r="F101" s="73"/>
    </row>
    <row r="102" spans="3:6" x14ac:dyDescent="0.25">
      <c r="C102" s="147"/>
      <c r="F102" s="73"/>
    </row>
    <row r="103" spans="3:6" x14ac:dyDescent="0.25">
      <c r="C103" s="147"/>
      <c r="F103" s="73"/>
    </row>
    <row r="104" spans="3:6" x14ac:dyDescent="0.25">
      <c r="C104" s="147"/>
      <c r="F104" s="73"/>
    </row>
    <row r="105" spans="3:6" x14ac:dyDescent="0.25">
      <c r="C105" s="147"/>
      <c r="F105" s="73"/>
    </row>
    <row r="106" spans="3:6" x14ac:dyDescent="0.25">
      <c r="C106" s="147"/>
      <c r="F106" s="73"/>
    </row>
    <row r="107" spans="3:6" x14ac:dyDescent="0.25">
      <c r="C107" s="147"/>
      <c r="F107" s="73"/>
    </row>
    <row r="108" spans="3:6" x14ac:dyDescent="0.25">
      <c r="C108" s="147"/>
      <c r="F108" s="73"/>
    </row>
    <row r="109" spans="3:6" x14ac:dyDescent="0.25">
      <c r="C109" s="147"/>
      <c r="F109" s="73"/>
    </row>
    <row r="110" spans="3:6" x14ac:dyDescent="0.25">
      <c r="C110" s="147"/>
      <c r="F110" s="73"/>
    </row>
    <row r="111" spans="3:6" x14ac:dyDescent="0.25">
      <c r="C111" s="147"/>
      <c r="F111" s="73"/>
    </row>
    <row r="112" spans="3:6" x14ac:dyDescent="0.25">
      <c r="C112" s="147"/>
      <c r="F112" s="73"/>
    </row>
    <row r="113" spans="3:6" x14ac:dyDescent="0.25">
      <c r="C113" s="147"/>
      <c r="F113" s="73"/>
    </row>
    <row r="114" spans="3:6" x14ac:dyDescent="0.25">
      <c r="C114" s="147"/>
      <c r="F114" s="73"/>
    </row>
    <row r="115" spans="3:6" x14ac:dyDescent="0.25">
      <c r="C115" s="147"/>
      <c r="F115" s="73"/>
    </row>
    <row r="116" spans="3:6" x14ac:dyDescent="0.25">
      <c r="C116" s="147"/>
      <c r="F116" s="73"/>
    </row>
    <row r="117" spans="3:6" x14ac:dyDescent="0.25">
      <c r="C117" s="147"/>
      <c r="F117" s="73"/>
    </row>
    <row r="118" spans="3:6" x14ac:dyDescent="0.25">
      <c r="C118" s="147"/>
      <c r="F118" s="73"/>
    </row>
    <row r="119" spans="3:6" x14ac:dyDescent="0.25">
      <c r="C119" s="147"/>
      <c r="F119" s="73"/>
    </row>
    <row r="120" spans="3:6" x14ac:dyDescent="0.25">
      <c r="C120" s="147"/>
      <c r="F120" s="73"/>
    </row>
    <row r="121" spans="3:6" x14ac:dyDescent="0.25">
      <c r="C121" s="147"/>
      <c r="F121" s="73"/>
    </row>
    <row r="122" spans="3:6" x14ac:dyDescent="0.25">
      <c r="C122" s="147"/>
      <c r="F122" s="73"/>
    </row>
    <row r="123" spans="3:6" x14ac:dyDescent="0.25">
      <c r="C123" s="147"/>
      <c r="F123" s="73"/>
    </row>
    <row r="124" spans="3:6" x14ac:dyDescent="0.25">
      <c r="C124" s="147"/>
      <c r="F124" s="73"/>
    </row>
    <row r="125" spans="3:6" x14ac:dyDescent="0.25">
      <c r="C125" s="147"/>
      <c r="F125" s="73"/>
    </row>
    <row r="126" spans="3:6" x14ac:dyDescent="0.25">
      <c r="C126" s="147"/>
      <c r="F126" s="73"/>
    </row>
    <row r="127" spans="3:6" x14ac:dyDescent="0.25">
      <c r="C127" s="147"/>
      <c r="F127" s="73"/>
    </row>
    <row r="128" spans="3:6" x14ac:dyDescent="0.25">
      <c r="C128" s="147"/>
      <c r="F128" s="73"/>
    </row>
    <row r="129" spans="3:6" x14ac:dyDescent="0.25">
      <c r="C129" s="147"/>
      <c r="F129" s="73"/>
    </row>
    <row r="130" spans="3:6" x14ac:dyDescent="0.25">
      <c r="C130" s="147"/>
      <c r="F130" s="73"/>
    </row>
    <row r="131" spans="3:6" x14ac:dyDescent="0.25">
      <c r="C131" s="147"/>
      <c r="F131" s="73"/>
    </row>
    <row r="132" spans="3:6" x14ac:dyDescent="0.25">
      <c r="C132" s="147"/>
      <c r="F132" s="73"/>
    </row>
    <row r="133" spans="3:6" x14ac:dyDescent="0.25">
      <c r="C133" s="147"/>
      <c r="F133" s="73"/>
    </row>
    <row r="134" spans="3:6" x14ac:dyDescent="0.25">
      <c r="C134" s="147"/>
      <c r="F134" s="73"/>
    </row>
    <row r="135" spans="3:6" x14ac:dyDescent="0.25">
      <c r="C135" s="147"/>
      <c r="F135" s="73"/>
    </row>
    <row r="136" spans="3:6" x14ac:dyDescent="0.25">
      <c r="C136" s="147"/>
      <c r="F136" s="73"/>
    </row>
    <row r="137" spans="3:6" x14ac:dyDescent="0.25">
      <c r="C137" s="147"/>
      <c r="F137" s="73"/>
    </row>
    <row r="138" spans="3:6" x14ac:dyDescent="0.25">
      <c r="C138" s="147"/>
      <c r="F138" s="73"/>
    </row>
    <row r="139" spans="3:6" x14ac:dyDescent="0.25">
      <c r="C139" s="147"/>
      <c r="F139" s="73"/>
    </row>
    <row r="140" spans="3:6" x14ac:dyDescent="0.25">
      <c r="C140" s="147"/>
      <c r="F140" s="73"/>
    </row>
    <row r="141" spans="3:6" x14ac:dyDescent="0.25">
      <c r="C141" s="147"/>
      <c r="F141" s="73"/>
    </row>
    <row r="142" spans="3:6" x14ac:dyDescent="0.25">
      <c r="C142" s="147"/>
      <c r="F142" s="73"/>
    </row>
    <row r="143" spans="3:6" x14ac:dyDescent="0.25">
      <c r="C143" s="147"/>
      <c r="F143" s="73"/>
    </row>
    <row r="144" spans="3:6" x14ac:dyDescent="0.25">
      <c r="C144" s="147"/>
      <c r="F144" s="73"/>
    </row>
    <row r="145" spans="3:6" x14ac:dyDescent="0.25">
      <c r="C145" s="147"/>
      <c r="F145" s="73"/>
    </row>
    <row r="146" spans="3:6" x14ac:dyDescent="0.25">
      <c r="C146" s="147"/>
      <c r="F146" s="73"/>
    </row>
    <row r="147" spans="3:6" x14ac:dyDescent="0.25">
      <c r="C147" s="147"/>
      <c r="F147" s="73"/>
    </row>
    <row r="148" spans="3:6" x14ac:dyDescent="0.25">
      <c r="C148" s="147"/>
      <c r="F148" s="73"/>
    </row>
    <row r="149" spans="3:6" x14ac:dyDescent="0.25">
      <c r="C149" s="147"/>
      <c r="F149" s="73"/>
    </row>
    <row r="150" spans="3:6" x14ac:dyDescent="0.25">
      <c r="C150" s="147"/>
      <c r="F150" s="73"/>
    </row>
    <row r="151" spans="3:6" x14ac:dyDescent="0.25">
      <c r="C151" s="147"/>
      <c r="F151" s="73"/>
    </row>
    <row r="152" spans="3:6" x14ac:dyDescent="0.25">
      <c r="C152" s="147"/>
      <c r="F152" s="73"/>
    </row>
    <row r="153" spans="3:6" x14ac:dyDescent="0.25">
      <c r="C153" s="147"/>
      <c r="F153" s="73"/>
    </row>
    <row r="154" spans="3:6" x14ac:dyDescent="0.25">
      <c r="C154" s="147"/>
      <c r="F154" s="73"/>
    </row>
    <row r="155" spans="3:6" x14ac:dyDescent="0.25">
      <c r="C155" s="147"/>
      <c r="F155" s="73"/>
    </row>
    <row r="156" spans="3:6" x14ac:dyDescent="0.25">
      <c r="C156" s="147"/>
      <c r="F156" s="73"/>
    </row>
    <row r="157" spans="3:6" x14ac:dyDescent="0.25">
      <c r="C157" s="147"/>
      <c r="F157" s="73"/>
    </row>
    <row r="158" spans="3:6" x14ac:dyDescent="0.25">
      <c r="C158" s="147"/>
      <c r="F158" s="73"/>
    </row>
    <row r="159" spans="3:6" x14ac:dyDescent="0.25">
      <c r="C159" s="147"/>
      <c r="F159" s="73"/>
    </row>
    <row r="160" spans="3:6" x14ac:dyDescent="0.25">
      <c r="C160" s="147"/>
      <c r="F160" s="73"/>
    </row>
    <row r="161" spans="3:6" x14ac:dyDescent="0.25">
      <c r="C161" s="147"/>
      <c r="F161" s="73"/>
    </row>
    <row r="162" spans="3:6" x14ac:dyDescent="0.25">
      <c r="C162" s="147"/>
      <c r="F162" s="73"/>
    </row>
    <row r="163" spans="3:6" x14ac:dyDescent="0.25">
      <c r="C163" s="147"/>
      <c r="F163" s="73"/>
    </row>
    <row r="164" spans="3:6" x14ac:dyDescent="0.25">
      <c r="C164" s="147"/>
      <c r="F164" s="73"/>
    </row>
    <row r="165" spans="3:6" x14ac:dyDescent="0.25">
      <c r="C165" s="147"/>
      <c r="F165" s="73"/>
    </row>
    <row r="166" spans="3:6" x14ac:dyDescent="0.25">
      <c r="C166" s="147"/>
      <c r="F166" s="73"/>
    </row>
    <row r="167" spans="3:6" x14ac:dyDescent="0.25">
      <c r="C167" s="147"/>
      <c r="F167" s="73"/>
    </row>
    <row r="168" spans="3:6" x14ac:dyDescent="0.25">
      <c r="C168" s="147"/>
      <c r="F168" s="73"/>
    </row>
    <row r="169" spans="3:6" x14ac:dyDescent="0.25">
      <c r="C169" s="147"/>
      <c r="F169" s="73"/>
    </row>
    <row r="170" spans="3:6" x14ac:dyDescent="0.25">
      <c r="C170" s="147"/>
      <c r="F170" s="73"/>
    </row>
    <row r="171" spans="3:6" x14ac:dyDescent="0.25">
      <c r="C171" s="147"/>
      <c r="F171" s="73"/>
    </row>
    <row r="172" spans="3:6" x14ac:dyDescent="0.25">
      <c r="C172" s="147"/>
      <c r="F172" s="73"/>
    </row>
    <row r="173" spans="3:6" x14ac:dyDescent="0.25">
      <c r="C173" s="147"/>
      <c r="F173" s="73"/>
    </row>
    <row r="174" spans="3:6" x14ac:dyDescent="0.25">
      <c r="C174" s="147"/>
      <c r="F174" s="73"/>
    </row>
    <row r="175" spans="3:6" x14ac:dyDescent="0.25">
      <c r="C175" s="147"/>
      <c r="F175" s="73"/>
    </row>
    <row r="176" spans="3:6" x14ac:dyDescent="0.25">
      <c r="C176" s="147"/>
      <c r="F176" s="73"/>
    </row>
    <row r="177" spans="3:6" x14ac:dyDescent="0.25">
      <c r="C177" s="147"/>
      <c r="F177" s="73"/>
    </row>
    <row r="178" spans="3:6" x14ac:dyDescent="0.25">
      <c r="C178" s="147"/>
      <c r="F178" s="73"/>
    </row>
    <row r="179" spans="3:6" x14ac:dyDescent="0.25">
      <c r="C179" s="147"/>
      <c r="F179" s="73"/>
    </row>
    <row r="180" spans="3:6" x14ac:dyDescent="0.25">
      <c r="C180" s="147"/>
      <c r="F180" s="73"/>
    </row>
    <row r="181" spans="3:6" x14ac:dyDescent="0.25">
      <c r="C181" s="147"/>
      <c r="F181" s="73"/>
    </row>
    <row r="182" spans="3:6" x14ac:dyDescent="0.25">
      <c r="C182" s="147"/>
      <c r="F182" s="73"/>
    </row>
    <row r="183" spans="3:6" x14ac:dyDescent="0.25">
      <c r="C183" s="147"/>
      <c r="F183" s="73"/>
    </row>
    <row r="184" spans="3:6" x14ac:dyDescent="0.25">
      <c r="C184" s="147"/>
      <c r="F184" s="73"/>
    </row>
    <row r="185" spans="3:6" x14ac:dyDescent="0.25">
      <c r="C185" s="147"/>
      <c r="F185" s="73"/>
    </row>
    <row r="186" spans="3:6" x14ac:dyDescent="0.25">
      <c r="C186" s="147"/>
      <c r="F186" s="73"/>
    </row>
    <row r="187" spans="3:6" x14ac:dyDescent="0.25">
      <c r="C187" s="147"/>
      <c r="F187" s="73"/>
    </row>
    <row r="188" spans="3:6" x14ac:dyDescent="0.25">
      <c r="C188" s="147"/>
      <c r="F188" s="73"/>
    </row>
    <row r="189" spans="3:6" x14ac:dyDescent="0.25">
      <c r="C189" s="147"/>
      <c r="F189" s="73"/>
    </row>
    <row r="190" spans="3:6" x14ac:dyDescent="0.25">
      <c r="C190" s="147"/>
      <c r="F190" s="73"/>
    </row>
    <row r="191" spans="3:6" x14ac:dyDescent="0.25">
      <c r="C191" s="147"/>
      <c r="F191" s="73"/>
    </row>
    <row r="192" spans="3:6" x14ac:dyDescent="0.25">
      <c r="C192" s="147"/>
      <c r="F192" s="73"/>
    </row>
    <row r="193" spans="3:6" x14ac:dyDescent="0.25">
      <c r="C193" s="147"/>
      <c r="F193" s="73"/>
    </row>
    <row r="194" spans="3:6" x14ac:dyDescent="0.25">
      <c r="C194" s="147"/>
      <c r="F194" s="73"/>
    </row>
    <row r="195" spans="3:6" x14ac:dyDescent="0.25">
      <c r="C195" s="147"/>
      <c r="F195" s="73"/>
    </row>
    <row r="196" spans="3:6" x14ac:dyDescent="0.25">
      <c r="C196" s="147"/>
      <c r="F196" s="73"/>
    </row>
    <row r="197" spans="3:6" x14ac:dyDescent="0.25">
      <c r="C197" s="147"/>
      <c r="F197" s="73"/>
    </row>
    <row r="198" spans="3:6" x14ac:dyDescent="0.25">
      <c r="C198" s="147"/>
      <c r="F198" s="73"/>
    </row>
    <row r="199" spans="3:6" x14ac:dyDescent="0.25">
      <c r="C199" s="147"/>
      <c r="F199" s="73"/>
    </row>
    <row r="200" spans="3:6" x14ac:dyDescent="0.25">
      <c r="C200" s="147"/>
      <c r="F200" s="73"/>
    </row>
    <row r="201" spans="3:6" x14ac:dyDescent="0.25">
      <c r="C201" s="147"/>
      <c r="F201" s="73"/>
    </row>
    <row r="202" spans="3:6" x14ac:dyDescent="0.25">
      <c r="C202" s="147"/>
      <c r="F202" s="73"/>
    </row>
    <row r="203" spans="3:6" x14ac:dyDescent="0.25">
      <c r="C203" s="147"/>
      <c r="F203" s="73"/>
    </row>
    <row r="204" spans="3:6" x14ac:dyDescent="0.25">
      <c r="C204" s="147"/>
      <c r="F204" s="73"/>
    </row>
    <row r="205" spans="3:6" x14ac:dyDescent="0.25">
      <c r="C205" s="147"/>
      <c r="F205" s="73"/>
    </row>
    <row r="206" spans="3:6" x14ac:dyDescent="0.25">
      <c r="C206" s="147"/>
      <c r="F206" s="73"/>
    </row>
    <row r="207" spans="3:6" x14ac:dyDescent="0.25">
      <c r="C207" s="147"/>
      <c r="F207" s="73"/>
    </row>
    <row r="208" spans="3:6" x14ac:dyDescent="0.25">
      <c r="C208" s="147"/>
      <c r="F208" s="73"/>
    </row>
    <row r="209" spans="3:6" x14ac:dyDescent="0.25">
      <c r="C209" s="147"/>
      <c r="F209" s="73"/>
    </row>
    <row r="210" spans="3:6" x14ac:dyDescent="0.25">
      <c r="C210" s="147"/>
      <c r="F210" s="73"/>
    </row>
    <row r="211" spans="3:6" x14ac:dyDescent="0.25">
      <c r="C211" s="147"/>
      <c r="F211" s="73"/>
    </row>
    <row r="212" spans="3:6" x14ac:dyDescent="0.25">
      <c r="C212" s="147"/>
      <c r="F212" s="73"/>
    </row>
    <row r="213" spans="3:6" x14ac:dyDescent="0.25">
      <c r="C213" s="147"/>
      <c r="F213" s="73"/>
    </row>
    <row r="214" spans="3:6" x14ac:dyDescent="0.25">
      <c r="C214" s="147"/>
      <c r="F214" s="73"/>
    </row>
    <row r="215" spans="3:6" x14ac:dyDescent="0.25">
      <c r="C215" s="147"/>
      <c r="F215" s="73"/>
    </row>
    <row r="216" spans="3:6" x14ac:dyDescent="0.25">
      <c r="C216" s="147"/>
      <c r="F216" s="73"/>
    </row>
    <row r="217" spans="3:6" x14ac:dyDescent="0.25">
      <c r="C217" s="147"/>
      <c r="F217" s="73"/>
    </row>
    <row r="218" spans="3:6" x14ac:dyDescent="0.25">
      <c r="C218" s="147"/>
      <c r="F218" s="73"/>
    </row>
    <row r="219" spans="3:6" x14ac:dyDescent="0.25">
      <c r="C219" s="147"/>
      <c r="F219" s="73"/>
    </row>
    <row r="220" spans="3:6" x14ac:dyDescent="0.25">
      <c r="C220" s="147"/>
      <c r="F220" s="73"/>
    </row>
    <row r="221" spans="3:6" x14ac:dyDescent="0.25">
      <c r="C221" s="147"/>
      <c r="F221" s="73"/>
    </row>
    <row r="222" spans="3:6" x14ac:dyDescent="0.25">
      <c r="C222" s="147"/>
      <c r="F222" s="73"/>
    </row>
    <row r="223" spans="3:6" x14ac:dyDescent="0.25">
      <c r="C223" s="147"/>
      <c r="F223" s="73"/>
    </row>
    <row r="224" spans="3:6" x14ac:dyDescent="0.25">
      <c r="C224" s="147"/>
      <c r="F224" s="73"/>
    </row>
    <row r="225" spans="3:6" x14ac:dyDescent="0.25">
      <c r="C225" s="147"/>
      <c r="F225" s="73"/>
    </row>
    <row r="226" spans="3:6" x14ac:dyDescent="0.25">
      <c r="C226" s="147"/>
      <c r="F226" s="73"/>
    </row>
    <row r="227" spans="3:6" x14ac:dyDescent="0.25">
      <c r="C227" s="147"/>
      <c r="F227" s="73"/>
    </row>
    <row r="228" spans="3:6" x14ac:dyDescent="0.25">
      <c r="C228" s="147"/>
      <c r="F228" s="73"/>
    </row>
    <row r="229" spans="3:6" x14ac:dyDescent="0.25">
      <c r="C229" s="147"/>
      <c r="F229" s="73"/>
    </row>
    <row r="230" spans="3:6" x14ac:dyDescent="0.25">
      <c r="C230" s="147"/>
      <c r="F230" s="73"/>
    </row>
    <row r="231" spans="3:6" x14ac:dyDescent="0.25">
      <c r="C231" s="147"/>
      <c r="F231" s="73"/>
    </row>
    <row r="232" spans="3:6" x14ac:dyDescent="0.25">
      <c r="C232" s="147"/>
      <c r="F232" s="73"/>
    </row>
    <row r="233" spans="3:6" x14ac:dyDescent="0.25">
      <c r="C233" s="147"/>
      <c r="F233" s="73"/>
    </row>
    <row r="234" spans="3:6" x14ac:dyDescent="0.25">
      <c r="C234" s="147"/>
      <c r="F234" s="73"/>
    </row>
    <row r="235" spans="3:6" x14ac:dyDescent="0.25">
      <c r="C235" s="147"/>
      <c r="F235" s="73"/>
    </row>
    <row r="236" spans="3:6" x14ac:dyDescent="0.25">
      <c r="C236" s="147"/>
      <c r="F236" s="73"/>
    </row>
    <row r="237" spans="3:6" x14ac:dyDescent="0.25">
      <c r="C237" s="147"/>
      <c r="F237" s="73"/>
    </row>
    <row r="238" spans="3:6" x14ac:dyDescent="0.25">
      <c r="C238" s="147"/>
      <c r="F238" s="73"/>
    </row>
    <row r="239" spans="3:6" x14ac:dyDescent="0.25">
      <c r="C239" s="147"/>
      <c r="F239" s="73"/>
    </row>
    <row r="240" spans="3:6" x14ac:dyDescent="0.25">
      <c r="C240" s="147"/>
      <c r="F240" s="73"/>
    </row>
    <row r="241" spans="3:6" x14ac:dyDescent="0.25">
      <c r="C241" s="147"/>
      <c r="F241" s="73"/>
    </row>
    <row r="242" spans="3:6" x14ac:dyDescent="0.25">
      <c r="C242" s="147"/>
      <c r="F242" s="73"/>
    </row>
    <row r="243" spans="3:6" x14ac:dyDescent="0.25">
      <c r="C243" s="147"/>
      <c r="F243" s="73"/>
    </row>
    <row r="244" spans="3:6" x14ac:dyDescent="0.25">
      <c r="C244" s="147"/>
      <c r="F244" s="73"/>
    </row>
    <row r="245" spans="3:6" x14ac:dyDescent="0.25">
      <c r="C245" s="147"/>
      <c r="F245" s="73"/>
    </row>
    <row r="246" spans="3:6" x14ac:dyDescent="0.25">
      <c r="C246" s="147"/>
      <c r="F246" s="73"/>
    </row>
    <row r="247" spans="3:6" x14ac:dyDescent="0.25">
      <c r="C247" s="147"/>
      <c r="F247" s="73"/>
    </row>
    <row r="248" spans="3:6" x14ac:dyDescent="0.25">
      <c r="C248" s="147"/>
      <c r="F248" s="73"/>
    </row>
    <row r="249" spans="3:6" x14ac:dyDescent="0.25">
      <c r="C249" s="147"/>
      <c r="F249" s="73"/>
    </row>
    <row r="250" spans="3:6" x14ac:dyDescent="0.25">
      <c r="C250" s="147"/>
      <c r="F250" s="73"/>
    </row>
    <row r="251" spans="3:6" x14ac:dyDescent="0.25">
      <c r="C251" s="147"/>
      <c r="F251" s="73"/>
    </row>
    <row r="252" spans="3:6" x14ac:dyDescent="0.25">
      <c r="C252" s="147"/>
      <c r="F252" s="73"/>
    </row>
    <row r="253" spans="3:6" x14ac:dyDescent="0.25">
      <c r="C253" s="147"/>
      <c r="F253" s="73"/>
    </row>
    <row r="254" spans="3:6" x14ac:dyDescent="0.25">
      <c r="C254" s="147"/>
      <c r="F254" s="73"/>
    </row>
    <row r="255" spans="3:6" x14ac:dyDescent="0.25">
      <c r="C255" s="147"/>
      <c r="F255" s="73"/>
    </row>
    <row r="256" spans="3:6" x14ac:dyDescent="0.25">
      <c r="C256" s="147"/>
      <c r="F256" s="73"/>
    </row>
    <row r="257" spans="3:6" x14ac:dyDescent="0.25">
      <c r="C257" s="147"/>
      <c r="F257" s="73"/>
    </row>
    <row r="258" spans="3:6" x14ac:dyDescent="0.25">
      <c r="C258" s="147"/>
      <c r="F258" s="73"/>
    </row>
    <row r="259" spans="3:6" x14ac:dyDescent="0.25">
      <c r="C259" s="147"/>
      <c r="F259" s="73"/>
    </row>
    <row r="260" spans="3:6" x14ac:dyDescent="0.25">
      <c r="C260" s="147"/>
      <c r="F260" s="73"/>
    </row>
    <row r="261" spans="3:6" x14ac:dyDescent="0.25">
      <c r="C261" s="147"/>
      <c r="F261" s="73"/>
    </row>
    <row r="262" spans="3:6" x14ac:dyDescent="0.25">
      <c r="C262" s="147"/>
      <c r="F262" s="73"/>
    </row>
    <row r="263" spans="3:6" x14ac:dyDescent="0.25">
      <c r="C263" s="147"/>
      <c r="F263" s="73"/>
    </row>
    <row r="264" spans="3:6" x14ac:dyDescent="0.25">
      <c r="C264" s="147"/>
      <c r="F264" s="73"/>
    </row>
    <row r="265" spans="3:6" x14ac:dyDescent="0.25">
      <c r="C265" s="147"/>
      <c r="F265" s="73"/>
    </row>
    <row r="266" spans="3:6" x14ac:dyDescent="0.25">
      <c r="C266" s="147"/>
      <c r="F266" s="73"/>
    </row>
    <row r="267" spans="3:6" x14ac:dyDescent="0.25">
      <c r="C267" s="147"/>
      <c r="F267" s="73"/>
    </row>
    <row r="268" spans="3:6" x14ac:dyDescent="0.25">
      <c r="C268" s="147"/>
      <c r="F268" s="73"/>
    </row>
    <row r="269" spans="3:6" x14ac:dyDescent="0.25">
      <c r="C269" s="147"/>
      <c r="F269" s="73"/>
    </row>
    <row r="270" spans="3:6" x14ac:dyDescent="0.25">
      <c r="C270" s="147"/>
      <c r="F270" s="73"/>
    </row>
    <row r="271" spans="3:6" x14ac:dyDescent="0.25">
      <c r="C271" s="147"/>
      <c r="F271" s="73"/>
    </row>
    <row r="272" spans="3:6" x14ac:dyDescent="0.25">
      <c r="C272" s="147"/>
      <c r="F272" s="73"/>
    </row>
    <row r="273" spans="3:6" x14ac:dyDescent="0.25">
      <c r="C273" s="147"/>
      <c r="F273" s="73"/>
    </row>
    <row r="274" spans="3:6" x14ac:dyDescent="0.25">
      <c r="C274" s="147"/>
      <c r="F274" s="73"/>
    </row>
    <row r="275" spans="3:6" x14ac:dyDescent="0.25">
      <c r="C275" s="147"/>
      <c r="F275" s="73"/>
    </row>
    <row r="276" spans="3:6" x14ac:dyDescent="0.25">
      <c r="C276" s="147"/>
      <c r="F276" s="73"/>
    </row>
    <row r="277" spans="3:6" x14ac:dyDescent="0.25">
      <c r="C277" s="147"/>
      <c r="F277" s="73"/>
    </row>
    <row r="278" spans="3:6" x14ac:dyDescent="0.25">
      <c r="C278" s="147"/>
      <c r="F278" s="73"/>
    </row>
    <row r="279" spans="3:6" x14ac:dyDescent="0.25">
      <c r="C279" s="147"/>
      <c r="F279" s="73"/>
    </row>
    <row r="280" spans="3:6" x14ac:dyDescent="0.25">
      <c r="C280" s="147"/>
      <c r="F280" s="73"/>
    </row>
    <row r="281" spans="3:6" x14ac:dyDescent="0.25">
      <c r="C281" s="147"/>
      <c r="F281" s="73"/>
    </row>
    <row r="282" spans="3:6" x14ac:dyDescent="0.25">
      <c r="C282" s="147"/>
      <c r="F282" s="73"/>
    </row>
    <row r="283" spans="3:6" x14ac:dyDescent="0.25">
      <c r="C283" s="147"/>
      <c r="F283" s="73"/>
    </row>
    <row r="284" spans="3:6" x14ac:dyDescent="0.25">
      <c r="C284" s="147"/>
      <c r="F284" s="73"/>
    </row>
    <row r="285" spans="3:6" x14ac:dyDescent="0.25">
      <c r="C285" s="147"/>
      <c r="F285" s="73"/>
    </row>
    <row r="286" spans="3:6" x14ac:dyDescent="0.25">
      <c r="C286" s="147"/>
      <c r="F286" s="73"/>
    </row>
    <row r="287" spans="3:6" x14ac:dyDescent="0.25">
      <c r="C287" s="147"/>
      <c r="F287" s="73"/>
    </row>
    <row r="288" spans="3:6" x14ac:dyDescent="0.25">
      <c r="C288" s="147"/>
      <c r="F288" s="73"/>
    </row>
    <row r="289" spans="3:6" x14ac:dyDescent="0.25">
      <c r="C289" s="147"/>
      <c r="F289" s="73"/>
    </row>
    <row r="290" spans="3:6" x14ac:dyDescent="0.25">
      <c r="C290" s="147"/>
      <c r="F290" s="73"/>
    </row>
    <row r="291" spans="3:6" x14ac:dyDescent="0.25">
      <c r="C291" s="147"/>
      <c r="F291" s="73"/>
    </row>
    <row r="292" spans="3:6" x14ac:dyDescent="0.25">
      <c r="C292" s="147"/>
      <c r="F292" s="73"/>
    </row>
    <row r="293" spans="3:6" x14ac:dyDescent="0.25">
      <c r="C293" s="147"/>
      <c r="F293" s="73"/>
    </row>
    <row r="294" spans="3:6" x14ac:dyDescent="0.25">
      <c r="C294" s="147"/>
      <c r="F294" s="73"/>
    </row>
    <row r="295" spans="3:6" x14ac:dyDescent="0.25">
      <c r="C295" s="147"/>
      <c r="F295" s="73"/>
    </row>
    <row r="296" spans="3:6" x14ac:dyDescent="0.25">
      <c r="C296" s="147"/>
      <c r="F296" s="73"/>
    </row>
    <row r="297" spans="3:6" x14ac:dyDescent="0.25">
      <c r="C297" s="147"/>
      <c r="F297" s="73"/>
    </row>
    <row r="298" spans="3:6" x14ac:dyDescent="0.25">
      <c r="C298" s="147"/>
      <c r="F298" s="73"/>
    </row>
    <row r="299" spans="3:6" x14ac:dyDescent="0.25">
      <c r="C299" s="147"/>
      <c r="F299" s="73"/>
    </row>
    <row r="300" spans="3:6" x14ac:dyDescent="0.25">
      <c r="C300" s="147"/>
      <c r="F300" s="73"/>
    </row>
    <row r="301" spans="3:6" x14ac:dyDescent="0.25">
      <c r="C301" s="147"/>
      <c r="F301" s="73"/>
    </row>
    <row r="302" spans="3:6" x14ac:dyDescent="0.25">
      <c r="C302" s="147"/>
      <c r="F302" s="73"/>
    </row>
    <row r="303" spans="3:6" x14ac:dyDescent="0.25">
      <c r="C303" s="147"/>
      <c r="F303" s="73"/>
    </row>
    <row r="304" spans="3:6" x14ac:dyDescent="0.25">
      <c r="C304" s="147"/>
      <c r="F304" s="73"/>
    </row>
    <row r="305" spans="3:6" x14ac:dyDescent="0.25">
      <c r="C305" s="147"/>
      <c r="F305" s="73"/>
    </row>
    <row r="306" spans="3:6" x14ac:dyDescent="0.25">
      <c r="C306" s="147"/>
      <c r="F306" s="73"/>
    </row>
    <row r="307" spans="3:6" x14ac:dyDescent="0.25">
      <c r="C307" s="147"/>
      <c r="F307" s="73"/>
    </row>
    <row r="308" spans="3:6" x14ac:dyDescent="0.25">
      <c r="C308" s="147"/>
      <c r="F308" s="73"/>
    </row>
    <row r="309" spans="3:6" x14ac:dyDescent="0.25">
      <c r="C309" s="147"/>
      <c r="F309" s="73"/>
    </row>
    <row r="310" spans="3:6" x14ac:dyDescent="0.25">
      <c r="C310" s="147"/>
      <c r="F310" s="73"/>
    </row>
    <row r="311" spans="3:6" x14ac:dyDescent="0.25">
      <c r="C311" s="147"/>
      <c r="F311" s="73"/>
    </row>
    <row r="312" spans="3:6" x14ac:dyDescent="0.25">
      <c r="C312" s="147"/>
      <c r="F312" s="73"/>
    </row>
    <row r="313" spans="3:6" x14ac:dyDescent="0.25">
      <c r="C313" s="147"/>
      <c r="F313" s="73"/>
    </row>
    <row r="314" spans="3:6" x14ac:dyDescent="0.25">
      <c r="C314" s="147"/>
      <c r="F314" s="73"/>
    </row>
    <row r="315" spans="3:6" x14ac:dyDescent="0.25">
      <c r="C315" s="147"/>
      <c r="F315" s="73"/>
    </row>
    <row r="316" spans="3:6" x14ac:dyDescent="0.25">
      <c r="C316" s="147"/>
      <c r="F316" s="73"/>
    </row>
    <row r="317" spans="3:6" x14ac:dyDescent="0.25">
      <c r="C317" s="147"/>
      <c r="F317" s="73"/>
    </row>
    <row r="318" spans="3:6" x14ac:dyDescent="0.25">
      <c r="C318" s="147"/>
      <c r="F318" s="73"/>
    </row>
    <row r="319" spans="3:6" x14ac:dyDescent="0.25">
      <c r="C319" s="147"/>
      <c r="F319" s="73"/>
    </row>
    <row r="320" spans="3:6" x14ac:dyDescent="0.25">
      <c r="C320" s="147"/>
      <c r="F320" s="73"/>
    </row>
    <row r="321" spans="3:6" x14ac:dyDescent="0.25">
      <c r="C321" s="147"/>
      <c r="F321" s="73"/>
    </row>
    <row r="322" spans="3:6" x14ac:dyDescent="0.25">
      <c r="C322" s="147"/>
      <c r="F322" s="73"/>
    </row>
    <row r="323" spans="3:6" x14ac:dyDescent="0.25">
      <c r="C323" s="147"/>
      <c r="F323" s="73"/>
    </row>
    <row r="324" spans="3:6" x14ac:dyDescent="0.25">
      <c r="C324" s="147"/>
      <c r="F324" s="73"/>
    </row>
    <row r="325" spans="3:6" x14ac:dyDescent="0.25">
      <c r="C325" s="147"/>
      <c r="F325" s="73"/>
    </row>
    <row r="326" spans="3:6" x14ac:dyDescent="0.25">
      <c r="C326" s="147"/>
      <c r="F326" s="73"/>
    </row>
    <row r="327" spans="3:6" x14ac:dyDescent="0.25">
      <c r="C327" s="147"/>
      <c r="F327" s="73"/>
    </row>
    <row r="328" spans="3:6" x14ac:dyDescent="0.25">
      <c r="C328" s="147"/>
      <c r="F328" s="73"/>
    </row>
    <row r="329" spans="3:6" x14ac:dyDescent="0.25">
      <c r="C329" s="147"/>
      <c r="F329" s="73"/>
    </row>
    <row r="330" spans="3:6" x14ac:dyDescent="0.25">
      <c r="C330" s="147"/>
      <c r="F330" s="73"/>
    </row>
    <row r="331" spans="3:6" x14ac:dyDescent="0.25">
      <c r="C331" s="147"/>
      <c r="F331" s="73"/>
    </row>
    <row r="332" spans="3:6" x14ac:dyDescent="0.25">
      <c r="C332" s="147"/>
      <c r="F332" s="73"/>
    </row>
    <row r="333" spans="3:6" x14ac:dyDescent="0.25">
      <c r="C333" s="147"/>
      <c r="F333" s="73"/>
    </row>
    <row r="334" spans="3:6" x14ac:dyDescent="0.25">
      <c r="C334" s="147"/>
      <c r="F334" s="73"/>
    </row>
    <row r="335" spans="3:6" x14ac:dyDescent="0.25">
      <c r="C335" s="147"/>
      <c r="F335" s="73"/>
    </row>
    <row r="336" spans="3:6" x14ac:dyDescent="0.25">
      <c r="C336" s="147"/>
      <c r="F336" s="73"/>
    </row>
    <row r="337" spans="3:6" x14ac:dyDescent="0.25">
      <c r="C337" s="147"/>
      <c r="F337" s="73"/>
    </row>
    <row r="338" spans="3:6" x14ac:dyDescent="0.25">
      <c r="C338" s="147"/>
      <c r="F338" s="73"/>
    </row>
    <row r="339" spans="3:6" x14ac:dyDescent="0.25">
      <c r="C339" s="147"/>
      <c r="F339" s="73"/>
    </row>
    <row r="340" spans="3:6" x14ac:dyDescent="0.25">
      <c r="C340" s="147"/>
      <c r="F340" s="73"/>
    </row>
    <row r="341" spans="3:6" x14ac:dyDescent="0.25">
      <c r="C341" s="147"/>
      <c r="F341" s="73"/>
    </row>
    <row r="342" spans="3:6" x14ac:dyDescent="0.25">
      <c r="C342" s="147"/>
      <c r="F342" s="73"/>
    </row>
    <row r="343" spans="3:6" x14ac:dyDescent="0.25">
      <c r="C343" s="147"/>
      <c r="F343" s="73"/>
    </row>
    <row r="344" spans="3:6" x14ac:dyDescent="0.25">
      <c r="C344" s="147"/>
      <c r="F344" s="73"/>
    </row>
    <row r="345" spans="3:6" x14ac:dyDescent="0.25">
      <c r="C345" s="147"/>
      <c r="F345" s="73"/>
    </row>
    <row r="346" spans="3:6" x14ac:dyDescent="0.25">
      <c r="C346" s="147"/>
      <c r="F346" s="73"/>
    </row>
    <row r="347" spans="3:6" x14ac:dyDescent="0.25">
      <c r="C347" s="147"/>
      <c r="F347" s="73"/>
    </row>
    <row r="348" spans="3:6" x14ac:dyDescent="0.25">
      <c r="C348" s="147"/>
      <c r="F348" s="73"/>
    </row>
    <row r="349" spans="3:6" x14ac:dyDescent="0.25">
      <c r="C349" s="147"/>
      <c r="F349" s="73"/>
    </row>
    <row r="350" spans="3:6" x14ac:dyDescent="0.25">
      <c r="C350" s="147"/>
      <c r="F350" s="73"/>
    </row>
    <row r="351" spans="3:6" x14ac:dyDescent="0.25">
      <c r="C351" s="147"/>
      <c r="F351" s="73"/>
    </row>
    <row r="352" spans="3:6" x14ac:dyDescent="0.25">
      <c r="C352" s="147"/>
      <c r="F352" s="73"/>
    </row>
    <row r="353" spans="3:6" x14ac:dyDescent="0.25">
      <c r="C353" s="147"/>
      <c r="F353" s="73"/>
    </row>
    <row r="354" spans="3:6" x14ac:dyDescent="0.25">
      <c r="C354" s="147"/>
      <c r="F354" s="73"/>
    </row>
    <row r="355" spans="3:6" x14ac:dyDescent="0.25">
      <c r="C355" s="147"/>
      <c r="F355" s="73"/>
    </row>
    <row r="356" spans="3:6" x14ac:dyDescent="0.25">
      <c r="C356" s="147"/>
      <c r="F356" s="73"/>
    </row>
    <row r="357" spans="3:6" x14ac:dyDescent="0.25">
      <c r="C357" s="147"/>
      <c r="F357" s="73"/>
    </row>
    <row r="358" spans="3:6" x14ac:dyDescent="0.25">
      <c r="C358" s="147"/>
      <c r="F358" s="73"/>
    </row>
    <row r="359" spans="3:6" x14ac:dyDescent="0.25">
      <c r="C359" s="147"/>
      <c r="F359" s="73"/>
    </row>
    <row r="360" spans="3:6" x14ac:dyDescent="0.25">
      <c r="C360" s="147"/>
      <c r="F360" s="73"/>
    </row>
    <row r="361" spans="3:6" x14ac:dyDescent="0.25">
      <c r="C361" s="147"/>
      <c r="F361" s="73"/>
    </row>
    <row r="362" spans="3:6" x14ac:dyDescent="0.25">
      <c r="C362" s="147"/>
      <c r="F362" s="73"/>
    </row>
    <row r="363" spans="3:6" x14ac:dyDescent="0.25">
      <c r="C363" s="147"/>
      <c r="F363" s="73"/>
    </row>
    <row r="364" spans="3:6" x14ac:dyDescent="0.25">
      <c r="C364" s="147"/>
      <c r="F364" s="73"/>
    </row>
    <row r="365" spans="3:6" x14ac:dyDescent="0.25">
      <c r="C365" s="147"/>
      <c r="F365" s="73"/>
    </row>
    <row r="366" spans="3:6" x14ac:dyDescent="0.25">
      <c r="C366" s="147"/>
      <c r="F366" s="73"/>
    </row>
    <row r="367" spans="3:6" x14ac:dyDescent="0.25">
      <c r="C367" s="147"/>
      <c r="F367" s="73"/>
    </row>
    <row r="368" spans="3:6" x14ac:dyDescent="0.25">
      <c r="C368" s="147"/>
      <c r="F368" s="73"/>
    </row>
    <row r="369" spans="3:6" x14ac:dyDescent="0.25">
      <c r="C369" s="147"/>
      <c r="F369" s="73"/>
    </row>
    <row r="370" spans="3:6" x14ac:dyDescent="0.25">
      <c r="C370" s="147"/>
      <c r="F370" s="73"/>
    </row>
    <row r="371" spans="3:6" x14ac:dyDescent="0.25">
      <c r="C371" s="147"/>
      <c r="F371" s="73"/>
    </row>
    <row r="372" spans="3:6" x14ac:dyDescent="0.25">
      <c r="C372" s="147"/>
      <c r="F372" s="73"/>
    </row>
    <row r="373" spans="3:6" x14ac:dyDescent="0.25">
      <c r="C373" s="147"/>
      <c r="F373" s="73"/>
    </row>
    <row r="374" spans="3:6" x14ac:dyDescent="0.25">
      <c r="C374" s="147"/>
      <c r="F374" s="73"/>
    </row>
    <row r="375" spans="3:6" x14ac:dyDescent="0.25">
      <c r="C375" s="147"/>
      <c r="F375" s="73"/>
    </row>
    <row r="376" spans="3:6" x14ac:dyDescent="0.25">
      <c r="C376" s="147"/>
      <c r="F376" s="73"/>
    </row>
    <row r="377" spans="3:6" x14ac:dyDescent="0.25">
      <c r="C377" s="147"/>
      <c r="F377" s="73"/>
    </row>
    <row r="378" spans="3:6" x14ac:dyDescent="0.25">
      <c r="C378" s="147"/>
      <c r="F378" s="73"/>
    </row>
    <row r="379" spans="3:6" x14ac:dyDescent="0.25">
      <c r="C379" s="147"/>
      <c r="F379" s="73"/>
    </row>
    <row r="380" spans="3:6" x14ac:dyDescent="0.25">
      <c r="C380" s="147"/>
      <c r="F380" s="73"/>
    </row>
    <row r="381" spans="3:6" x14ac:dyDescent="0.25">
      <c r="C381" s="147"/>
      <c r="F381" s="73"/>
    </row>
    <row r="382" spans="3:6" x14ac:dyDescent="0.25">
      <c r="C382" s="147"/>
      <c r="F382" s="73"/>
    </row>
    <row r="383" spans="3:6" x14ac:dyDescent="0.25">
      <c r="C383" s="147"/>
      <c r="F383" s="73"/>
    </row>
    <row r="384" spans="3:6" x14ac:dyDescent="0.25">
      <c r="C384" s="147"/>
      <c r="F384" s="73"/>
    </row>
    <row r="385" spans="3:6" x14ac:dyDescent="0.25">
      <c r="C385" s="147"/>
      <c r="F385" s="73"/>
    </row>
    <row r="386" spans="3:6" x14ac:dyDescent="0.25">
      <c r="C386" s="147"/>
      <c r="F386" s="73"/>
    </row>
    <row r="387" spans="3:6" x14ac:dyDescent="0.25">
      <c r="C387" s="147"/>
      <c r="F387" s="73"/>
    </row>
    <row r="388" spans="3:6" x14ac:dyDescent="0.25">
      <c r="C388" s="147"/>
      <c r="F388" s="73"/>
    </row>
    <row r="389" spans="3:6" x14ac:dyDescent="0.25">
      <c r="C389" s="147"/>
      <c r="F389" s="73"/>
    </row>
    <row r="390" spans="3:6" x14ac:dyDescent="0.25">
      <c r="C390" s="147"/>
      <c r="F390" s="73"/>
    </row>
    <row r="391" spans="3:6" x14ac:dyDescent="0.25">
      <c r="C391" s="147"/>
      <c r="F391" s="73"/>
    </row>
    <row r="392" spans="3:6" x14ac:dyDescent="0.25">
      <c r="C392" s="147"/>
      <c r="F392" s="73"/>
    </row>
    <row r="393" spans="3:6" x14ac:dyDescent="0.25">
      <c r="C393" s="147"/>
      <c r="F393" s="73"/>
    </row>
    <row r="394" spans="3:6" x14ac:dyDescent="0.25">
      <c r="C394" s="147"/>
      <c r="F394" s="73"/>
    </row>
    <row r="395" spans="3:6" x14ac:dyDescent="0.25">
      <c r="C395" s="147"/>
      <c r="F395" s="73"/>
    </row>
    <row r="396" spans="3:6" x14ac:dyDescent="0.25">
      <c r="C396" s="147"/>
      <c r="F396" s="73"/>
    </row>
    <row r="397" spans="3:6" x14ac:dyDescent="0.25">
      <c r="C397" s="147"/>
      <c r="F397" s="73"/>
    </row>
    <row r="398" spans="3:6" x14ac:dyDescent="0.25">
      <c r="C398" s="147"/>
      <c r="F398" s="73"/>
    </row>
    <row r="399" spans="3:6" x14ac:dyDescent="0.25">
      <c r="C399" s="147"/>
      <c r="F399" s="73"/>
    </row>
    <row r="400" spans="3:6" x14ac:dyDescent="0.25">
      <c r="C400" s="147"/>
      <c r="F400" s="73"/>
    </row>
    <row r="401" spans="3:6" x14ac:dyDescent="0.25">
      <c r="C401" s="147"/>
      <c r="F401" s="73"/>
    </row>
    <row r="402" spans="3:6" x14ac:dyDescent="0.25">
      <c r="C402" s="147"/>
      <c r="F402" s="73"/>
    </row>
    <row r="403" spans="3:6" x14ac:dyDescent="0.25">
      <c r="C403" s="147"/>
      <c r="F403" s="73"/>
    </row>
    <row r="404" spans="3:6" x14ac:dyDescent="0.25">
      <c r="C404" s="147"/>
      <c r="F404" s="73"/>
    </row>
    <row r="405" spans="3:6" x14ac:dyDescent="0.25">
      <c r="C405" s="147"/>
      <c r="F405" s="73"/>
    </row>
    <row r="406" spans="3:6" x14ac:dyDescent="0.25">
      <c r="C406" s="147"/>
      <c r="F406" s="73"/>
    </row>
    <row r="407" spans="3:6" x14ac:dyDescent="0.25">
      <c r="C407" s="147"/>
      <c r="F407" s="73"/>
    </row>
    <row r="408" spans="3:6" x14ac:dyDescent="0.25">
      <c r="C408" s="147"/>
      <c r="F408" s="73"/>
    </row>
    <row r="409" spans="3:6" x14ac:dyDescent="0.25">
      <c r="C409" s="147"/>
      <c r="F409" s="73"/>
    </row>
    <row r="410" spans="3:6" x14ac:dyDescent="0.25">
      <c r="C410" s="147"/>
      <c r="F410" s="73"/>
    </row>
    <row r="411" spans="3:6" x14ac:dyDescent="0.25">
      <c r="C411" s="147"/>
      <c r="F411" s="73"/>
    </row>
    <row r="412" spans="3:6" x14ac:dyDescent="0.25">
      <c r="C412" s="147"/>
      <c r="F412" s="73"/>
    </row>
    <row r="413" spans="3:6" x14ac:dyDescent="0.25">
      <c r="C413" s="147"/>
      <c r="F413" s="73"/>
    </row>
    <row r="414" spans="3:6" x14ac:dyDescent="0.25">
      <c r="C414" s="147"/>
      <c r="F414" s="73"/>
    </row>
    <row r="415" spans="3:6" x14ac:dyDescent="0.25">
      <c r="C415" s="147"/>
      <c r="F415" s="73"/>
    </row>
    <row r="416" spans="3:6" x14ac:dyDescent="0.25">
      <c r="C416" s="147"/>
      <c r="F416" s="73"/>
    </row>
    <row r="417" spans="3:6" x14ac:dyDescent="0.25">
      <c r="C417" s="147"/>
      <c r="F417" s="73"/>
    </row>
    <row r="418" spans="3:6" x14ac:dyDescent="0.25">
      <c r="C418" s="147"/>
      <c r="F418" s="73"/>
    </row>
    <row r="419" spans="3:6" x14ac:dyDescent="0.25">
      <c r="C419" s="147"/>
      <c r="F419" s="73"/>
    </row>
    <row r="420" spans="3:6" x14ac:dyDescent="0.25">
      <c r="C420" s="147"/>
      <c r="F420" s="73"/>
    </row>
    <row r="421" spans="3:6" x14ac:dyDescent="0.25">
      <c r="C421" s="147"/>
      <c r="F421" s="73"/>
    </row>
    <row r="422" spans="3:6" x14ac:dyDescent="0.25">
      <c r="C422" s="147"/>
      <c r="F422" s="73"/>
    </row>
    <row r="423" spans="3:6" x14ac:dyDescent="0.25">
      <c r="C423" s="147"/>
      <c r="F423" s="73"/>
    </row>
    <row r="424" spans="3:6" x14ac:dyDescent="0.25">
      <c r="C424" s="147"/>
      <c r="F424" s="73"/>
    </row>
    <row r="425" spans="3:6" x14ac:dyDescent="0.25">
      <c r="C425" s="147"/>
      <c r="F425" s="73"/>
    </row>
    <row r="426" spans="3:6" x14ac:dyDescent="0.25">
      <c r="C426" s="147"/>
      <c r="F426" s="73"/>
    </row>
    <row r="427" spans="3:6" x14ac:dyDescent="0.25">
      <c r="C427" s="147"/>
      <c r="F427" s="73"/>
    </row>
    <row r="428" spans="3:6" x14ac:dyDescent="0.25">
      <c r="C428" s="147"/>
      <c r="F428" s="73"/>
    </row>
    <row r="429" spans="3:6" x14ac:dyDescent="0.25">
      <c r="C429" s="147"/>
      <c r="F429" s="73"/>
    </row>
    <row r="430" spans="3:6" x14ac:dyDescent="0.25">
      <c r="C430" s="147"/>
      <c r="F430" s="73"/>
    </row>
    <row r="431" spans="3:6" x14ac:dyDescent="0.25">
      <c r="C431" s="147"/>
      <c r="F431" s="73"/>
    </row>
    <row r="432" spans="3:6" x14ac:dyDescent="0.25">
      <c r="C432" s="147"/>
      <c r="F432" s="73"/>
    </row>
    <row r="433" spans="3:6" x14ac:dyDescent="0.25">
      <c r="C433" s="147"/>
      <c r="F433" s="73"/>
    </row>
    <row r="434" spans="3:6" x14ac:dyDescent="0.25">
      <c r="C434" s="147"/>
      <c r="F434" s="73"/>
    </row>
    <row r="435" spans="3:6" x14ac:dyDescent="0.25">
      <c r="C435" s="147"/>
      <c r="F435" s="73"/>
    </row>
    <row r="436" spans="3:6" x14ac:dyDescent="0.25">
      <c r="C436" s="147"/>
      <c r="F436" s="73"/>
    </row>
    <row r="437" spans="3:6" x14ac:dyDescent="0.25">
      <c r="C437" s="147"/>
      <c r="F437" s="73"/>
    </row>
    <row r="438" spans="3:6" x14ac:dyDescent="0.25">
      <c r="C438" s="147"/>
      <c r="F438" s="73"/>
    </row>
    <row r="439" spans="3:6" x14ac:dyDescent="0.25">
      <c r="C439" s="147"/>
      <c r="F439" s="73"/>
    </row>
    <row r="440" spans="3:6" x14ac:dyDescent="0.25">
      <c r="C440" s="147"/>
      <c r="F440" s="73"/>
    </row>
    <row r="441" spans="3:6" x14ac:dyDescent="0.25">
      <c r="C441" s="147"/>
      <c r="F441" s="73"/>
    </row>
    <row r="442" spans="3:6" x14ac:dyDescent="0.25">
      <c r="C442" s="147"/>
      <c r="F442" s="73"/>
    </row>
    <row r="443" spans="3:6" x14ac:dyDescent="0.25">
      <c r="C443" s="147"/>
      <c r="F443" s="73"/>
    </row>
    <row r="444" spans="3:6" x14ac:dyDescent="0.25">
      <c r="C444" s="147"/>
      <c r="F444" s="73"/>
    </row>
    <row r="445" spans="3:6" x14ac:dyDescent="0.25">
      <c r="C445" s="147"/>
      <c r="F445" s="73"/>
    </row>
    <row r="446" spans="3:6" x14ac:dyDescent="0.25">
      <c r="C446" s="147"/>
      <c r="F446" s="73"/>
    </row>
    <row r="447" spans="3:6" x14ac:dyDescent="0.25">
      <c r="C447" s="147"/>
      <c r="F447" s="73"/>
    </row>
    <row r="448" spans="3:6" x14ac:dyDescent="0.25">
      <c r="C448" s="147"/>
      <c r="F448" s="73"/>
    </row>
    <row r="449" spans="3:6" x14ac:dyDescent="0.25">
      <c r="C449" s="147"/>
      <c r="F449" s="73"/>
    </row>
    <row r="450" spans="3:6" x14ac:dyDescent="0.25">
      <c r="C450" s="147"/>
      <c r="F450" s="73"/>
    </row>
    <row r="451" spans="3:6" x14ac:dyDescent="0.25">
      <c r="C451" s="147"/>
      <c r="F451" s="73"/>
    </row>
    <row r="452" spans="3:6" x14ac:dyDescent="0.25">
      <c r="C452" s="147"/>
      <c r="F452" s="73"/>
    </row>
    <row r="453" spans="3:6" x14ac:dyDescent="0.25">
      <c r="C453" s="147"/>
      <c r="F453" s="73"/>
    </row>
    <row r="454" spans="3:6" x14ac:dyDescent="0.25">
      <c r="C454" s="147"/>
      <c r="F454" s="73"/>
    </row>
    <row r="455" spans="3:6" x14ac:dyDescent="0.25">
      <c r="C455" s="147"/>
      <c r="F455" s="73"/>
    </row>
    <row r="456" spans="3:6" x14ac:dyDescent="0.25">
      <c r="C456" s="147"/>
      <c r="F456" s="73"/>
    </row>
    <row r="457" spans="3:6" x14ac:dyDescent="0.25">
      <c r="C457" s="147"/>
      <c r="F457" s="73"/>
    </row>
    <row r="458" spans="3:6" x14ac:dyDescent="0.25">
      <c r="C458" s="147"/>
      <c r="F458" s="73"/>
    </row>
    <row r="459" spans="3:6" x14ac:dyDescent="0.25">
      <c r="C459" s="147"/>
      <c r="F459" s="73"/>
    </row>
    <row r="460" spans="3:6" x14ac:dyDescent="0.25">
      <c r="C460" s="147"/>
      <c r="F460" s="73"/>
    </row>
    <row r="461" spans="3:6" x14ac:dyDescent="0.25">
      <c r="C461" s="147"/>
      <c r="F461" s="73"/>
    </row>
    <row r="462" spans="3:6" x14ac:dyDescent="0.25">
      <c r="C462" s="147"/>
      <c r="F462" s="73"/>
    </row>
    <row r="463" spans="3:6" x14ac:dyDescent="0.25">
      <c r="C463" s="147"/>
      <c r="F463" s="73"/>
    </row>
    <row r="464" spans="3:6" x14ac:dyDescent="0.25">
      <c r="C464" s="147"/>
      <c r="F464" s="73"/>
    </row>
    <row r="465" spans="3:6" x14ac:dyDescent="0.25">
      <c r="C465" s="147"/>
      <c r="F465" s="73"/>
    </row>
    <row r="466" spans="3:6" x14ac:dyDescent="0.25">
      <c r="C466" s="147"/>
      <c r="F466" s="73"/>
    </row>
    <row r="467" spans="3:6" x14ac:dyDescent="0.25">
      <c r="C467" s="147"/>
      <c r="F467" s="73"/>
    </row>
    <row r="468" spans="3:6" x14ac:dyDescent="0.25">
      <c r="C468" s="147"/>
      <c r="F468" s="73"/>
    </row>
    <row r="469" spans="3:6" x14ac:dyDescent="0.25">
      <c r="C469" s="147"/>
      <c r="F469" s="73"/>
    </row>
    <row r="470" spans="3:6" x14ac:dyDescent="0.25">
      <c r="C470" s="147"/>
      <c r="F470" s="73"/>
    </row>
    <row r="471" spans="3:6" x14ac:dyDescent="0.25">
      <c r="C471" s="147"/>
      <c r="F471" s="73"/>
    </row>
    <row r="472" spans="3:6" x14ac:dyDescent="0.25">
      <c r="C472" s="147"/>
      <c r="F472" s="73"/>
    </row>
    <row r="473" spans="3:6" x14ac:dyDescent="0.25">
      <c r="C473" s="147"/>
      <c r="F473" s="73"/>
    </row>
    <row r="474" spans="3:6" x14ac:dyDescent="0.25">
      <c r="C474" s="147"/>
      <c r="F474" s="73"/>
    </row>
    <row r="475" spans="3:6" x14ac:dyDescent="0.25">
      <c r="C475" s="147"/>
      <c r="F475" s="73"/>
    </row>
    <row r="476" spans="3:6" x14ac:dyDescent="0.25">
      <c r="C476" s="147"/>
      <c r="F476" s="73"/>
    </row>
    <row r="477" spans="3:6" x14ac:dyDescent="0.25">
      <c r="C477" s="147"/>
      <c r="F477" s="73"/>
    </row>
    <row r="478" spans="3:6" x14ac:dyDescent="0.25">
      <c r="C478" s="147"/>
      <c r="F478" s="73"/>
    </row>
    <row r="479" spans="3:6" x14ac:dyDescent="0.25">
      <c r="C479" s="147"/>
      <c r="F479" s="73"/>
    </row>
    <row r="480" spans="3:6" x14ac:dyDescent="0.25">
      <c r="C480" s="147"/>
      <c r="F480" s="73"/>
    </row>
    <row r="481" spans="3:6" x14ac:dyDescent="0.25">
      <c r="C481" s="147"/>
      <c r="F481" s="73"/>
    </row>
    <row r="482" spans="3:6" x14ac:dyDescent="0.25">
      <c r="C482" s="147"/>
      <c r="F482" s="73"/>
    </row>
    <row r="483" spans="3:6" x14ac:dyDescent="0.25">
      <c r="C483" s="147"/>
      <c r="F483" s="73"/>
    </row>
    <row r="484" spans="3:6" x14ac:dyDescent="0.25">
      <c r="C484" s="147"/>
      <c r="F484" s="73"/>
    </row>
    <row r="485" spans="3:6" x14ac:dyDescent="0.25">
      <c r="C485" s="147"/>
      <c r="F485" s="73"/>
    </row>
    <row r="486" spans="3:6" x14ac:dyDescent="0.25">
      <c r="C486" s="147"/>
      <c r="F486" s="73"/>
    </row>
    <row r="487" spans="3:6" x14ac:dyDescent="0.25">
      <c r="C487" s="147"/>
      <c r="F487" s="73"/>
    </row>
    <row r="488" spans="3:6" x14ac:dyDescent="0.25">
      <c r="C488" s="147"/>
      <c r="F488" s="73"/>
    </row>
    <row r="489" spans="3:6" x14ac:dyDescent="0.25">
      <c r="C489" s="147"/>
      <c r="F489" s="73"/>
    </row>
    <row r="490" spans="3:6" x14ac:dyDescent="0.25">
      <c r="C490" s="147"/>
      <c r="F490" s="73"/>
    </row>
    <row r="491" spans="3:6" x14ac:dyDescent="0.25">
      <c r="C491" s="147"/>
      <c r="F491" s="73"/>
    </row>
    <row r="492" spans="3:6" x14ac:dyDescent="0.25">
      <c r="C492" s="147"/>
      <c r="F492" s="73"/>
    </row>
    <row r="493" spans="3:6" x14ac:dyDescent="0.25">
      <c r="C493" s="147"/>
      <c r="F493" s="73"/>
    </row>
    <row r="494" spans="3:6" x14ac:dyDescent="0.25">
      <c r="C494" s="147"/>
      <c r="F494" s="73"/>
    </row>
    <row r="495" spans="3:6" x14ac:dyDescent="0.25">
      <c r="C495" s="147"/>
      <c r="F495" s="73"/>
    </row>
    <row r="496" spans="3:6" x14ac:dyDescent="0.25">
      <c r="C496" s="147"/>
      <c r="F496" s="73"/>
    </row>
    <row r="497" spans="3:6" x14ac:dyDescent="0.25">
      <c r="C497" s="147"/>
      <c r="F497" s="73"/>
    </row>
    <row r="498" spans="3:6" x14ac:dyDescent="0.25">
      <c r="C498" s="147"/>
      <c r="F498" s="73"/>
    </row>
    <row r="499" spans="3:6" x14ac:dyDescent="0.25">
      <c r="C499" s="147"/>
      <c r="F499" s="73"/>
    </row>
    <row r="500" spans="3:6" x14ac:dyDescent="0.25">
      <c r="C500" s="147"/>
      <c r="F500" s="73"/>
    </row>
    <row r="501" spans="3:6" x14ac:dyDescent="0.25">
      <c r="C501" s="147"/>
      <c r="F501" s="73"/>
    </row>
    <row r="502" spans="3:6" x14ac:dyDescent="0.25">
      <c r="C502" s="147"/>
      <c r="F502" s="73"/>
    </row>
    <row r="503" spans="3:6" x14ac:dyDescent="0.25">
      <c r="C503" s="147"/>
      <c r="F503" s="73"/>
    </row>
    <row r="504" spans="3:6" x14ac:dyDescent="0.25">
      <c r="C504" s="147"/>
      <c r="F504" s="73"/>
    </row>
    <row r="505" spans="3:6" x14ac:dyDescent="0.25">
      <c r="C505" s="147"/>
      <c r="F505" s="73"/>
    </row>
    <row r="506" spans="3:6" x14ac:dyDescent="0.25">
      <c r="C506" s="147"/>
      <c r="F506" s="73"/>
    </row>
    <row r="507" spans="3:6" x14ac:dyDescent="0.25">
      <c r="C507" s="147"/>
      <c r="F507" s="73"/>
    </row>
    <row r="508" spans="3:6" x14ac:dyDescent="0.25">
      <c r="C508" s="147"/>
      <c r="F508" s="73"/>
    </row>
    <row r="509" spans="3:6" x14ac:dyDescent="0.25">
      <c r="C509" s="147"/>
      <c r="F509" s="73"/>
    </row>
    <row r="510" spans="3:6" x14ac:dyDescent="0.25">
      <c r="C510" s="147"/>
      <c r="F510" s="73"/>
    </row>
    <row r="511" spans="3:6" x14ac:dyDescent="0.25">
      <c r="C511" s="147"/>
      <c r="F511" s="73"/>
    </row>
    <row r="512" spans="3:6" x14ac:dyDescent="0.25">
      <c r="C512" s="147"/>
      <c r="F512" s="73"/>
    </row>
    <row r="513" spans="3:6" x14ac:dyDescent="0.25">
      <c r="C513" s="147"/>
      <c r="F513" s="73"/>
    </row>
    <row r="514" spans="3:6" x14ac:dyDescent="0.25">
      <c r="C514" s="147"/>
      <c r="F514" s="73"/>
    </row>
    <row r="515" spans="3:6" x14ac:dyDescent="0.25">
      <c r="C515" s="147"/>
      <c r="F515" s="73"/>
    </row>
    <row r="516" spans="3:6" x14ac:dyDescent="0.25">
      <c r="C516" s="147"/>
      <c r="F516" s="73"/>
    </row>
    <row r="517" spans="3:6" x14ac:dyDescent="0.25">
      <c r="C517" s="147"/>
      <c r="F517" s="73"/>
    </row>
    <row r="518" spans="3:6" x14ac:dyDescent="0.25">
      <c r="C518" s="147"/>
      <c r="F518" s="73"/>
    </row>
    <row r="519" spans="3:6" x14ac:dyDescent="0.25">
      <c r="C519" s="147"/>
      <c r="F519" s="73"/>
    </row>
    <row r="520" spans="3:6" x14ac:dyDescent="0.25">
      <c r="C520" s="147"/>
      <c r="F520" s="73"/>
    </row>
    <row r="521" spans="3:6" x14ac:dyDescent="0.25">
      <c r="C521" s="147"/>
      <c r="F521" s="73"/>
    </row>
    <row r="522" spans="3:6" x14ac:dyDescent="0.25">
      <c r="C522" s="147"/>
      <c r="F522" s="73"/>
    </row>
    <row r="523" spans="3:6" x14ac:dyDescent="0.25">
      <c r="C523" s="147"/>
      <c r="F523" s="73"/>
    </row>
    <row r="524" spans="3:6" x14ac:dyDescent="0.25">
      <c r="C524" s="147"/>
      <c r="F524" s="73"/>
    </row>
    <row r="525" spans="3:6" x14ac:dyDescent="0.25">
      <c r="C525" s="147"/>
      <c r="F525" s="73"/>
    </row>
    <row r="526" spans="3:6" x14ac:dyDescent="0.25">
      <c r="C526" s="147"/>
      <c r="F526" s="73"/>
    </row>
    <row r="527" spans="3:6" x14ac:dyDescent="0.25">
      <c r="C527" s="147"/>
      <c r="F527" s="73"/>
    </row>
    <row r="528" spans="3:6" x14ac:dyDescent="0.25">
      <c r="C528" s="147"/>
      <c r="F528" s="73"/>
    </row>
    <row r="529" spans="3:6" x14ac:dyDescent="0.25">
      <c r="C529" s="147"/>
      <c r="F529" s="73"/>
    </row>
    <row r="530" spans="3:6" x14ac:dyDescent="0.25">
      <c r="C530" s="147"/>
      <c r="F530" s="73"/>
    </row>
    <row r="531" spans="3:6" x14ac:dyDescent="0.25">
      <c r="C531" s="147"/>
      <c r="F531" s="73"/>
    </row>
    <row r="532" spans="3:6" x14ac:dyDescent="0.25">
      <c r="C532" s="147"/>
      <c r="F532" s="73"/>
    </row>
    <row r="533" spans="3:6" x14ac:dyDescent="0.25">
      <c r="C533" s="147"/>
      <c r="F533" s="73"/>
    </row>
    <row r="534" spans="3:6" x14ac:dyDescent="0.25">
      <c r="C534" s="147"/>
      <c r="F534" s="73"/>
    </row>
    <row r="535" spans="3:6" x14ac:dyDescent="0.25">
      <c r="C535" s="147"/>
      <c r="F535" s="73"/>
    </row>
    <row r="536" spans="3:6" x14ac:dyDescent="0.25">
      <c r="C536" s="147"/>
      <c r="F536" s="73"/>
    </row>
    <row r="537" spans="3:6" x14ac:dyDescent="0.25">
      <c r="C537" s="147"/>
      <c r="F537" s="73"/>
    </row>
    <row r="538" spans="3:6" x14ac:dyDescent="0.25">
      <c r="C538" s="147"/>
      <c r="F538" s="73"/>
    </row>
    <row r="539" spans="3:6" x14ac:dyDescent="0.25">
      <c r="C539" s="147"/>
      <c r="F539" s="73"/>
    </row>
    <row r="540" spans="3:6" x14ac:dyDescent="0.25">
      <c r="C540" s="147"/>
      <c r="F540" s="73"/>
    </row>
    <row r="541" spans="3:6" x14ac:dyDescent="0.25">
      <c r="C541" s="147"/>
      <c r="F541" s="73"/>
    </row>
    <row r="542" spans="3:6" x14ac:dyDescent="0.25">
      <c r="C542" s="147"/>
      <c r="F542" s="73"/>
    </row>
    <row r="543" spans="3:6" x14ac:dyDescent="0.25">
      <c r="C543" s="147"/>
      <c r="F543" s="73"/>
    </row>
    <row r="544" spans="3:6" x14ac:dyDescent="0.25">
      <c r="C544" s="147"/>
      <c r="F544" s="73"/>
    </row>
    <row r="545" spans="3:6" x14ac:dyDescent="0.25">
      <c r="C545" s="147"/>
      <c r="F545" s="73"/>
    </row>
    <row r="546" spans="3:6" x14ac:dyDescent="0.25">
      <c r="C546" s="147"/>
      <c r="F546" s="73"/>
    </row>
    <row r="547" spans="3:6" x14ac:dyDescent="0.25">
      <c r="C547" s="147"/>
      <c r="F547" s="73"/>
    </row>
    <row r="548" spans="3:6" x14ac:dyDescent="0.25">
      <c r="C548" s="147"/>
      <c r="F548" s="73"/>
    </row>
    <row r="549" spans="3:6" x14ac:dyDescent="0.25">
      <c r="C549" s="147"/>
      <c r="F549" s="73"/>
    </row>
    <row r="550" spans="3:6" x14ac:dyDescent="0.25">
      <c r="C550" s="147"/>
      <c r="F550" s="73"/>
    </row>
    <row r="551" spans="3:6" x14ac:dyDescent="0.25">
      <c r="C551" s="147"/>
      <c r="F551" s="73"/>
    </row>
    <row r="552" spans="3:6" x14ac:dyDescent="0.25">
      <c r="C552" s="147"/>
      <c r="F552" s="73"/>
    </row>
    <row r="553" spans="3:6" x14ac:dyDescent="0.25">
      <c r="C553" s="147"/>
      <c r="F553" s="73"/>
    </row>
    <row r="554" spans="3:6" x14ac:dyDescent="0.25">
      <c r="C554" s="147"/>
      <c r="F554" s="73"/>
    </row>
    <row r="555" spans="3:6" x14ac:dyDescent="0.25">
      <c r="C555" s="147"/>
      <c r="F555" s="73"/>
    </row>
    <row r="556" spans="3:6" x14ac:dyDescent="0.25">
      <c r="C556" s="147"/>
      <c r="F556" s="73"/>
    </row>
    <row r="557" spans="3:6" x14ac:dyDescent="0.25">
      <c r="C557" s="147"/>
      <c r="F557" s="73"/>
    </row>
    <row r="558" spans="3:6" x14ac:dyDescent="0.25">
      <c r="C558" s="147"/>
      <c r="F558" s="73"/>
    </row>
    <row r="559" spans="3:6" x14ac:dyDescent="0.25">
      <c r="C559" s="147"/>
      <c r="F559" s="73"/>
    </row>
    <row r="560" spans="3:6" x14ac:dyDescent="0.25">
      <c r="C560" s="147"/>
      <c r="F560" s="73"/>
    </row>
    <row r="561" spans="3:32" x14ac:dyDescent="0.25">
      <c r="C561" s="147"/>
      <c r="F561" s="73"/>
    </row>
    <row r="562" spans="3:32" x14ac:dyDescent="0.25">
      <c r="C562" s="147"/>
      <c r="F562" s="73"/>
    </row>
    <row r="563" spans="3:32" x14ac:dyDescent="0.25">
      <c r="C563" s="147"/>
      <c r="F563" s="73"/>
    </row>
    <row r="564" spans="3:32" x14ac:dyDescent="0.25">
      <c r="C564" s="147"/>
      <c r="F564" s="73"/>
    </row>
    <row r="565" spans="3:32" x14ac:dyDescent="0.25">
      <c r="C565" s="147"/>
      <c r="F565" s="73"/>
    </row>
    <row r="566" spans="3:32" x14ac:dyDescent="0.25">
      <c r="C566" s="147"/>
      <c r="F566" s="73"/>
    </row>
    <row r="567" spans="3:32" x14ac:dyDescent="0.25">
      <c r="C567" s="147"/>
      <c r="F567" s="73"/>
    </row>
    <row r="568" spans="3:32" ht="14.25" customHeight="1" x14ac:dyDescent="0.25">
      <c r="C568" s="147"/>
      <c r="F568" s="73"/>
      <c r="AC568" s="77"/>
      <c r="AD568" s="78"/>
      <c r="AE568" s="78"/>
      <c r="AF568" s="78"/>
    </row>
    <row r="569" spans="3:32" ht="14.25" customHeight="1" x14ac:dyDescent="0.25">
      <c r="C569" s="147"/>
      <c r="F569" s="73"/>
      <c r="AC569" s="77"/>
      <c r="AD569" s="78"/>
      <c r="AE569" s="78"/>
      <c r="AF569" s="78"/>
    </row>
    <row r="570" spans="3:32" ht="14.25" customHeight="1" x14ac:dyDescent="0.25">
      <c r="C570" s="147"/>
      <c r="F570" s="73"/>
      <c r="AC570" s="77"/>
      <c r="AD570" s="78"/>
      <c r="AE570" s="78"/>
      <c r="AF570" s="78"/>
    </row>
    <row r="571" spans="3:32" ht="14.25" customHeight="1" x14ac:dyDescent="0.25">
      <c r="C571" s="147"/>
      <c r="F571" s="73"/>
      <c r="AC571" s="77"/>
      <c r="AD571" s="78"/>
      <c r="AE571" s="78"/>
      <c r="AF571" s="78"/>
    </row>
    <row r="572" spans="3:32" ht="14.25" customHeight="1" x14ac:dyDescent="0.25">
      <c r="C572" s="147"/>
      <c r="F572" s="73"/>
      <c r="AC572" s="77"/>
      <c r="AD572" s="78"/>
      <c r="AE572" s="78"/>
      <c r="AF572" s="78"/>
    </row>
    <row r="573" spans="3:32" ht="14.25" customHeight="1" x14ac:dyDescent="0.25">
      <c r="C573" s="147"/>
      <c r="F573" s="73"/>
      <c r="AC573" s="77"/>
      <c r="AD573" s="78"/>
      <c r="AE573" s="78"/>
      <c r="AF573" s="78"/>
    </row>
    <row r="574" spans="3:32" x14ac:dyDescent="0.25">
      <c r="C574" s="147"/>
      <c r="F574" s="73"/>
      <c r="AC574" s="77"/>
      <c r="AD574" s="78"/>
      <c r="AE574" s="78"/>
      <c r="AF574" s="78"/>
    </row>
    <row r="575" spans="3:32" x14ac:dyDescent="0.25">
      <c r="C575" s="147"/>
      <c r="F575" s="73"/>
      <c r="AC575" s="77"/>
      <c r="AD575" s="78"/>
      <c r="AE575" s="78"/>
      <c r="AF575" s="78"/>
    </row>
    <row r="576" spans="3:32" x14ac:dyDescent="0.25">
      <c r="C576" s="147"/>
      <c r="F576" s="73"/>
      <c r="AC576" s="77"/>
      <c r="AD576" s="78"/>
      <c r="AE576" s="78"/>
      <c r="AF576" s="78"/>
    </row>
    <row r="577" spans="3:32" x14ac:dyDescent="0.25">
      <c r="C577" s="147"/>
      <c r="F577" s="73"/>
      <c r="AC577" s="77"/>
      <c r="AD577" s="78"/>
      <c r="AE577" s="78"/>
      <c r="AF577" s="78"/>
    </row>
    <row r="578" spans="3:32" x14ac:dyDescent="0.25">
      <c r="C578" s="147"/>
      <c r="F578" s="73"/>
      <c r="AC578" s="77"/>
      <c r="AD578" s="78"/>
      <c r="AE578" s="78"/>
      <c r="AF578" s="78"/>
    </row>
    <row r="579" spans="3:32" x14ac:dyDescent="0.25">
      <c r="C579" s="147"/>
      <c r="F579" s="73"/>
      <c r="AC579" s="77"/>
      <c r="AD579" s="78"/>
      <c r="AE579" s="78"/>
      <c r="AF579" s="78"/>
    </row>
    <row r="580" spans="3:32" x14ac:dyDescent="0.25">
      <c r="C580" s="147"/>
      <c r="F580" s="73"/>
      <c r="AC580" s="77"/>
      <c r="AD580" s="78"/>
      <c r="AE580" s="78"/>
      <c r="AF580" s="78"/>
    </row>
    <row r="581" spans="3:32" x14ac:dyDescent="0.25">
      <c r="C581" s="147"/>
      <c r="F581" s="73"/>
      <c r="AC581" s="77"/>
      <c r="AD581" s="78"/>
      <c r="AE581" s="78"/>
      <c r="AF581" s="78"/>
    </row>
    <row r="582" spans="3:32" x14ac:dyDescent="0.25">
      <c r="C582" s="147"/>
      <c r="F582" s="73"/>
      <c r="AC582" s="77"/>
      <c r="AD582" s="78"/>
      <c r="AE582" s="78"/>
      <c r="AF582" s="78"/>
    </row>
    <row r="583" spans="3:32" x14ac:dyDescent="0.25">
      <c r="C583" s="147"/>
      <c r="F583" s="73"/>
      <c r="AC583" s="77"/>
      <c r="AD583" s="78"/>
      <c r="AE583" s="78"/>
      <c r="AF583" s="78"/>
    </row>
    <row r="584" spans="3:32" x14ac:dyDescent="0.25">
      <c r="C584" s="147"/>
      <c r="F584" s="73"/>
      <c r="AC584" s="77"/>
      <c r="AD584" s="78"/>
      <c r="AE584" s="78"/>
      <c r="AF584" s="78"/>
    </row>
    <row r="585" spans="3:32" x14ac:dyDescent="0.25">
      <c r="C585" s="147"/>
      <c r="F585" s="73"/>
      <c r="AC585" s="77"/>
      <c r="AD585" s="78"/>
      <c r="AE585" s="78"/>
      <c r="AF585" s="78"/>
    </row>
    <row r="586" spans="3:32" x14ac:dyDescent="0.25">
      <c r="C586" s="147"/>
      <c r="F586" s="73"/>
      <c r="AC586" s="77"/>
      <c r="AD586" s="78"/>
      <c r="AE586" s="78"/>
      <c r="AF586" s="78"/>
    </row>
    <row r="587" spans="3:32" x14ac:dyDescent="0.25">
      <c r="C587" s="147"/>
      <c r="F587" s="73"/>
      <c r="AC587" s="77"/>
      <c r="AD587" s="78"/>
      <c r="AE587" s="78"/>
      <c r="AF587" s="78"/>
    </row>
    <row r="588" spans="3:32" x14ac:dyDescent="0.25">
      <c r="C588" s="147"/>
      <c r="F588" s="73"/>
      <c r="AC588" s="77"/>
      <c r="AD588" s="78"/>
      <c r="AE588" s="78"/>
      <c r="AF588" s="78"/>
    </row>
    <row r="589" spans="3:32" x14ac:dyDescent="0.25">
      <c r="C589" s="147"/>
      <c r="F589" s="73"/>
      <c r="AC589" s="77"/>
      <c r="AD589" s="78"/>
      <c r="AE589" s="78"/>
      <c r="AF589" s="78"/>
    </row>
    <row r="590" spans="3:32" x14ac:dyDescent="0.25">
      <c r="C590" s="147"/>
      <c r="F590" s="73"/>
      <c r="AC590" s="77"/>
      <c r="AD590" s="78"/>
      <c r="AE590" s="78"/>
      <c r="AF590" s="78"/>
    </row>
    <row r="591" spans="3:32" x14ac:dyDescent="0.25">
      <c r="C591" s="147"/>
      <c r="F591" s="73"/>
      <c r="AC591" s="77"/>
      <c r="AD591" s="78"/>
      <c r="AE591" s="78"/>
      <c r="AF591" s="78"/>
    </row>
    <row r="592" spans="3:32" x14ac:dyDescent="0.25">
      <c r="C592" s="147"/>
      <c r="F592" s="73"/>
      <c r="AC592" s="77"/>
      <c r="AD592" s="78"/>
      <c r="AE592" s="78"/>
      <c r="AF592" s="78"/>
    </row>
    <row r="593" spans="3:32" x14ac:dyDescent="0.25">
      <c r="C593" s="147"/>
      <c r="F593" s="73"/>
      <c r="AC593" s="77"/>
      <c r="AD593" s="78"/>
      <c r="AE593" s="78"/>
      <c r="AF593" s="78"/>
    </row>
    <row r="594" spans="3:32" x14ac:dyDescent="0.25">
      <c r="C594" s="147"/>
      <c r="F594" s="73"/>
      <c r="AC594" s="77"/>
      <c r="AD594" s="78"/>
      <c r="AE594" s="78"/>
      <c r="AF594" s="78"/>
    </row>
    <row r="595" spans="3:32" x14ac:dyDescent="0.25">
      <c r="C595" s="147"/>
      <c r="F595" s="73"/>
      <c r="AC595" s="77"/>
      <c r="AD595" s="78"/>
      <c r="AE595" s="78"/>
      <c r="AF595" s="78"/>
    </row>
    <row r="596" spans="3:32" x14ac:dyDescent="0.25">
      <c r="C596" s="147"/>
      <c r="F596" s="73"/>
      <c r="AC596" s="77"/>
      <c r="AD596" s="78"/>
      <c r="AE596" s="78"/>
      <c r="AF596" s="78"/>
    </row>
    <row r="597" spans="3:32" x14ac:dyDescent="0.25">
      <c r="C597" s="147"/>
      <c r="F597" s="73"/>
      <c r="AC597" s="77"/>
      <c r="AD597" s="78"/>
      <c r="AE597" s="78"/>
      <c r="AF597" s="78"/>
    </row>
    <row r="598" spans="3:32" x14ac:dyDescent="0.25">
      <c r="C598" s="147"/>
      <c r="F598" s="73"/>
      <c r="AC598" s="77"/>
      <c r="AD598" s="78"/>
      <c r="AE598" s="78"/>
      <c r="AF598" s="78"/>
    </row>
    <row r="599" spans="3:32" x14ac:dyDescent="0.25">
      <c r="C599" s="147"/>
      <c r="F599" s="73"/>
      <c r="AC599" s="77"/>
      <c r="AD599" s="78"/>
      <c r="AE599" s="78"/>
      <c r="AF599" s="78"/>
    </row>
    <row r="600" spans="3:32" x14ac:dyDescent="0.25">
      <c r="C600" s="147"/>
      <c r="F600" s="73"/>
      <c r="AC600" s="77"/>
      <c r="AD600" s="78"/>
      <c r="AE600" s="78"/>
      <c r="AF600" s="78"/>
    </row>
    <row r="601" spans="3:32" x14ac:dyDescent="0.25">
      <c r="C601" s="147"/>
      <c r="F601" s="73"/>
      <c r="AC601" s="77"/>
      <c r="AD601" s="78"/>
      <c r="AE601" s="78"/>
      <c r="AF601" s="78"/>
    </row>
    <row r="602" spans="3:32" x14ac:dyDescent="0.25">
      <c r="C602" s="147"/>
      <c r="F602" s="73"/>
      <c r="AC602" s="77"/>
      <c r="AD602" s="78"/>
      <c r="AE602" s="78"/>
      <c r="AF602" s="78"/>
    </row>
    <row r="603" spans="3:32" x14ac:dyDescent="0.25">
      <c r="C603" s="147"/>
      <c r="F603" s="73"/>
      <c r="AC603" s="77"/>
      <c r="AD603" s="78"/>
      <c r="AE603" s="78"/>
      <c r="AF603" s="78"/>
    </row>
    <row r="604" spans="3:32" x14ac:dyDescent="0.25">
      <c r="C604" s="147"/>
      <c r="F604" s="73"/>
      <c r="AC604" s="77"/>
      <c r="AD604" s="78"/>
      <c r="AE604" s="78"/>
      <c r="AF604" s="78"/>
    </row>
    <row r="605" spans="3:32" x14ac:dyDescent="0.25">
      <c r="C605" s="147"/>
      <c r="F605" s="73"/>
      <c r="AC605" s="77"/>
      <c r="AD605" s="78"/>
      <c r="AE605" s="78"/>
      <c r="AF605" s="78"/>
    </row>
    <row r="606" spans="3:32" x14ac:dyDescent="0.25">
      <c r="C606" s="147"/>
      <c r="F606" s="73"/>
      <c r="AC606" s="77"/>
      <c r="AD606" s="78"/>
      <c r="AE606" s="78"/>
      <c r="AF606" s="78"/>
    </row>
    <row r="607" spans="3:32" x14ac:dyDescent="0.25">
      <c r="C607" s="147"/>
      <c r="F607" s="73"/>
      <c r="AC607" s="77"/>
      <c r="AD607" s="78"/>
      <c r="AE607" s="78"/>
      <c r="AF607" s="78"/>
    </row>
    <row r="608" spans="3:32" x14ac:dyDescent="0.25">
      <c r="C608" s="147"/>
      <c r="F608" s="73"/>
      <c r="AC608" s="77"/>
      <c r="AD608" s="78"/>
      <c r="AE608" s="78"/>
      <c r="AF608" s="78"/>
    </row>
    <row r="609" spans="3:32" x14ac:dyDescent="0.25">
      <c r="C609" s="147"/>
      <c r="F609" s="73"/>
      <c r="AC609" s="77"/>
      <c r="AD609" s="78"/>
      <c r="AE609" s="78"/>
      <c r="AF609" s="78"/>
    </row>
    <row r="610" spans="3:32" x14ac:dyDescent="0.25">
      <c r="C610" s="147"/>
      <c r="F610" s="73"/>
      <c r="AC610" s="77"/>
      <c r="AD610" s="78"/>
      <c r="AE610" s="78"/>
      <c r="AF610" s="78"/>
    </row>
    <row r="611" spans="3:32" x14ac:dyDescent="0.25">
      <c r="C611" s="147"/>
      <c r="F611" s="73"/>
      <c r="AC611" s="77"/>
      <c r="AD611" s="78"/>
      <c r="AE611" s="78"/>
      <c r="AF611" s="78"/>
    </row>
    <row r="612" spans="3:32" x14ac:dyDescent="0.25">
      <c r="C612" s="147"/>
      <c r="F612" s="73"/>
      <c r="AC612" s="77"/>
      <c r="AD612" s="78"/>
      <c r="AE612" s="78"/>
      <c r="AF612" s="78"/>
    </row>
    <row r="613" spans="3:32" x14ac:dyDescent="0.25">
      <c r="C613" s="147"/>
      <c r="F613" s="73"/>
      <c r="AC613" s="77"/>
      <c r="AD613" s="78"/>
      <c r="AE613" s="78"/>
      <c r="AF613" s="78"/>
    </row>
    <row r="614" spans="3:32" x14ac:dyDescent="0.25">
      <c r="C614" s="147"/>
      <c r="F614" s="73"/>
      <c r="AC614" s="77"/>
      <c r="AD614" s="78"/>
      <c r="AE614" s="78"/>
      <c r="AF614" s="78"/>
    </row>
    <row r="615" spans="3:32" x14ac:dyDescent="0.25">
      <c r="C615" s="147"/>
      <c r="F615" s="73"/>
      <c r="AC615" s="77"/>
      <c r="AD615" s="78"/>
      <c r="AE615" s="78"/>
      <c r="AF615" s="78"/>
    </row>
    <row r="616" spans="3:32" x14ac:dyDescent="0.25">
      <c r="C616" s="147"/>
      <c r="F616" s="73"/>
      <c r="AC616" s="77"/>
      <c r="AD616" s="78"/>
      <c r="AE616" s="78"/>
      <c r="AF616" s="78"/>
    </row>
    <row r="617" spans="3:32" x14ac:dyDescent="0.25">
      <c r="C617" s="147"/>
      <c r="F617" s="73"/>
      <c r="AC617" s="77"/>
      <c r="AD617" s="78"/>
      <c r="AE617" s="78"/>
      <c r="AF617" s="78"/>
    </row>
    <row r="618" spans="3:32" x14ac:dyDescent="0.25">
      <c r="C618" s="147"/>
      <c r="F618" s="73"/>
      <c r="AC618" s="77"/>
      <c r="AD618" s="78"/>
      <c r="AE618" s="78"/>
      <c r="AF618" s="78"/>
    </row>
    <row r="619" spans="3:32" x14ac:dyDescent="0.25">
      <c r="C619" s="147"/>
      <c r="F619" s="73"/>
      <c r="AC619" s="77"/>
      <c r="AD619" s="78"/>
      <c r="AE619" s="78"/>
      <c r="AF619" s="78"/>
    </row>
    <row r="620" spans="3:32" x14ac:dyDescent="0.25">
      <c r="C620" s="147"/>
      <c r="F620" s="73"/>
      <c r="AC620" s="77"/>
      <c r="AD620" s="78"/>
      <c r="AE620" s="78"/>
      <c r="AF620" s="78"/>
    </row>
    <row r="621" spans="3:32" x14ac:dyDescent="0.25">
      <c r="C621" s="147"/>
      <c r="F621" s="73"/>
      <c r="AC621" s="77"/>
      <c r="AD621" s="78"/>
      <c r="AE621" s="78"/>
      <c r="AF621" s="78"/>
    </row>
    <row r="622" spans="3:32" x14ac:dyDescent="0.25">
      <c r="C622" s="147"/>
      <c r="F622" s="73"/>
      <c r="AC622" s="77"/>
      <c r="AD622" s="78"/>
      <c r="AE622" s="78"/>
      <c r="AF622" s="78"/>
    </row>
    <row r="623" spans="3:32" x14ac:dyDescent="0.25">
      <c r="C623" s="147"/>
      <c r="F623" s="73"/>
      <c r="AC623" s="77"/>
      <c r="AD623" s="78"/>
      <c r="AE623" s="78"/>
      <c r="AF623" s="78"/>
    </row>
    <row r="624" spans="3:32" x14ac:dyDescent="0.25">
      <c r="C624" s="147"/>
      <c r="F624" s="73"/>
      <c r="AC624" s="77"/>
      <c r="AD624" s="78"/>
      <c r="AE624" s="78"/>
      <c r="AF624" s="78"/>
    </row>
    <row r="625" spans="3:32" x14ac:dyDescent="0.25">
      <c r="C625" s="147"/>
      <c r="F625" s="73"/>
      <c r="AC625" s="77"/>
      <c r="AD625" s="78"/>
      <c r="AE625" s="78"/>
      <c r="AF625" s="78"/>
    </row>
    <row r="626" spans="3:32" x14ac:dyDescent="0.25">
      <c r="C626" s="147"/>
      <c r="F626" s="73"/>
      <c r="AC626" s="77"/>
      <c r="AD626" s="78"/>
      <c r="AE626" s="78"/>
      <c r="AF626" s="78"/>
    </row>
    <row r="627" spans="3:32" x14ac:dyDescent="0.25">
      <c r="C627" s="147"/>
      <c r="F627" s="73"/>
      <c r="AC627" s="77"/>
      <c r="AD627" s="78"/>
      <c r="AE627" s="78"/>
      <c r="AF627" s="78"/>
    </row>
    <row r="628" spans="3:32" x14ac:dyDescent="0.25">
      <c r="C628" s="147"/>
      <c r="F628" s="73"/>
      <c r="AC628" s="77"/>
      <c r="AD628" s="78"/>
      <c r="AE628" s="78"/>
      <c r="AF628" s="78"/>
    </row>
    <row r="629" spans="3:32" x14ac:dyDescent="0.25">
      <c r="C629" s="147"/>
      <c r="F629" s="73"/>
      <c r="AC629" s="77"/>
      <c r="AD629" s="78"/>
      <c r="AE629" s="78"/>
      <c r="AF629" s="78"/>
    </row>
    <row r="630" spans="3:32" x14ac:dyDescent="0.25">
      <c r="C630" s="147"/>
      <c r="F630" s="73"/>
      <c r="AC630" s="77"/>
      <c r="AD630" s="78"/>
      <c r="AE630" s="78"/>
      <c r="AF630" s="78"/>
    </row>
    <row r="631" spans="3:32" x14ac:dyDescent="0.25">
      <c r="C631" s="147"/>
      <c r="F631" s="73"/>
      <c r="AC631" s="77"/>
      <c r="AD631" s="78"/>
      <c r="AE631" s="78"/>
      <c r="AF631" s="78"/>
    </row>
    <row r="632" spans="3:32" x14ac:dyDescent="0.25">
      <c r="C632" s="147"/>
      <c r="F632" s="73"/>
      <c r="AC632" s="77"/>
      <c r="AD632" s="78"/>
      <c r="AE632" s="78"/>
      <c r="AF632" s="78"/>
    </row>
    <row r="633" spans="3:32" x14ac:dyDescent="0.25">
      <c r="C633" s="147"/>
      <c r="F633" s="73"/>
      <c r="AC633" s="77"/>
      <c r="AD633" s="78"/>
      <c r="AE633" s="78"/>
      <c r="AF633" s="78"/>
    </row>
    <row r="634" spans="3:32" x14ac:dyDescent="0.25">
      <c r="C634" s="147"/>
      <c r="F634" s="73"/>
      <c r="AC634" s="77"/>
      <c r="AD634" s="78"/>
      <c r="AE634" s="78"/>
      <c r="AF634" s="78"/>
    </row>
    <row r="635" spans="3:32" x14ac:dyDescent="0.25">
      <c r="C635" s="147"/>
      <c r="F635" s="73"/>
      <c r="AC635" s="77"/>
      <c r="AD635" s="78"/>
      <c r="AE635" s="78"/>
      <c r="AF635" s="78"/>
    </row>
    <row r="636" spans="3:32" x14ac:dyDescent="0.25">
      <c r="C636" s="147"/>
      <c r="F636" s="73"/>
      <c r="AC636" s="77"/>
      <c r="AD636" s="78"/>
      <c r="AE636" s="78"/>
      <c r="AF636" s="78"/>
    </row>
    <row r="637" spans="3:32" x14ac:dyDescent="0.25">
      <c r="C637" s="147"/>
      <c r="F637" s="73"/>
      <c r="AC637" s="77"/>
      <c r="AD637" s="78"/>
      <c r="AE637" s="78"/>
      <c r="AF637" s="78"/>
    </row>
    <row r="638" spans="3:32" x14ac:dyDescent="0.25">
      <c r="C638" s="147"/>
      <c r="F638" s="73"/>
      <c r="AC638" s="77"/>
      <c r="AD638" s="78"/>
      <c r="AE638" s="78"/>
      <c r="AF638" s="78"/>
    </row>
    <row r="639" spans="3:32" x14ac:dyDescent="0.25">
      <c r="C639" s="147"/>
      <c r="F639" s="73"/>
      <c r="AC639" s="77"/>
      <c r="AD639" s="78"/>
      <c r="AE639" s="78"/>
      <c r="AF639" s="78"/>
    </row>
    <row r="640" spans="3:32" x14ac:dyDescent="0.25">
      <c r="C640" s="147"/>
      <c r="F640" s="73"/>
      <c r="AC640" s="77"/>
      <c r="AD640" s="78"/>
      <c r="AE640" s="78"/>
      <c r="AF640" s="78"/>
    </row>
    <row r="641" spans="3:32" x14ac:dyDescent="0.25">
      <c r="C641" s="147"/>
      <c r="F641" s="73"/>
      <c r="AC641" s="77"/>
      <c r="AD641" s="78"/>
      <c r="AE641" s="78"/>
      <c r="AF641" s="78"/>
    </row>
    <row r="642" spans="3:32" x14ac:dyDescent="0.25">
      <c r="C642" s="147"/>
      <c r="F642" s="73"/>
      <c r="AC642" s="77"/>
      <c r="AD642" s="78"/>
      <c r="AE642" s="78"/>
      <c r="AF642" s="78"/>
    </row>
    <row r="643" spans="3:32" x14ac:dyDescent="0.25">
      <c r="C643" s="147"/>
      <c r="F643" s="73"/>
      <c r="AC643" s="77"/>
      <c r="AD643" s="78"/>
      <c r="AE643" s="78"/>
      <c r="AF643" s="78"/>
    </row>
    <row r="644" spans="3:32" x14ac:dyDescent="0.25">
      <c r="C644" s="147"/>
      <c r="F644" s="73"/>
      <c r="AC644" s="77"/>
      <c r="AD644" s="78"/>
      <c r="AE644" s="78"/>
      <c r="AF644" s="78"/>
    </row>
    <row r="645" spans="3:32" x14ac:dyDescent="0.25">
      <c r="C645" s="147"/>
      <c r="F645" s="73"/>
      <c r="AC645" s="77"/>
      <c r="AD645" s="78"/>
      <c r="AE645" s="78"/>
      <c r="AF645" s="78"/>
    </row>
    <row r="646" spans="3:32" x14ac:dyDescent="0.25">
      <c r="C646" s="147"/>
      <c r="F646" s="73"/>
      <c r="AC646" s="77"/>
      <c r="AD646" s="78"/>
      <c r="AE646" s="78"/>
      <c r="AF646" s="78"/>
    </row>
    <row r="647" spans="3:32" x14ac:dyDescent="0.25">
      <c r="C647" s="147"/>
      <c r="F647" s="73"/>
      <c r="AC647" s="77"/>
      <c r="AD647" s="78"/>
      <c r="AE647" s="78"/>
      <c r="AF647" s="78"/>
    </row>
    <row r="648" spans="3:32" x14ac:dyDescent="0.25">
      <c r="C648" s="147"/>
      <c r="F648" s="73"/>
      <c r="AC648" s="77"/>
      <c r="AD648" s="78"/>
      <c r="AE648" s="78"/>
      <c r="AF648" s="78"/>
    </row>
    <row r="649" spans="3:32" x14ac:dyDescent="0.25">
      <c r="C649" s="147"/>
      <c r="F649" s="73"/>
      <c r="AC649" s="77"/>
      <c r="AD649" s="78"/>
      <c r="AE649" s="78"/>
      <c r="AF649" s="78"/>
    </row>
    <row r="650" spans="3:32" x14ac:dyDescent="0.25">
      <c r="C650" s="147"/>
      <c r="F650" s="73"/>
      <c r="AC650" s="77"/>
      <c r="AD650" s="78"/>
      <c r="AE650" s="78"/>
      <c r="AF650" s="78"/>
    </row>
    <row r="651" spans="3:32" x14ac:dyDescent="0.25">
      <c r="C651" s="147"/>
      <c r="F651" s="73"/>
      <c r="AC651" s="77"/>
      <c r="AD651" s="78"/>
      <c r="AE651" s="78"/>
      <c r="AF651" s="78"/>
    </row>
    <row r="652" spans="3:32" x14ac:dyDescent="0.25">
      <c r="C652" s="147"/>
      <c r="F652" s="73"/>
      <c r="AC652" s="77"/>
      <c r="AD652" s="78"/>
      <c r="AE652" s="78"/>
      <c r="AF652" s="78"/>
    </row>
    <row r="653" spans="3:32" x14ac:dyDescent="0.25">
      <c r="C653" s="147"/>
      <c r="F653" s="73"/>
      <c r="AC653" s="77"/>
      <c r="AD653" s="78"/>
      <c r="AE653" s="78"/>
      <c r="AF653" s="78"/>
    </row>
    <row r="654" spans="3:32" x14ac:dyDescent="0.25">
      <c r="C654" s="147"/>
      <c r="F654" s="73"/>
      <c r="AC654" s="77"/>
      <c r="AD654" s="78"/>
      <c r="AE654" s="78"/>
      <c r="AF654" s="78"/>
    </row>
    <row r="655" spans="3:32" x14ac:dyDescent="0.25">
      <c r="C655" s="147"/>
      <c r="F655" s="73"/>
      <c r="AC655" s="77"/>
      <c r="AD655" s="78"/>
      <c r="AE655" s="78"/>
      <c r="AF655" s="78"/>
    </row>
    <row r="656" spans="3:32" x14ac:dyDescent="0.25">
      <c r="C656" s="147"/>
      <c r="F656" s="73"/>
      <c r="AC656" s="77"/>
      <c r="AD656" s="78"/>
      <c r="AE656" s="78"/>
      <c r="AF656" s="78"/>
    </row>
    <row r="657" spans="3:32" x14ac:dyDescent="0.25">
      <c r="C657" s="147"/>
      <c r="F657" s="73"/>
      <c r="AC657" s="77"/>
      <c r="AD657" s="78"/>
      <c r="AE657" s="78"/>
      <c r="AF657" s="78"/>
    </row>
    <row r="658" spans="3:32" x14ac:dyDescent="0.25">
      <c r="C658" s="147"/>
      <c r="F658" s="73"/>
      <c r="AC658" s="77"/>
      <c r="AD658" s="78"/>
      <c r="AE658" s="78"/>
      <c r="AF658" s="78"/>
    </row>
    <row r="659" spans="3:32" x14ac:dyDescent="0.25">
      <c r="C659" s="147"/>
      <c r="F659" s="73"/>
      <c r="AC659" s="77"/>
      <c r="AD659" s="78"/>
      <c r="AE659" s="78"/>
      <c r="AF659" s="78"/>
    </row>
    <row r="660" spans="3:32" x14ac:dyDescent="0.25">
      <c r="C660" s="147"/>
      <c r="F660" s="73"/>
      <c r="AC660" s="77"/>
      <c r="AD660" s="78"/>
      <c r="AE660" s="78"/>
      <c r="AF660" s="78"/>
    </row>
    <row r="661" spans="3:32" x14ac:dyDescent="0.25">
      <c r="C661" s="147"/>
      <c r="F661" s="73"/>
      <c r="AC661" s="77"/>
      <c r="AD661" s="78"/>
      <c r="AE661" s="78"/>
      <c r="AF661" s="78"/>
    </row>
    <row r="662" spans="3:32" x14ac:dyDescent="0.25">
      <c r="C662" s="147"/>
      <c r="F662" s="73"/>
      <c r="AC662" s="77"/>
      <c r="AD662" s="78"/>
      <c r="AE662" s="78"/>
      <c r="AF662" s="78"/>
    </row>
    <row r="663" spans="3:32" x14ac:dyDescent="0.25">
      <c r="C663" s="147"/>
      <c r="F663" s="73"/>
      <c r="AC663" s="77"/>
      <c r="AD663" s="78"/>
      <c r="AE663" s="78"/>
      <c r="AF663" s="78"/>
    </row>
    <row r="664" spans="3:32" x14ac:dyDescent="0.25">
      <c r="C664" s="147"/>
      <c r="F664" s="73"/>
      <c r="AC664" s="77"/>
      <c r="AD664" s="78"/>
      <c r="AE664" s="78"/>
      <c r="AF664" s="78"/>
    </row>
    <row r="665" spans="3:32" x14ac:dyDescent="0.25">
      <c r="C665" s="147"/>
      <c r="F665" s="73"/>
      <c r="AC665" s="77"/>
      <c r="AD665" s="78"/>
      <c r="AE665" s="78"/>
      <c r="AF665" s="78"/>
    </row>
    <row r="666" spans="3:32" x14ac:dyDescent="0.25">
      <c r="C666" s="147"/>
      <c r="F666" s="73"/>
      <c r="AC666" s="77"/>
      <c r="AD666" s="78"/>
      <c r="AE666" s="78"/>
      <c r="AF666" s="78"/>
    </row>
    <row r="667" spans="3:32" x14ac:dyDescent="0.25">
      <c r="C667" s="147"/>
      <c r="F667" s="73"/>
      <c r="AC667" s="77"/>
      <c r="AD667" s="78"/>
      <c r="AE667" s="78"/>
      <c r="AF667" s="78"/>
    </row>
    <row r="668" spans="3:32" x14ac:dyDescent="0.25">
      <c r="C668" s="147"/>
      <c r="F668" s="73"/>
      <c r="AC668" s="77"/>
      <c r="AD668" s="78"/>
      <c r="AE668" s="78"/>
      <c r="AF668" s="78"/>
    </row>
    <row r="669" spans="3:32" x14ac:dyDescent="0.25">
      <c r="C669" s="147"/>
      <c r="F669" s="73"/>
      <c r="AC669" s="77"/>
      <c r="AD669" s="78"/>
      <c r="AE669" s="78"/>
      <c r="AF669" s="78"/>
    </row>
    <row r="670" spans="3:32" x14ac:dyDescent="0.25">
      <c r="C670" s="147"/>
      <c r="F670" s="73"/>
      <c r="AC670" s="77"/>
      <c r="AD670" s="78"/>
      <c r="AE670" s="78"/>
      <c r="AF670" s="78"/>
    </row>
    <row r="671" spans="3:32" x14ac:dyDescent="0.25">
      <c r="C671" s="147"/>
      <c r="F671" s="73"/>
      <c r="AC671" s="77"/>
      <c r="AD671" s="78"/>
      <c r="AE671" s="78"/>
      <c r="AF671" s="78"/>
    </row>
    <row r="672" spans="3:32" x14ac:dyDescent="0.25">
      <c r="C672" s="147"/>
      <c r="F672" s="73"/>
      <c r="AC672" s="77"/>
      <c r="AD672" s="78"/>
      <c r="AE672" s="78"/>
      <c r="AF672" s="78"/>
    </row>
    <row r="673" spans="3:32" x14ac:dyDescent="0.25">
      <c r="C673" s="147"/>
      <c r="F673" s="73"/>
      <c r="AC673" s="77"/>
      <c r="AD673" s="78"/>
      <c r="AE673" s="78"/>
      <c r="AF673" s="78"/>
    </row>
    <row r="674" spans="3:32" x14ac:dyDescent="0.25">
      <c r="C674" s="147"/>
      <c r="F674" s="73"/>
      <c r="AC674" s="77"/>
      <c r="AD674" s="78"/>
      <c r="AE674" s="78"/>
      <c r="AF674" s="78"/>
    </row>
    <row r="675" spans="3:32" x14ac:dyDescent="0.25">
      <c r="C675" s="147"/>
      <c r="F675" s="73"/>
      <c r="AC675" s="77"/>
      <c r="AD675" s="78"/>
      <c r="AE675" s="78"/>
      <c r="AF675" s="78"/>
    </row>
    <row r="676" spans="3:32" x14ac:dyDescent="0.25">
      <c r="C676" s="147"/>
      <c r="F676" s="73"/>
      <c r="AC676" s="77"/>
      <c r="AD676" s="78"/>
      <c r="AE676" s="78"/>
      <c r="AF676" s="78"/>
    </row>
    <row r="677" spans="3:32" x14ac:dyDescent="0.25">
      <c r="C677" s="147"/>
      <c r="F677" s="73"/>
      <c r="AC677" s="77"/>
      <c r="AD677" s="78"/>
      <c r="AE677" s="78"/>
      <c r="AF677" s="78"/>
    </row>
    <row r="678" spans="3:32" x14ac:dyDescent="0.25">
      <c r="C678" s="147"/>
      <c r="F678" s="73"/>
      <c r="AC678" s="77"/>
      <c r="AD678" s="78"/>
      <c r="AE678" s="78"/>
      <c r="AF678" s="78"/>
    </row>
    <row r="679" spans="3:32" x14ac:dyDescent="0.25">
      <c r="C679" s="147"/>
      <c r="F679" s="73"/>
      <c r="AC679" s="77"/>
      <c r="AD679" s="78"/>
      <c r="AE679" s="78"/>
      <c r="AF679" s="78"/>
    </row>
    <row r="680" spans="3:32" x14ac:dyDescent="0.25">
      <c r="C680" s="147"/>
      <c r="F680" s="73"/>
      <c r="AC680" s="77"/>
      <c r="AD680" s="78"/>
      <c r="AE680" s="78"/>
      <c r="AF680" s="78"/>
    </row>
    <row r="681" spans="3:32" x14ac:dyDescent="0.25">
      <c r="C681" s="147"/>
      <c r="F681" s="73"/>
      <c r="AC681" s="77"/>
      <c r="AD681" s="78"/>
      <c r="AE681" s="78"/>
      <c r="AF681" s="78"/>
    </row>
    <row r="682" spans="3:32" x14ac:dyDescent="0.25">
      <c r="C682" s="147"/>
      <c r="F682" s="73"/>
      <c r="AC682" s="77"/>
      <c r="AD682" s="78"/>
      <c r="AE682" s="78"/>
      <c r="AF682" s="78"/>
    </row>
    <row r="683" spans="3:32" x14ac:dyDescent="0.25">
      <c r="C683" s="147"/>
      <c r="F683" s="73"/>
      <c r="AC683" s="77"/>
      <c r="AD683" s="78"/>
      <c r="AE683" s="78"/>
      <c r="AF683" s="78"/>
    </row>
    <row r="684" spans="3:32" x14ac:dyDescent="0.25">
      <c r="C684" s="147"/>
      <c r="F684" s="73"/>
      <c r="AC684" s="77"/>
      <c r="AD684" s="78"/>
      <c r="AE684" s="78"/>
      <c r="AF684" s="78"/>
    </row>
    <row r="685" spans="3:32" x14ac:dyDescent="0.25">
      <c r="C685" s="147"/>
      <c r="F685" s="73"/>
      <c r="AC685" s="77"/>
      <c r="AD685" s="78"/>
      <c r="AE685" s="78"/>
      <c r="AF685" s="78"/>
    </row>
    <row r="686" spans="3:32" x14ac:dyDescent="0.25">
      <c r="C686" s="147"/>
      <c r="F686" s="73"/>
      <c r="AC686" s="77"/>
      <c r="AD686" s="78"/>
      <c r="AE686" s="78"/>
      <c r="AF686" s="78"/>
    </row>
    <row r="687" spans="3:32" x14ac:dyDescent="0.25">
      <c r="C687" s="147"/>
      <c r="F687" s="73"/>
      <c r="AC687" s="77"/>
      <c r="AD687" s="78"/>
      <c r="AE687" s="78"/>
      <c r="AF687" s="78"/>
    </row>
    <row r="688" spans="3:32" x14ac:dyDescent="0.25">
      <c r="C688" s="147"/>
      <c r="F688" s="73"/>
      <c r="AC688" s="77"/>
      <c r="AD688" s="78"/>
      <c r="AE688" s="78"/>
      <c r="AF688" s="78"/>
    </row>
    <row r="689" spans="3:32" x14ac:dyDescent="0.25">
      <c r="C689" s="147"/>
      <c r="F689" s="73"/>
      <c r="AC689" s="77"/>
      <c r="AD689" s="78"/>
      <c r="AE689" s="78"/>
      <c r="AF689" s="78"/>
    </row>
    <row r="690" spans="3:32" x14ac:dyDescent="0.25">
      <c r="C690" s="147"/>
      <c r="F690" s="73"/>
      <c r="AC690" s="77"/>
      <c r="AD690" s="78"/>
      <c r="AE690" s="78"/>
      <c r="AF690" s="78"/>
    </row>
    <row r="691" spans="3:32" x14ac:dyDescent="0.25">
      <c r="C691" s="147"/>
      <c r="F691" s="73"/>
      <c r="AC691" s="77"/>
      <c r="AD691" s="78"/>
      <c r="AE691" s="78"/>
      <c r="AF691" s="78"/>
    </row>
    <row r="692" spans="3:32" x14ac:dyDescent="0.25">
      <c r="C692" s="147"/>
      <c r="F692" s="73"/>
      <c r="AC692" s="77"/>
      <c r="AD692" s="78"/>
      <c r="AE692" s="78"/>
      <c r="AF692" s="78"/>
    </row>
    <row r="693" spans="3:32" x14ac:dyDescent="0.25">
      <c r="C693" s="147"/>
      <c r="F693" s="73"/>
      <c r="AC693" s="77"/>
      <c r="AD693" s="78"/>
      <c r="AE693" s="78"/>
      <c r="AF693" s="78"/>
    </row>
    <row r="694" spans="3:32" x14ac:dyDescent="0.25">
      <c r="C694" s="147"/>
      <c r="F694" s="73"/>
      <c r="AC694" s="77"/>
      <c r="AD694" s="78"/>
      <c r="AE694" s="78"/>
      <c r="AF694" s="78"/>
    </row>
    <row r="695" spans="3:32" x14ac:dyDescent="0.25">
      <c r="C695" s="147"/>
      <c r="F695" s="73"/>
      <c r="AC695" s="77"/>
      <c r="AD695" s="78"/>
      <c r="AE695" s="78"/>
      <c r="AF695" s="78"/>
    </row>
    <row r="696" spans="3:32" x14ac:dyDescent="0.25">
      <c r="C696" s="147"/>
      <c r="F696" s="73"/>
      <c r="AC696" s="77"/>
      <c r="AD696" s="78"/>
      <c r="AE696" s="78"/>
      <c r="AF696" s="78"/>
    </row>
    <row r="697" spans="3:32" x14ac:dyDescent="0.25">
      <c r="C697" s="147"/>
      <c r="F697" s="73"/>
      <c r="AC697" s="77"/>
      <c r="AD697" s="78"/>
      <c r="AE697" s="78"/>
      <c r="AF697" s="78"/>
    </row>
    <row r="698" spans="3:32" x14ac:dyDescent="0.25">
      <c r="C698" s="147"/>
      <c r="F698" s="73"/>
      <c r="AC698" s="77"/>
      <c r="AD698" s="78"/>
      <c r="AE698" s="78"/>
      <c r="AF698" s="78"/>
    </row>
    <row r="699" spans="3:32" x14ac:dyDescent="0.25">
      <c r="C699" s="147"/>
      <c r="F699" s="73"/>
      <c r="AC699" s="77"/>
      <c r="AD699" s="78"/>
      <c r="AE699" s="78"/>
      <c r="AF699" s="78"/>
    </row>
    <row r="700" spans="3:32" x14ac:dyDescent="0.25">
      <c r="C700" s="147"/>
      <c r="F700" s="73"/>
      <c r="AC700" s="77"/>
      <c r="AD700" s="78"/>
      <c r="AE700" s="78"/>
      <c r="AF700" s="78"/>
    </row>
    <row r="701" spans="3:32" x14ac:dyDescent="0.25">
      <c r="C701" s="147"/>
      <c r="F701" s="73"/>
      <c r="AC701" s="77"/>
      <c r="AD701" s="78"/>
      <c r="AE701" s="78"/>
      <c r="AF701" s="78"/>
    </row>
    <row r="702" spans="3:32" x14ac:dyDescent="0.25">
      <c r="C702" s="147"/>
      <c r="F702" s="73"/>
      <c r="AC702" s="77"/>
      <c r="AD702" s="78"/>
      <c r="AE702" s="78"/>
      <c r="AF702" s="78"/>
    </row>
    <row r="703" spans="3:32" x14ac:dyDescent="0.25">
      <c r="C703" s="147"/>
      <c r="F703" s="73"/>
      <c r="AC703" s="77"/>
      <c r="AD703" s="78"/>
      <c r="AE703" s="78"/>
      <c r="AF703" s="78"/>
    </row>
    <row r="704" spans="3:32" x14ac:dyDescent="0.25">
      <c r="C704" s="147"/>
      <c r="F704" s="73"/>
      <c r="AC704" s="77"/>
      <c r="AD704" s="78"/>
      <c r="AE704" s="78"/>
      <c r="AF704" s="78"/>
    </row>
    <row r="705" spans="3:32" x14ac:dyDescent="0.25">
      <c r="C705" s="147"/>
      <c r="F705" s="73"/>
      <c r="AC705" s="77"/>
      <c r="AD705" s="78"/>
      <c r="AE705" s="78"/>
      <c r="AF705" s="78"/>
    </row>
    <row r="706" spans="3:32" x14ac:dyDescent="0.25">
      <c r="C706" s="147"/>
      <c r="F706" s="73"/>
      <c r="AC706" s="77"/>
      <c r="AD706" s="78"/>
      <c r="AE706" s="78"/>
      <c r="AF706" s="78"/>
    </row>
    <row r="707" spans="3:32" x14ac:dyDescent="0.25">
      <c r="C707" s="147"/>
      <c r="F707" s="73"/>
      <c r="AC707" s="77"/>
      <c r="AD707" s="78"/>
      <c r="AE707" s="78"/>
      <c r="AF707" s="78"/>
    </row>
    <row r="708" spans="3:32" x14ac:dyDescent="0.25">
      <c r="C708" s="147"/>
      <c r="F708" s="73"/>
      <c r="AC708" s="77"/>
      <c r="AD708" s="78"/>
      <c r="AE708" s="78"/>
      <c r="AF708" s="78"/>
    </row>
    <row r="709" spans="3:32" x14ac:dyDescent="0.25">
      <c r="C709" s="147"/>
      <c r="F709" s="73"/>
      <c r="AC709" s="77"/>
      <c r="AD709" s="78"/>
      <c r="AE709" s="78"/>
      <c r="AF709" s="78"/>
    </row>
    <row r="710" spans="3:32" x14ac:dyDescent="0.25">
      <c r="C710" s="147"/>
      <c r="F710" s="73"/>
      <c r="AC710" s="77"/>
      <c r="AD710" s="78"/>
      <c r="AE710" s="78"/>
      <c r="AF710" s="78"/>
    </row>
    <row r="711" spans="3:32" x14ac:dyDescent="0.25">
      <c r="C711" s="147"/>
      <c r="F711" s="73"/>
      <c r="AC711" s="77"/>
      <c r="AD711" s="78"/>
      <c r="AE711" s="78"/>
      <c r="AF711" s="78"/>
    </row>
    <row r="712" spans="3:32" x14ac:dyDescent="0.25">
      <c r="C712" s="147"/>
      <c r="F712" s="73"/>
      <c r="AC712" s="77"/>
      <c r="AD712" s="78"/>
      <c r="AE712" s="78"/>
      <c r="AF712" s="78"/>
    </row>
    <row r="713" spans="3:32" x14ac:dyDescent="0.25">
      <c r="C713" s="147"/>
      <c r="F713" s="73"/>
      <c r="AC713" s="77"/>
      <c r="AD713" s="78"/>
      <c r="AE713" s="78"/>
      <c r="AF713" s="78"/>
    </row>
    <row r="714" spans="3:32" x14ac:dyDescent="0.25">
      <c r="C714" s="147"/>
      <c r="F714" s="73"/>
      <c r="AC714" s="77"/>
      <c r="AD714" s="78"/>
      <c r="AE714" s="78"/>
      <c r="AF714" s="78"/>
    </row>
    <row r="715" spans="3:32" x14ac:dyDescent="0.25">
      <c r="C715" s="147"/>
      <c r="F715" s="73"/>
      <c r="AC715" s="77"/>
      <c r="AD715" s="78"/>
      <c r="AE715" s="78"/>
      <c r="AF715" s="78"/>
    </row>
    <row r="716" spans="3:32" x14ac:dyDescent="0.25">
      <c r="C716" s="147"/>
      <c r="F716" s="73"/>
      <c r="AC716" s="77"/>
      <c r="AD716" s="78"/>
      <c r="AE716" s="78"/>
      <c r="AF716" s="78"/>
    </row>
    <row r="717" spans="3:32" x14ac:dyDescent="0.25">
      <c r="C717" s="147"/>
      <c r="F717" s="73"/>
      <c r="AC717" s="77"/>
      <c r="AD717" s="78"/>
      <c r="AE717" s="78"/>
      <c r="AF717" s="78"/>
    </row>
    <row r="718" spans="3:32" x14ac:dyDescent="0.25">
      <c r="C718" s="147"/>
      <c r="F718" s="73"/>
      <c r="AC718" s="77"/>
      <c r="AD718" s="78"/>
      <c r="AE718" s="78"/>
      <c r="AF718" s="78"/>
    </row>
    <row r="719" spans="3:32" x14ac:dyDescent="0.25">
      <c r="C719" s="147"/>
      <c r="F719" s="73"/>
      <c r="AC719" s="77"/>
      <c r="AD719" s="78"/>
      <c r="AE719" s="78"/>
      <c r="AF719" s="78"/>
    </row>
    <row r="720" spans="3:32" x14ac:dyDescent="0.25">
      <c r="C720" s="147"/>
      <c r="F720" s="73"/>
      <c r="AC720" s="77"/>
      <c r="AD720" s="78"/>
      <c r="AE720" s="78"/>
      <c r="AF720" s="78"/>
    </row>
    <row r="721" spans="3:32" x14ac:dyDescent="0.25">
      <c r="C721" s="147"/>
      <c r="F721" s="73"/>
      <c r="AC721" s="77"/>
      <c r="AD721" s="78"/>
      <c r="AE721" s="78"/>
      <c r="AF721" s="78"/>
    </row>
    <row r="722" spans="3:32" x14ac:dyDescent="0.25">
      <c r="C722" s="147"/>
      <c r="F722" s="73"/>
      <c r="AC722" s="77"/>
      <c r="AD722" s="78"/>
      <c r="AE722" s="78"/>
      <c r="AF722" s="78"/>
    </row>
    <row r="723" spans="3:32" x14ac:dyDescent="0.25">
      <c r="C723" s="147"/>
      <c r="F723" s="73"/>
      <c r="AC723" s="77"/>
      <c r="AD723" s="78"/>
      <c r="AE723" s="78"/>
      <c r="AF723" s="78"/>
    </row>
    <row r="724" spans="3:32" x14ac:dyDescent="0.25">
      <c r="C724" s="147"/>
      <c r="F724" s="73"/>
      <c r="AC724" s="77"/>
      <c r="AD724" s="78"/>
      <c r="AE724" s="78"/>
      <c r="AF724" s="78"/>
    </row>
    <row r="725" spans="3:32" x14ac:dyDescent="0.25">
      <c r="C725" s="147"/>
      <c r="F725" s="73"/>
      <c r="AC725" s="77"/>
      <c r="AD725" s="78"/>
      <c r="AE725" s="78"/>
      <c r="AF725" s="78"/>
    </row>
    <row r="726" spans="3:32" x14ac:dyDescent="0.25">
      <c r="C726" s="147"/>
      <c r="F726" s="73"/>
      <c r="AC726" s="77"/>
      <c r="AD726" s="78"/>
      <c r="AE726" s="78"/>
      <c r="AF726" s="78"/>
    </row>
    <row r="727" spans="3:32" x14ac:dyDescent="0.25">
      <c r="C727" s="147"/>
      <c r="F727" s="73"/>
      <c r="AC727" s="77"/>
      <c r="AD727" s="78"/>
      <c r="AE727" s="78"/>
      <c r="AF727" s="78"/>
    </row>
    <row r="728" spans="3:32" x14ac:dyDescent="0.25">
      <c r="C728" s="147"/>
      <c r="F728" s="73"/>
      <c r="AC728" s="77"/>
      <c r="AD728" s="78"/>
      <c r="AE728" s="78"/>
      <c r="AF728" s="78"/>
    </row>
    <row r="729" spans="3:32" x14ac:dyDescent="0.25">
      <c r="C729" s="147"/>
      <c r="F729" s="73"/>
      <c r="AC729" s="77"/>
      <c r="AD729" s="78"/>
      <c r="AE729" s="78"/>
      <c r="AF729" s="78"/>
    </row>
    <row r="730" spans="3:32" x14ac:dyDescent="0.25">
      <c r="C730" s="147"/>
      <c r="F730" s="73"/>
      <c r="AC730" s="77"/>
      <c r="AD730" s="78"/>
      <c r="AE730" s="78"/>
      <c r="AF730" s="78"/>
    </row>
    <row r="731" spans="3:32" x14ac:dyDescent="0.25">
      <c r="C731" s="147"/>
      <c r="F731" s="73"/>
      <c r="AC731" s="77"/>
      <c r="AD731" s="78"/>
      <c r="AE731" s="78"/>
      <c r="AF731" s="78"/>
    </row>
    <row r="732" spans="3:32" x14ac:dyDescent="0.25">
      <c r="C732" s="147"/>
      <c r="F732" s="73"/>
      <c r="AC732" s="77"/>
      <c r="AD732" s="78"/>
      <c r="AE732" s="78"/>
      <c r="AF732" s="78"/>
    </row>
    <row r="733" spans="3:32" x14ac:dyDescent="0.25">
      <c r="C733" s="147"/>
      <c r="F733" s="73"/>
      <c r="AC733" s="77"/>
      <c r="AD733" s="78"/>
      <c r="AE733" s="78"/>
      <c r="AF733" s="78"/>
    </row>
    <row r="734" spans="3:32" x14ac:dyDescent="0.25">
      <c r="C734" s="147"/>
      <c r="F734" s="73"/>
      <c r="AC734" s="77"/>
      <c r="AD734" s="78"/>
      <c r="AE734" s="78"/>
      <c r="AF734" s="78"/>
    </row>
    <row r="735" spans="3:32" x14ac:dyDescent="0.25">
      <c r="C735" s="147"/>
      <c r="F735" s="73"/>
      <c r="AC735" s="77"/>
      <c r="AD735" s="78"/>
      <c r="AE735" s="78"/>
      <c r="AF735" s="78"/>
    </row>
    <row r="736" spans="3:32" x14ac:dyDescent="0.25">
      <c r="C736" s="147"/>
      <c r="F736" s="73"/>
      <c r="AC736" s="77"/>
      <c r="AD736" s="78"/>
      <c r="AE736" s="78"/>
      <c r="AF736" s="78"/>
    </row>
    <row r="737" spans="3:32" x14ac:dyDescent="0.25">
      <c r="C737" s="147"/>
      <c r="F737" s="73"/>
      <c r="AC737" s="77"/>
      <c r="AD737" s="78"/>
      <c r="AE737" s="78"/>
      <c r="AF737" s="78"/>
    </row>
    <row r="738" spans="3:32" x14ac:dyDescent="0.25">
      <c r="C738" s="147"/>
      <c r="F738" s="73"/>
      <c r="AC738" s="77"/>
      <c r="AD738" s="78"/>
      <c r="AE738" s="78"/>
      <c r="AF738" s="78"/>
    </row>
    <row r="739" spans="3:32" x14ac:dyDescent="0.25">
      <c r="C739" s="147"/>
      <c r="F739" s="73"/>
      <c r="AC739" s="77"/>
      <c r="AD739" s="78"/>
      <c r="AE739" s="78"/>
      <c r="AF739" s="78"/>
    </row>
    <row r="740" spans="3:32" x14ac:dyDescent="0.25">
      <c r="C740" s="147"/>
      <c r="F740" s="73"/>
      <c r="AC740" s="77"/>
      <c r="AD740" s="78"/>
      <c r="AE740" s="78"/>
      <c r="AF740" s="78"/>
    </row>
    <row r="741" spans="3:32" x14ac:dyDescent="0.25">
      <c r="C741" s="147"/>
      <c r="F741" s="73"/>
      <c r="AC741" s="77"/>
      <c r="AD741" s="78"/>
      <c r="AE741" s="78"/>
      <c r="AF741" s="78"/>
    </row>
    <row r="742" spans="3:32" x14ac:dyDescent="0.25">
      <c r="C742" s="147"/>
      <c r="F742" s="73"/>
      <c r="AC742" s="77"/>
      <c r="AD742" s="78"/>
      <c r="AE742" s="78"/>
      <c r="AF742" s="78"/>
    </row>
    <row r="743" spans="3:32" x14ac:dyDescent="0.25">
      <c r="C743" s="147"/>
      <c r="F743" s="73"/>
      <c r="AC743" s="77"/>
      <c r="AD743" s="78"/>
      <c r="AE743" s="78"/>
      <c r="AF743" s="78"/>
    </row>
    <row r="744" spans="3:32" x14ac:dyDescent="0.25">
      <c r="C744" s="147"/>
      <c r="F744" s="73"/>
      <c r="AC744" s="77"/>
      <c r="AD744" s="78"/>
      <c r="AE744" s="78"/>
      <c r="AF744" s="78"/>
    </row>
    <row r="745" spans="3:32" x14ac:dyDescent="0.25">
      <c r="C745" s="147"/>
      <c r="F745" s="73"/>
      <c r="AC745" s="77"/>
      <c r="AD745" s="78"/>
      <c r="AE745" s="78"/>
      <c r="AF745" s="78"/>
    </row>
    <row r="746" spans="3:32" x14ac:dyDescent="0.25">
      <c r="C746" s="147"/>
      <c r="F746" s="73"/>
      <c r="AC746" s="77"/>
      <c r="AD746" s="78"/>
      <c r="AE746" s="78"/>
      <c r="AF746" s="78"/>
    </row>
    <row r="747" spans="3:32" x14ac:dyDescent="0.25">
      <c r="C747" s="147"/>
      <c r="F747" s="73"/>
      <c r="AC747" s="77"/>
      <c r="AD747" s="78"/>
      <c r="AE747" s="78"/>
      <c r="AF747" s="78"/>
    </row>
    <row r="748" spans="3:32" x14ac:dyDescent="0.25">
      <c r="C748" s="147"/>
      <c r="F748" s="73"/>
      <c r="AC748" s="77"/>
      <c r="AD748" s="78"/>
      <c r="AE748" s="78"/>
      <c r="AF748" s="78"/>
    </row>
    <row r="749" spans="3:32" x14ac:dyDescent="0.25">
      <c r="C749" s="147"/>
      <c r="F749" s="73"/>
      <c r="AC749" s="77"/>
      <c r="AD749" s="78"/>
      <c r="AE749" s="78"/>
      <c r="AF749" s="78"/>
    </row>
    <row r="750" spans="3:32" x14ac:dyDescent="0.25">
      <c r="C750" s="147"/>
      <c r="F750" s="73"/>
      <c r="AC750" s="77"/>
      <c r="AD750" s="78"/>
      <c r="AE750" s="78"/>
      <c r="AF750" s="78"/>
    </row>
    <row r="751" spans="3:32" x14ac:dyDescent="0.25">
      <c r="C751" s="147"/>
      <c r="F751" s="73"/>
      <c r="AC751" s="77"/>
      <c r="AD751" s="78"/>
      <c r="AE751" s="78"/>
      <c r="AF751" s="78"/>
    </row>
    <row r="752" spans="3:32" x14ac:dyDescent="0.25">
      <c r="C752" s="147"/>
      <c r="F752" s="73"/>
      <c r="AC752" s="77"/>
      <c r="AD752" s="78"/>
      <c r="AE752" s="78"/>
      <c r="AF752" s="78"/>
    </row>
    <row r="753" spans="3:32" x14ac:dyDescent="0.25">
      <c r="C753" s="147"/>
      <c r="F753" s="73"/>
      <c r="AC753" s="77"/>
      <c r="AD753" s="78"/>
      <c r="AE753" s="78"/>
      <c r="AF753" s="78"/>
    </row>
    <row r="754" spans="3:32" x14ac:dyDescent="0.25">
      <c r="C754" s="147"/>
      <c r="F754" s="73"/>
      <c r="AC754" s="77"/>
      <c r="AD754" s="78"/>
      <c r="AE754" s="78"/>
      <c r="AF754" s="78"/>
    </row>
    <row r="755" spans="3:32" x14ac:dyDescent="0.25">
      <c r="C755" s="147"/>
      <c r="F755" s="73"/>
      <c r="AC755" s="77"/>
      <c r="AD755" s="78"/>
      <c r="AE755" s="78"/>
      <c r="AF755" s="78"/>
    </row>
    <row r="756" spans="3:32" x14ac:dyDescent="0.25">
      <c r="C756" s="147"/>
      <c r="F756" s="73"/>
      <c r="AC756" s="77"/>
      <c r="AD756" s="78"/>
      <c r="AE756" s="78"/>
      <c r="AF756" s="78"/>
    </row>
    <row r="757" spans="3:32" x14ac:dyDescent="0.25">
      <c r="C757" s="147"/>
      <c r="F757" s="73"/>
      <c r="AC757" s="77"/>
      <c r="AD757" s="78"/>
      <c r="AE757" s="78"/>
      <c r="AF757" s="78"/>
    </row>
    <row r="758" spans="3:32" x14ac:dyDescent="0.25">
      <c r="C758" s="147"/>
      <c r="F758" s="73"/>
      <c r="AC758" s="77"/>
      <c r="AD758" s="78"/>
      <c r="AE758" s="78"/>
      <c r="AF758" s="78"/>
    </row>
    <row r="759" spans="3:32" x14ac:dyDescent="0.25">
      <c r="C759" s="147"/>
      <c r="F759" s="73"/>
      <c r="AC759" s="77"/>
      <c r="AD759" s="78"/>
      <c r="AE759" s="78"/>
      <c r="AF759" s="78"/>
    </row>
    <row r="760" spans="3:32" x14ac:dyDescent="0.25">
      <c r="C760" s="147"/>
      <c r="F760" s="73"/>
      <c r="AC760" s="77"/>
      <c r="AD760" s="78"/>
      <c r="AE760" s="78"/>
      <c r="AF760" s="78"/>
    </row>
    <row r="761" spans="3:32" x14ac:dyDescent="0.25">
      <c r="C761" s="147"/>
      <c r="F761" s="73"/>
      <c r="AC761" s="77"/>
      <c r="AD761" s="78"/>
      <c r="AE761" s="78"/>
      <c r="AF761" s="78"/>
    </row>
    <row r="762" spans="3:32" x14ac:dyDescent="0.25">
      <c r="C762" s="147"/>
      <c r="F762" s="73"/>
      <c r="AC762" s="77"/>
      <c r="AD762" s="78"/>
      <c r="AE762" s="78"/>
      <c r="AF762" s="78"/>
    </row>
    <row r="763" spans="3:32" x14ac:dyDescent="0.25">
      <c r="C763" s="147"/>
      <c r="F763" s="73"/>
      <c r="AC763" s="77"/>
      <c r="AD763" s="78"/>
      <c r="AE763" s="78"/>
      <c r="AF763" s="78"/>
    </row>
    <row r="764" spans="3:32" x14ac:dyDescent="0.25">
      <c r="C764" s="147"/>
      <c r="F764" s="73"/>
      <c r="AC764" s="77"/>
      <c r="AD764" s="78"/>
      <c r="AE764" s="78"/>
      <c r="AF764" s="78"/>
    </row>
    <row r="765" spans="3:32" x14ac:dyDescent="0.25">
      <c r="C765" s="147"/>
      <c r="F765" s="73"/>
      <c r="AC765" s="77"/>
      <c r="AD765" s="78"/>
      <c r="AE765" s="78"/>
      <c r="AF765" s="78"/>
    </row>
    <row r="766" spans="3:32" x14ac:dyDescent="0.25">
      <c r="C766" s="147"/>
      <c r="F766" s="73"/>
      <c r="AC766" s="77"/>
      <c r="AD766" s="78"/>
      <c r="AE766" s="78"/>
      <c r="AF766" s="78"/>
    </row>
    <row r="767" spans="3:32" x14ac:dyDescent="0.25">
      <c r="C767" s="147"/>
      <c r="F767" s="73"/>
      <c r="AC767" s="77"/>
      <c r="AD767" s="78"/>
      <c r="AE767" s="78"/>
      <c r="AF767" s="78"/>
    </row>
    <row r="768" spans="3:32" x14ac:dyDescent="0.25">
      <c r="C768" s="147"/>
      <c r="F768" s="73"/>
      <c r="AC768" s="77"/>
      <c r="AD768" s="78"/>
      <c r="AE768" s="78"/>
      <c r="AF768" s="78"/>
    </row>
    <row r="769" spans="3:32" x14ac:dyDescent="0.25">
      <c r="C769" s="147"/>
      <c r="F769" s="73"/>
      <c r="AC769" s="77"/>
      <c r="AD769" s="78"/>
      <c r="AE769" s="78"/>
      <c r="AF769" s="78"/>
    </row>
    <row r="770" spans="3:32" x14ac:dyDescent="0.25">
      <c r="C770" s="147"/>
      <c r="F770" s="73"/>
      <c r="AC770" s="77"/>
      <c r="AD770" s="78"/>
      <c r="AE770" s="78"/>
      <c r="AF770" s="78"/>
    </row>
    <row r="771" spans="3:32" x14ac:dyDescent="0.25">
      <c r="C771" s="147"/>
      <c r="F771" s="73"/>
      <c r="AC771" s="77"/>
      <c r="AD771" s="78"/>
      <c r="AE771" s="78"/>
      <c r="AF771" s="78"/>
    </row>
    <row r="772" spans="3:32" x14ac:dyDescent="0.25">
      <c r="C772" s="147"/>
      <c r="F772" s="73"/>
      <c r="AC772" s="77"/>
      <c r="AD772" s="78"/>
      <c r="AE772" s="78"/>
      <c r="AF772" s="78"/>
    </row>
    <row r="773" spans="3:32" x14ac:dyDescent="0.25">
      <c r="C773" s="147"/>
      <c r="F773" s="73"/>
      <c r="AC773" s="77"/>
      <c r="AD773" s="78"/>
      <c r="AE773" s="78"/>
      <c r="AF773" s="78"/>
    </row>
    <row r="774" spans="3:32" x14ac:dyDescent="0.25">
      <c r="C774" s="147"/>
      <c r="F774" s="73"/>
      <c r="AC774" s="77"/>
      <c r="AD774" s="78"/>
      <c r="AE774" s="78"/>
      <c r="AF774" s="78"/>
    </row>
    <row r="775" spans="3:32" x14ac:dyDescent="0.25">
      <c r="C775" s="147"/>
      <c r="F775" s="73"/>
      <c r="AC775" s="77"/>
      <c r="AD775" s="78"/>
      <c r="AE775" s="78"/>
      <c r="AF775" s="78"/>
    </row>
    <row r="776" spans="3:32" x14ac:dyDescent="0.25">
      <c r="C776" s="147"/>
      <c r="F776" s="73"/>
      <c r="AC776" s="77"/>
      <c r="AD776" s="78"/>
      <c r="AE776" s="78"/>
      <c r="AF776" s="78"/>
    </row>
    <row r="777" spans="3:32" x14ac:dyDescent="0.25">
      <c r="C777" s="147"/>
      <c r="F777" s="73"/>
      <c r="AC777" s="77"/>
      <c r="AD777" s="78"/>
      <c r="AE777" s="78"/>
      <c r="AF777" s="78"/>
    </row>
    <row r="778" spans="3:32" x14ac:dyDescent="0.25">
      <c r="C778" s="147"/>
      <c r="F778" s="73"/>
      <c r="AC778" s="77"/>
      <c r="AD778" s="78"/>
      <c r="AE778" s="78"/>
      <c r="AF778" s="78"/>
    </row>
    <row r="779" spans="3:32" x14ac:dyDescent="0.25">
      <c r="C779" s="147"/>
      <c r="F779" s="73"/>
      <c r="AC779" s="77"/>
      <c r="AD779" s="78"/>
      <c r="AE779" s="78"/>
      <c r="AF779" s="78"/>
    </row>
    <row r="780" spans="3:32" x14ac:dyDescent="0.25">
      <c r="C780" s="147"/>
      <c r="F780" s="73"/>
      <c r="AC780" s="77"/>
      <c r="AD780" s="78"/>
      <c r="AE780" s="78"/>
      <c r="AF780" s="78"/>
    </row>
    <row r="781" spans="3:32" x14ac:dyDescent="0.25">
      <c r="C781" s="147"/>
      <c r="F781" s="73"/>
      <c r="AC781" s="77"/>
      <c r="AD781" s="78"/>
      <c r="AE781" s="78"/>
      <c r="AF781" s="78"/>
    </row>
    <row r="782" spans="3:32" x14ac:dyDescent="0.25">
      <c r="C782" s="147"/>
      <c r="F782" s="73"/>
      <c r="AC782" s="77"/>
      <c r="AD782" s="78"/>
      <c r="AE782" s="78"/>
      <c r="AF782" s="78"/>
    </row>
    <row r="783" spans="3:32" x14ac:dyDescent="0.25">
      <c r="C783" s="147"/>
      <c r="F783" s="73"/>
      <c r="AC783" s="77"/>
      <c r="AD783" s="78"/>
      <c r="AE783" s="78"/>
      <c r="AF783" s="78"/>
    </row>
    <row r="784" spans="3:32" x14ac:dyDescent="0.25">
      <c r="C784" s="147"/>
      <c r="F784" s="73"/>
      <c r="AC784" s="77"/>
      <c r="AD784" s="78"/>
      <c r="AE784" s="78"/>
      <c r="AF784" s="78"/>
    </row>
    <row r="785" spans="3:32" x14ac:dyDescent="0.25">
      <c r="C785" s="147"/>
      <c r="F785" s="73"/>
      <c r="AC785" s="77"/>
      <c r="AD785" s="78"/>
      <c r="AE785" s="78"/>
      <c r="AF785" s="78"/>
    </row>
    <row r="786" spans="3:32" x14ac:dyDescent="0.25">
      <c r="C786" s="147"/>
      <c r="F786" s="73"/>
      <c r="AC786" s="77"/>
      <c r="AD786" s="78"/>
      <c r="AE786" s="78"/>
      <c r="AF786" s="78"/>
    </row>
    <row r="787" spans="3:32" x14ac:dyDescent="0.25">
      <c r="C787" s="147"/>
      <c r="F787" s="73"/>
      <c r="AC787" s="77"/>
      <c r="AD787" s="78"/>
      <c r="AE787" s="78"/>
      <c r="AF787" s="78"/>
    </row>
    <row r="788" spans="3:32" x14ac:dyDescent="0.25">
      <c r="C788" s="147"/>
      <c r="F788" s="73"/>
      <c r="AC788" s="77"/>
      <c r="AD788" s="78"/>
      <c r="AE788" s="78"/>
      <c r="AF788" s="78"/>
    </row>
    <row r="789" spans="3:32" x14ac:dyDescent="0.25">
      <c r="C789" s="147"/>
      <c r="F789" s="73"/>
      <c r="AC789" s="77"/>
      <c r="AD789" s="78"/>
      <c r="AE789" s="78"/>
      <c r="AF789" s="78"/>
    </row>
    <row r="790" spans="3:32" x14ac:dyDescent="0.25">
      <c r="C790" s="147"/>
      <c r="F790" s="73"/>
      <c r="AC790" s="77"/>
      <c r="AD790" s="78"/>
      <c r="AE790" s="78"/>
      <c r="AF790" s="78"/>
    </row>
    <row r="791" spans="3:32" x14ac:dyDescent="0.25">
      <c r="C791" s="147"/>
      <c r="F791" s="73"/>
      <c r="AC791" s="77"/>
      <c r="AD791" s="78"/>
      <c r="AE791" s="78"/>
      <c r="AF791" s="78"/>
    </row>
    <row r="792" spans="3:32" x14ac:dyDescent="0.25">
      <c r="C792" s="147"/>
      <c r="F792" s="73"/>
      <c r="AC792" s="77"/>
      <c r="AD792" s="78"/>
      <c r="AE792" s="78"/>
      <c r="AF792" s="78"/>
    </row>
    <row r="793" spans="3:32" x14ac:dyDescent="0.25">
      <c r="C793" s="147"/>
      <c r="F793" s="73"/>
      <c r="AC793" s="77"/>
      <c r="AD793" s="78"/>
      <c r="AE793" s="78"/>
      <c r="AF793" s="78"/>
    </row>
    <row r="794" spans="3:32" x14ac:dyDescent="0.25">
      <c r="C794" s="147"/>
      <c r="F794" s="73"/>
      <c r="AC794" s="77"/>
      <c r="AD794" s="78"/>
      <c r="AE794" s="78"/>
      <c r="AF794" s="78"/>
    </row>
    <row r="795" spans="3:32" x14ac:dyDescent="0.25">
      <c r="C795" s="147"/>
      <c r="F795" s="73"/>
      <c r="AC795" s="77"/>
      <c r="AD795" s="78"/>
      <c r="AE795" s="78"/>
      <c r="AF795" s="78"/>
    </row>
    <row r="796" spans="3:32" x14ac:dyDescent="0.25">
      <c r="C796" s="147"/>
      <c r="F796" s="73"/>
      <c r="AC796" s="77"/>
      <c r="AD796" s="78"/>
      <c r="AE796" s="78"/>
      <c r="AF796" s="78"/>
    </row>
    <row r="797" spans="3:32" x14ac:dyDescent="0.25">
      <c r="C797" s="147"/>
      <c r="F797" s="73"/>
      <c r="AC797" s="77"/>
      <c r="AD797" s="78"/>
      <c r="AE797" s="78"/>
      <c r="AF797" s="78"/>
    </row>
    <row r="798" spans="3:32" x14ac:dyDescent="0.25">
      <c r="C798" s="147"/>
      <c r="F798" s="73"/>
      <c r="AC798" s="77"/>
      <c r="AD798" s="78"/>
      <c r="AE798" s="78"/>
      <c r="AF798" s="78"/>
    </row>
    <row r="799" spans="3:32" x14ac:dyDescent="0.25">
      <c r="C799" s="147"/>
      <c r="F799" s="73"/>
      <c r="AC799" s="77"/>
      <c r="AD799" s="78"/>
      <c r="AE799" s="78"/>
      <c r="AF799" s="78"/>
    </row>
    <row r="800" spans="3:32" x14ac:dyDescent="0.25">
      <c r="C800" s="147"/>
      <c r="F800" s="73"/>
      <c r="AC800" s="77"/>
      <c r="AD800" s="78"/>
      <c r="AE800" s="78"/>
      <c r="AF800" s="78"/>
    </row>
    <row r="801" spans="3:32" x14ac:dyDescent="0.25">
      <c r="C801" s="147"/>
      <c r="F801" s="73"/>
      <c r="AC801" s="77"/>
      <c r="AD801" s="78"/>
      <c r="AE801" s="78"/>
      <c r="AF801" s="78"/>
    </row>
    <row r="802" spans="3:32" x14ac:dyDescent="0.25">
      <c r="C802" s="147"/>
      <c r="F802" s="73"/>
      <c r="AC802" s="77"/>
      <c r="AD802" s="78"/>
      <c r="AE802" s="78"/>
      <c r="AF802" s="78"/>
    </row>
    <row r="803" spans="3:32" x14ac:dyDescent="0.25">
      <c r="C803" s="147"/>
      <c r="F803" s="73"/>
      <c r="AC803" s="77"/>
      <c r="AD803" s="78"/>
      <c r="AE803" s="78"/>
      <c r="AF803" s="78"/>
    </row>
    <row r="804" spans="3:32" x14ac:dyDescent="0.25">
      <c r="C804" s="147"/>
      <c r="F804" s="73"/>
      <c r="AC804" s="77"/>
      <c r="AD804" s="78"/>
      <c r="AE804" s="78"/>
      <c r="AF804" s="78"/>
    </row>
    <row r="805" spans="3:32" x14ac:dyDescent="0.25">
      <c r="C805" s="147"/>
      <c r="F805" s="73"/>
      <c r="AC805" s="77"/>
      <c r="AD805" s="78"/>
      <c r="AE805" s="78"/>
      <c r="AF805" s="78"/>
    </row>
    <row r="806" spans="3:32" x14ac:dyDescent="0.25">
      <c r="C806" s="147"/>
      <c r="F806" s="73"/>
      <c r="AC806" s="77"/>
      <c r="AD806" s="78"/>
      <c r="AE806" s="78"/>
      <c r="AF806" s="78"/>
    </row>
    <row r="807" spans="3:32" x14ac:dyDescent="0.25">
      <c r="C807" s="147"/>
      <c r="F807" s="73"/>
      <c r="AC807" s="77"/>
      <c r="AD807" s="78"/>
      <c r="AE807" s="78"/>
      <c r="AF807" s="78"/>
    </row>
    <row r="808" spans="3:32" x14ac:dyDescent="0.25">
      <c r="C808" s="147"/>
      <c r="F808" s="73"/>
      <c r="AC808" s="77"/>
      <c r="AD808" s="78"/>
      <c r="AE808" s="78"/>
      <c r="AF808" s="78"/>
    </row>
    <row r="809" spans="3:32" x14ac:dyDescent="0.25">
      <c r="C809" s="147"/>
      <c r="F809" s="73"/>
      <c r="AC809" s="77"/>
      <c r="AD809" s="78"/>
      <c r="AE809" s="78"/>
      <c r="AF809" s="78"/>
    </row>
    <row r="810" spans="3:32" x14ac:dyDescent="0.25">
      <c r="C810" s="147"/>
      <c r="F810" s="73"/>
      <c r="AC810" s="77"/>
      <c r="AD810" s="78"/>
      <c r="AE810" s="78"/>
      <c r="AF810" s="78"/>
    </row>
    <row r="811" spans="3:32" x14ac:dyDescent="0.25">
      <c r="C811" s="147"/>
      <c r="F811" s="73"/>
      <c r="AC811" s="77"/>
      <c r="AD811" s="78"/>
      <c r="AE811" s="78"/>
      <c r="AF811" s="78"/>
    </row>
    <row r="812" spans="3:32" x14ac:dyDescent="0.25">
      <c r="C812" s="147"/>
      <c r="F812" s="73"/>
      <c r="AC812" s="77"/>
      <c r="AD812" s="78"/>
      <c r="AE812" s="78"/>
      <c r="AF812" s="78"/>
    </row>
    <row r="813" spans="3:32" x14ac:dyDescent="0.25">
      <c r="C813" s="147"/>
      <c r="F813" s="73"/>
      <c r="AC813" s="77"/>
      <c r="AD813" s="78"/>
      <c r="AE813" s="78"/>
      <c r="AF813" s="78"/>
    </row>
    <row r="814" spans="3:32" x14ac:dyDescent="0.25">
      <c r="C814" s="147"/>
      <c r="F814" s="73"/>
      <c r="AC814" s="77"/>
      <c r="AD814" s="78"/>
      <c r="AE814" s="78"/>
      <c r="AF814" s="78"/>
    </row>
    <row r="815" spans="3:32" x14ac:dyDescent="0.25">
      <c r="C815" s="147"/>
      <c r="F815" s="73"/>
      <c r="AC815" s="77"/>
      <c r="AD815" s="78"/>
      <c r="AE815" s="78"/>
      <c r="AF815" s="78"/>
    </row>
    <row r="816" spans="3:32" x14ac:dyDescent="0.25">
      <c r="C816" s="147"/>
      <c r="F816" s="73"/>
      <c r="AC816" s="77"/>
      <c r="AD816" s="78"/>
      <c r="AE816" s="78"/>
      <c r="AF816" s="78"/>
    </row>
    <row r="817" spans="3:32" x14ac:dyDescent="0.25">
      <c r="C817" s="147"/>
      <c r="F817" s="73"/>
      <c r="AC817" s="77"/>
      <c r="AD817" s="78"/>
      <c r="AE817" s="78"/>
      <c r="AF817" s="78"/>
    </row>
    <row r="818" spans="3:32" x14ac:dyDescent="0.25">
      <c r="C818" s="147"/>
      <c r="F818" s="73"/>
      <c r="AC818" s="77"/>
      <c r="AD818" s="78"/>
      <c r="AE818" s="78"/>
      <c r="AF818" s="78"/>
    </row>
    <row r="819" spans="3:32" x14ac:dyDescent="0.25">
      <c r="C819" s="147"/>
      <c r="F819" s="73"/>
      <c r="AC819" s="77"/>
      <c r="AD819" s="78"/>
      <c r="AE819" s="78"/>
      <c r="AF819" s="78"/>
    </row>
    <row r="820" spans="3:32" x14ac:dyDescent="0.25">
      <c r="C820" s="147"/>
      <c r="F820" s="73"/>
      <c r="AC820" s="77"/>
      <c r="AD820" s="78"/>
      <c r="AE820" s="78"/>
      <c r="AF820" s="78"/>
    </row>
    <row r="821" spans="3:32" x14ac:dyDescent="0.25">
      <c r="C821" s="147"/>
      <c r="F821" s="73"/>
      <c r="AC821" s="77"/>
      <c r="AD821" s="78"/>
      <c r="AE821" s="78"/>
      <c r="AF821" s="78"/>
    </row>
    <row r="822" spans="3:32" x14ac:dyDescent="0.25">
      <c r="C822" s="147"/>
      <c r="F822" s="73"/>
      <c r="AC822" s="77"/>
      <c r="AD822" s="78"/>
      <c r="AE822" s="78"/>
      <c r="AF822" s="78"/>
    </row>
    <row r="823" spans="3:32" x14ac:dyDescent="0.25">
      <c r="C823" s="147"/>
      <c r="F823" s="73"/>
      <c r="AC823" s="77"/>
      <c r="AD823" s="78"/>
      <c r="AE823" s="78"/>
      <c r="AF823" s="78"/>
    </row>
    <row r="824" spans="3:32" x14ac:dyDescent="0.25">
      <c r="C824" s="147"/>
      <c r="F824" s="73"/>
      <c r="AC824" s="77"/>
      <c r="AD824" s="78"/>
      <c r="AE824" s="78"/>
      <c r="AF824" s="78"/>
    </row>
    <row r="825" spans="3:32" x14ac:dyDescent="0.25">
      <c r="C825" s="147"/>
      <c r="F825" s="73"/>
      <c r="AC825" s="77"/>
      <c r="AD825" s="78"/>
      <c r="AE825" s="78"/>
      <c r="AF825" s="78"/>
    </row>
    <row r="826" spans="3:32" x14ac:dyDescent="0.25">
      <c r="C826" s="147"/>
      <c r="F826" s="73"/>
      <c r="AC826" s="77"/>
      <c r="AD826" s="78"/>
      <c r="AE826" s="78"/>
      <c r="AF826" s="78"/>
    </row>
    <row r="827" spans="3:32" x14ac:dyDescent="0.25">
      <c r="C827" s="147"/>
      <c r="F827" s="73"/>
      <c r="AC827" s="77"/>
      <c r="AD827" s="78"/>
      <c r="AE827" s="78"/>
      <c r="AF827" s="78"/>
    </row>
    <row r="828" spans="3:32" x14ac:dyDescent="0.25">
      <c r="C828" s="147"/>
      <c r="F828" s="73"/>
      <c r="AC828" s="77"/>
      <c r="AD828" s="78"/>
      <c r="AE828" s="78"/>
      <c r="AF828" s="78"/>
    </row>
    <row r="829" spans="3:32" x14ac:dyDescent="0.25">
      <c r="C829" s="147"/>
      <c r="F829" s="73"/>
      <c r="AC829" s="77"/>
      <c r="AD829" s="78"/>
      <c r="AE829" s="78"/>
      <c r="AF829" s="78"/>
    </row>
    <row r="830" spans="3:32" x14ac:dyDescent="0.25">
      <c r="C830" s="147"/>
      <c r="F830" s="73"/>
      <c r="AC830" s="77"/>
      <c r="AD830" s="78"/>
      <c r="AE830" s="78"/>
      <c r="AF830" s="78"/>
    </row>
    <row r="831" spans="3:32" x14ac:dyDescent="0.25">
      <c r="C831" s="147"/>
      <c r="F831" s="73"/>
      <c r="AC831" s="77"/>
      <c r="AD831" s="78"/>
      <c r="AE831" s="78"/>
      <c r="AF831" s="78"/>
    </row>
    <row r="832" spans="3:32" x14ac:dyDescent="0.25">
      <c r="C832" s="147"/>
      <c r="F832" s="73"/>
      <c r="AC832" s="77"/>
      <c r="AD832" s="78"/>
      <c r="AE832" s="78"/>
      <c r="AF832" s="78"/>
    </row>
    <row r="833" spans="3:32" x14ac:dyDescent="0.25">
      <c r="C833" s="147"/>
      <c r="F833" s="73"/>
      <c r="AC833" s="77"/>
      <c r="AD833" s="78"/>
      <c r="AE833" s="78"/>
      <c r="AF833" s="78"/>
    </row>
    <row r="834" spans="3:32" x14ac:dyDescent="0.25">
      <c r="C834" s="147"/>
      <c r="F834" s="73"/>
      <c r="AC834" s="77"/>
      <c r="AD834" s="78"/>
      <c r="AE834" s="78"/>
      <c r="AF834" s="78"/>
    </row>
    <row r="835" spans="3:32" x14ac:dyDescent="0.25">
      <c r="C835" s="147"/>
      <c r="F835" s="73"/>
      <c r="AC835" s="77"/>
      <c r="AD835" s="78"/>
      <c r="AE835" s="78"/>
      <c r="AF835" s="78"/>
    </row>
    <row r="836" spans="3:32" x14ac:dyDescent="0.25">
      <c r="C836" s="147"/>
      <c r="F836" s="73"/>
      <c r="AC836" s="77"/>
      <c r="AD836" s="78"/>
      <c r="AE836" s="78"/>
      <c r="AF836" s="78"/>
    </row>
    <row r="837" spans="3:32" x14ac:dyDescent="0.25">
      <c r="C837" s="147"/>
      <c r="F837" s="73"/>
      <c r="AC837" s="77"/>
      <c r="AD837" s="78"/>
      <c r="AE837" s="78"/>
      <c r="AF837" s="78"/>
    </row>
    <row r="838" spans="3:32" x14ac:dyDescent="0.25">
      <c r="C838" s="147"/>
      <c r="F838" s="73"/>
      <c r="AC838" s="77"/>
      <c r="AD838" s="78"/>
      <c r="AE838" s="78"/>
      <c r="AF838" s="78"/>
    </row>
    <row r="839" spans="3:32" x14ac:dyDescent="0.25">
      <c r="C839" s="147"/>
      <c r="F839" s="73"/>
      <c r="AC839" s="77"/>
      <c r="AD839" s="78"/>
      <c r="AE839" s="78"/>
      <c r="AF839" s="78"/>
    </row>
    <row r="840" spans="3:32" x14ac:dyDescent="0.25">
      <c r="C840" s="147"/>
      <c r="F840" s="73"/>
      <c r="AC840" s="77"/>
      <c r="AD840" s="78"/>
      <c r="AE840" s="78"/>
      <c r="AF840" s="78"/>
    </row>
    <row r="841" spans="3:32" x14ac:dyDescent="0.25">
      <c r="C841" s="147"/>
      <c r="F841" s="73"/>
      <c r="AC841" s="77"/>
      <c r="AD841" s="78"/>
      <c r="AE841" s="78"/>
      <c r="AF841" s="78"/>
    </row>
    <row r="842" spans="3:32" x14ac:dyDescent="0.25">
      <c r="C842" s="147"/>
      <c r="F842" s="73"/>
      <c r="AC842" s="77"/>
      <c r="AD842" s="78"/>
      <c r="AE842" s="78"/>
      <c r="AF842" s="78"/>
    </row>
    <row r="843" spans="3:32" x14ac:dyDescent="0.25">
      <c r="C843" s="147"/>
      <c r="F843" s="73"/>
      <c r="AC843" s="77"/>
      <c r="AD843" s="78"/>
      <c r="AE843" s="78"/>
      <c r="AF843" s="78"/>
    </row>
    <row r="844" spans="3:32" x14ac:dyDescent="0.25">
      <c r="C844" s="147"/>
      <c r="F844" s="73"/>
      <c r="AC844" s="77"/>
      <c r="AD844" s="78"/>
      <c r="AE844" s="78"/>
      <c r="AF844" s="78"/>
    </row>
    <row r="845" spans="3:32" x14ac:dyDescent="0.25">
      <c r="C845" s="147"/>
      <c r="F845" s="73"/>
      <c r="AC845" s="77"/>
      <c r="AD845" s="78"/>
      <c r="AE845" s="78"/>
      <c r="AF845" s="78"/>
    </row>
    <row r="846" spans="3:32" x14ac:dyDescent="0.25">
      <c r="C846" s="147"/>
      <c r="F846" s="73"/>
      <c r="AC846" s="77"/>
      <c r="AD846" s="78"/>
      <c r="AE846" s="78"/>
      <c r="AF846" s="78"/>
    </row>
    <row r="847" spans="3:32" x14ac:dyDescent="0.25">
      <c r="C847" s="147"/>
      <c r="F847" s="73"/>
      <c r="AC847" s="77"/>
      <c r="AD847" s="78"/>
      <c r="AE847" s="78"/>
      <c r="AF847" s="78"/>
    </row>
    <row r="848" spans="3:32" x14ac:dyDescent="0.25">
      <c r="C848" s="147"/>
      <c r="F848" s="73"/>
      <c r="AC848" s="77"/>
      <c r="AD848" s="78"/>
      <c r="AE848" s="78"/>
      <c r="AF848" s="78"/>
    </row>
    <row r="849" spans="3:32" x14ac:dyDescent="0.25">
      <c r="C849" s="147"/>
      <c r="F849" s="73"/>
      <c r="AC849" s="77"/>
      <c r="AD849" s="78"/>
      <c r="AE849" s="78"/>
      <c r="AF849" s="78"/>
    </row>
    <row r="850" spans="3:32" x14ac:dyDescent="0.25">
      <c r="C850" s="147"/>
      <c r="F850" s="73"/>
      <c r="AC850" s="77"/>
      <c r="AD850" s="78"/>
      <c r="AE850" s="78"/>
      <c r="AF850" s="78"/>
    </row>
    <row r="851" spans="3:32" x14ac:dyDescent="0.25">
      <c r="C851" s="147"/>
      <c r="F851" s="73"/>
      <c r="AC851" s="77"/>
      <c r="AD851" s="78"/>
      <c r="AE851" s="78"/>
      <c r="AF851" s="78"/>
    </row>
    <row r="852" spans="3:32" x14ac:dyDescent="0.25">
      <c r="C852" s="147"/>
      <c r="F852" s="73"/>
      <c r="AC852" s="77"/>
      <c r="AD852" s="78"/>
      <c r="AE852" s="78"/>
      <c r="AF852" s="78"/>
    </row>
    <row r="853" spans="3:32" x14ac:dyDescent="0.25">
      <c r="C853" s="147"/>
      <c r="F853" s="73"/>
      <c r="AC853" s="77"/>
      <c r="AD853" s="78"/>
      <c r="AE853" s="78"/>
      <c r="AF853" s="78"/>
    </row>
    <row r="854" spans="3:32" x14ac:dyDescent="0.25">
      <c r="C854" s="147"/>
      <c r="F854" s="73"/>
      <c r="AC854" s="77"/>
      <c r="AD854" s="78"/>
      <c r="AE854" s="78"/>
      <c r="AF854" s="78"/>
    </row>
    <row r="855" spans="3:32" x14ac:dyDescent="0.25">
      <c r="C855" s="147"/>
      <c r="F855" s="73"/>
      <c r="AC855" s="77"/>
      <c r="AD855" s="78"/>
      <c r="AE855" s="78"/>
      <c r="AF855" s="78"/>
    </row>
    <row r="856" spans="3:32" x14ac:dyDescent="0.25">
      <c r="C856" s="147"/>
      <c r="F856" s="73"/>
      <c r="AC856" s="77"/>
      <c r="AD856" s="78"/>
      <c r="AE856" s="78"/>
      <c r="AF856" s="78"/>
    </row>
    <row r="857" spans="3:32" x14ac:dyDescent="0.25">
      <c r="C857" s="147"/>
      <c r="F857" s="73"/>
      <c r="AC857" s="77"/>
      <c r="AD857" s="78"/>
      <c r="AE857" s="78"/>
      <c r="AF857" s="78"/>
    </row>
    <row r="858" spans="3:32" x14ac:dyDescent="0.25">
      <c r="C858" s="147"/>
      <c r="F858" s="73"/>
      <c r="AC858" s="77"/>
      <c r="AD858" s="78"/>
      <c r="AE858" s="78"/>
      <c r="AF858" s="78"/>
    </row>
    <row r="859" spans="3:32" x14ac:dyDescent="0.25">
      <c r="C859" s="147"/>
      <c r="F859" s="73"/>
      <c r="AC859" s="77"/>
      <c r="AD859" s="78"/>
      <c r="AE859" s="78"/>
      <c r="AF859" s="78"/>
    </row>
    <row r="860" spans="3:32" x14ac:dyDescent="0.25">
      <c r="C860" s="147"/>
      <c r="F860" s="73"/>
      <c r="AC860" s="77"/>
      <c r="AD860" s="78"/>
      <c r="AE860" s="78"/>
      <c r="AF860" s="78"/>
    </row>
    <row r="861" spans="3:32" x14ac:dyDescent="0.25">
      <c r="C861" s="147"/>
      <c r="F861" s="73"/>
      <c r="AC861" s="77"/>
      <c r="AD861" s="78"/>
      <c r="AE861" s="78"/>
      <c r="AF861" s="78"/>
    </row>
    <row r="862" spans="3:32" x14ac:dyDescent="0.25">
      <c r="C862" s="147"/>
      <c r="F862" s="73"/>
      <c r="AC862" s="77"/>
      <c r="AD862" s="78"/>
      <c r="AE862" s="78"/>
      <c r="AF862" s="78"/>
    </row>
    <row r="863" spans="3:32" x14ac:dyDescent="0.25">
      <c r="C863" s="147"/>
      <c r="F863" s="73"/>
      <c r="AC863" s="77"/>
      <c r="AD863" s="78"/>
      <c r="AE863" s="78"/>
      <c r="AF863" s="78"/>
    </row>
    <row r="864" spans="3:32" x14ac:dyDescent="0.25">
      <c r="C864" s="147"/>
      <c r="F864" s="73"/>
      <c r="AC864" s="77"/>
      <c r="AD864" s="78"/>
      <c r="AE864" s="78"/>
      <c r="AF864" s="78"/>
    </row>
    <row r="865" spans="3:32" x14ac:dyDescent="0.25">
      <c r="C865" s="147"/>
      <c r="F865" s="73"/>
      <c r="AC865" s="77"/>
      <c r="AD865" s="78"/>
      <c r="AE865" s="78"/>
      <c r="AF865" s="78"/>
    </row>
    <row r="866" spans="3:32" x14ac:dyDescent="0.25">
      <c r="C866" s="147"/>
      <c r="F866" s="73"/>
      <c r="AC866" s="77"/>
      <c r="AD866" s="78"/>
      <c r="AE866" s="78"/>
      <c r="AF866" s="78"/>
    </row>
    <row r="867" spans="3:32" x14ac:dyDescent="0.25">
      <c r="C867" s="147"/>
      <c r="F867" s="73"/>
      <c r="AC867" s="77"/>
      <c r="AD867" s="78"/>
      <c r="AE867" s="78"/>
      <c r="AF867" s="78"/>
    </row>
    <row r="868" spans="3:32" x14ac:dyDescent="0.25">
      <c r="C868" s="147"/>
      <c r="F868" s="73"/>
      <c r="AC868" s="77"/>
      <c r="AD868" s="78"/>
      <c r="AE868" s="78"/>
      <c r="AF868" s="78"/>
    </row>
    <row r="869" spans="3:32" x14ac:dyDescent="0.25">
      <c r="C869" s="147"/>
      <c r="F869" s="73"/>
      <c r="AC869" s="77"/>
      <c r="AD869" s="78"/>
      <c r="AE869" s="78"/>
      <c r="AF869" s="78"/>
    </row>
    <row r="870" spans="3:32" x14ac:dyDescent="0.25">
      <c r="C870" s="147"/>
      <c r="F870" s="73"/>
      <c r="AC870" s="77"/>
      <c r="AD870" s="78"/>
      <c r="AE870" s="78"/>
      <c r="AF870" s="78"/>
    </row>
    <row r="871" spans="3:32" x14ac:dyDescent="0.25">
      <c r="C871" s="147"/>
      <c r="F871" s="73"/>
      <c r="AC871" s="77"/>
      <c r="AD871" s="78"/>
      <c r="AE871" s="78"/>
      <c r="AF871" s="78"/>
    </row>
    <row r="872" spans="3:32" x14ac:dyDescent="0.25">
      <c r="C872" s="147"/>
      <c r="F872" s="73"/>
      <c r="AC872" s="77"/>
      <c r="AD872" s="78"/>
      <c r="AE872" s="78"/>
      <c r="AF872" s="78"/>
    </row>
    <row r="873" spans="3:32" x14ac:dyDescent="0.25">
      <c r="C873" s="147"/>
      <c r="F873" s="73"/>
      <c r="AC873" s="77"/>
      <c r="AD873" s="78"/>
      <c r="AE873" s="78"/>
      <c r="AF873" s="78"/>
    </row>
    <row r="874" spans="3:32" x14ac:dyDescent="0.25">
      <c r="C874" s="147"/>
      <c r="F874" s="73"/>
      <c r="AC874" s="77"/>
      <c r="AD874" s="78"/>
      <c r="AE874" s="78"/>
      <c r="AF874" s="78"/>
    </row>
    <row r="875" spans="3:32" x14ac:dyDescent="0.25">
      <c r="C875" s="147"/>
      <c r="F875" s="73"/>
      <c r="AC875" s="77"/>
      <c r="AD875" s="78"/>
      <c r="AE875" s="78"/>
      <c r="AF875" s="78"/>
    </row>
    <row r="876" spans="3:32" x14ac:dyDescent="0.25">
      <c r="C876" s="147"/>
      <c r="F876" s="73"/>
      <c r="AC876" s="77"/>
      <c r="AD876" s="78"/>
      <c r="AE876" s="78"/>
      <c r="AF876" s="78"/>
    </row>
    <row r="877" spans="3:32" x14ac:dyDescent="0.25">
      <c r="C877" s="147"/>
      <c r="F877" s="73"/>
      <c r="AC877" s="77"/>
      <c r="AD877" s="78"/>
      <c r="AE877" s="78"/>
      <c r="AF877" s="78"/>
    </row>
    <row r="878" spans="3:32" x14ac:dyDescent="0.25">
      <c r="C878" s="147"/>
      <c r="F878" s="73"/>
      <c r="AC878" s="77"/>
      <c r="AD878" s="78"/>
      <c r="AE878" s="78"/>
      <c r="AF878" s="78"/>
    </row>
    <row r="879" spans="3:32" x14ac:dyDescent="0.25">
      <c r="C879" s="147"/>
      <c r="F879" s="73"/>
      <c r="AC879" s="77"/>
      <c r="AD879" s="78"/>
      <c r="AE879" s="78"/>
      <c r="AF879" s="78"/>
    </row>
    <row r="880" spans="3:32" x14ac:dyDescent="0.25">
      <c r="C880" s="147"/>
      <c r="F880" s="73"/>
      <c r="AC880" s="77"/>
      <c r="AD880" s="78"/>
      <c r="AE880" s="78"/>
      <c r="AF880" s="78"/>
    </row>
    <row r="881" spans="3:32" x14ac:dyDescent="0.25">
      <c r="C881" s="147"/>
      <c r="F881" s="73"/>
      <c r="AC881" s="77"/>
      <c r="AD881" s="78"/>
      <c r="AE881" s="78"/>
      <c r="AF881" s="78"/>
    </row>
    <row r="882" spans="3:32" x14ac:dyDescent="0.25">
      <c r="C882" s="147"/>
      <c r="F882" s="73"/>
      <c r="AC882" s="77"/>
      <c r="AD882" s="78"/>
      <c r="AE882" s="78"/>
      <c r="AF882" s="78"/>
    </row>
    <row r="883" spans="3:32" x14ac:dyDescent="0.25">
      <c r="C883" s="147"/>
      <c r="F883" s="73"/>
      <c r="AC883" s="77"/>
      <c r="AD883" s="78"/>
      <c r="AE883" s="78"/>
      <c r="AF883" s="78"/>
    </row>
    <row r="884" spans="3:32" x14ac:dyDescent="0.25">
      <c r="C884" s="147"/>
      <c r="F884" s="73"/>
      <c r="AC884" s="77"/>
      <c r="AD884" s="78"/>
      <c r="AE884" s="78"/>
      <c r="AF884" s="78"/>
    </row>
    <row r="885" spans="3:32" x14ac:dyDescent="0.25">
      <c r="C885" s="147"/>
      <c r="F885" s="73"/>
      <c r="AC885" s="77"/>
      <c r="AD885" s="78"/>
      <c r="AE885" s="78"/>
      <c r="AF885" s="78"/>
    </row>
    <row r="886" spans="3:32" x14ac:dyDescent="0.25">
      <c r="C886" s="147"/>
      <c r="F886" s="73"/>
      <c r="AC886" s="77"/>
      <c r="AD886" s="78"/>
      <c r="AE886" s="78"/>
      <c r="AF886" s="78"/>
    </row>
    <row r="887" spans="3:32" x14ac:dyDescent="0.25">
      <c r="C887" s="147"/>
      <c r="F887" s="73"/>
      <c r="AC887" s="77"/>
      <c r="AD887" s="78"/>
      <c r="AE887" s="78"/>
      <c r="AF887" s="78"/>
    </row>
    <row r="888" spans="3:32" x14ac:dyDescent="0.25">
      <c r="C888" s="147"/>
      <c r="F888" s="73"/>
      <c r="AC888" s="77"/>
      <c r="AD888" s="78"/>
      <c r="AE888" s="78"/>
      <c r="AF888" s="78"/>
    </row>
    <row r="889" spans="3:32" x14ac:dyDescent="0.25">
      <c r="C889" s="147"/>
      <c r="F889" s="73"/>
      <c r="AC889" s="77"/>
      <c r="AD889" s="78"/>
      <c r="AE889" s="78"/>
      <c r="AF889" s="78"/>
    </row>
    <row r="890" spans="3:32" x14ac:dyDescent="0.25">
      <c r="C890" s="147"/>
      <c r="F890" s="73"/>
      <c r="AC890" s="77"/>
      <c r="AD890" s="78"/>
      <c r="AE890" s="78"/>
      <c r="AF890" s="78"/>
    </row>
    <row r="891" spans="3:32" x14ac:dyDescent="0.25">
      <c r="C891" s="147"/>
      <c r="F891" s="73"/>
      <c r="AC891" s="77"/>
      <c r="AD891" s="78"/>
      <c r="AE891" s="78"/>
      <c r="AF891" s="78"/>
    </row>
    <row r="892" spans="3:32" x14ac:dyDescent="0.25">
      <c r="C892" s="147"/>
      <c r="F892" s="73"/>
      <c r="AC892" s="77"/>
      <c r="AD892" s="78"/>
      <c r="AE892" s="78"/>
      <c r="AF892" s="78"/>
    </row>
    <row r="893" spans="3:32" x14ac:dyDescent="0.25">
      <c r="C893" s="147"/>
      <c r="F893" s="73"/>
      <c r="AC893" s="77"/>
      <c r="AD893" s="78"/>
      <c r="AE893" s="78"/>
      <c r="AF893" s="78"/>
    </row>
    <row r="894" spans="3:32" x14ac:dyDescent="0.25">
      <c r="C894" s="147"/>
      <c r="F894" s="73"/>
      <c r="AC894" s="77"/>
      <c r="AD894" s="78"/>
      <c r="AE894" s="78"/>
      <c r="AF894" s="78"/>
    </row>
    <row r="895" spans="3:32" x14ac:dyDescent="0.25">
      <c r="C895" s="147"/>
      <c r="F895" s="73"/>
      <c r="AC895" s="77"/>
      <c r="AD895" s="78"/>
      <c r="AE895" s="78"/>
      <c r="AF895" s="78"/>
    </row>
    <row r="896" spans="3:32" x14ac:dyDescent="0.25">
      <c r="C896" s="147"/>
      <c r="F896" s="73"/>
      <c r="AC896" s="77"/>
      <c r="AD896" s="78"/>
      <c r="AE896" s="78"/>
      <c r="AF896" s="78"/>
    </row>
    <row r="897" spans="3:32" x14ac:dyDescent="0.25">
      <c r="C897" s="147"/>
      <c r="F897" s="73"/>
      <c r="AC897" s="77"/>
      <c r="AD897" s="78"/>
      <c r="AE897" s="78"/>
      <c r="AF897" s="78"/>
    </row>
    <row r="898" spans="3:32" x14ac:dyDescent="0.25">
      <c r="C898" s="147"/>
      <c r="F898" s="73"/>
      <c r="AC898" s="77"/>
      <c r="AD898" s="78"/>
      <c r="AE898" s="78"/>
      <c r="AF898" s="78"/>
    </row>
    <row r="899" spans="3:32" x14ac:dyDescent="0.25">
      <c r="C899" s="147"/>
      <c r="F899" s="73"/>
      <c r="AC899" s="77"/>
      <c r="AD899" s="78"/>
      <c r="AE899" s="78"/>
      <c r="AF899" s="78"/>
    </row>
    <row r="900" spans="3:32" x14ac:dyDescent="0.25">
      <c r="C900" s="147"/>
      <c r="F900" s="73"/>
      <c r="AC900" s="77"/>
      <c r="AD900" s="78"/>
      <c r="AE900" s="78"/>
      <c r="AF900" s="78"/>
    </row>
    <row r="901" spans="3:32" x14ac:dyDescent="0.25">
      <c r="C901" s="147"/>
      <c r="F901" s="73"/>
      <c r="AC901" s="77"/>
      <c r="AD901" s="78"/>
      <c r="AE901" s="78"/>
      <c r="AF901" s="78"/>
    </row>
    <row r="902" spans="3:32" x14ac:dyDescent="0.25">
      <c r="C902" s="147"/>
      <c r="F902" s="73"/>
      <c r="AC902" s="77"/>
      <c r="AD902" s="78"/>
      <c r="AE902" s="78"/>
      <c r="AF902" s="78"/>
    </row>
    <row r="903" spans="3:32" x14ac:dyDescent="0.25">
      <c r="C903" s="147"/>
      <c r="F903" s="73"/>
      <c r="AC903" s="77"/>
      <c r="AD903" s="78"/>
      <c r="AE903" s="78"/>
      <c r="AF903" s="78"/>
    </row>
    <row r="904" spans="3:32" x14ac:dyDescent="0.25">
      <c r="C904" s="147"/>
      <c r="F904" s="73"/>
      <c r="AC904" s="77"/>
      <c r="AD904" s="78"/>
      <c r="AE904" s="78"/>
      <c r="AF904" s="78"/>
    </row>
    <row r="905" spans="3:32" x14ac:dyDescent="0.25">
      <c r="C905" s="147"/>
      <c r="F905" s="73"/>
      <c r="AC905" s="77"/>
      <c r="AD905" s="78"/>
      <c r="AE905" s="78"/>
      <c r="AF905" s="78"/>
    </row>
    <row r="906" spans="3:32" x14ac:dyDescent="0.25">
      <c r="C906" s="147"/>
      <c r="F906" s="73"/>
      <c r="AC906" s="77"/>
      <c r="AD906" s="78"/>
      <c r="AE906" s="78"/>
      <c r="AF906" s="78"/>
    </row>
    <row r="907" spans="3:32" x14ac:dyDescent="0.25">
      <c r="C907" s="147"/>
      <c r="F907" s="73"/>
      <c r="AC907" s="77"/>
      <c r="AD907" s="78"/>
      <c r="AE907" s="78"/>
      <c r="AF907" s="78"/>
    </row>
    <row r="908" spans="3:32" x14ac:dyDescent="0.25">
      <c r="C908" s="147"/>
      <c r="F908" s="73"/>
      <c r="AC908" s="77"/>
      <c r="AD908" s="78"/>
      <c r="AE908" s="78"/>
      <c r="AF908" s="78"/>
    </row>
    <row r="909" spans="3:32" x14ac:dyDescent="0.25">
      <c r="C909" s="147"/>
      <c r="F909" s="73"/>
      <c r="AC909" s="77"/>
      <c r="AD909" s="78"/>
      <c r="AE909" s="78"/>
      <c r="AF909" s="78"/>
    </row>
    <row r="910" spans="3:32" x14ac:dyDescent="0.25">
      <c r="C910" s="147"/>
      <c r="F910" s="73"/>
      <c r="AC910" s="77"/>
      <c r="AD910" s="78"/>
      <c r="AE910" s="78"/>
      <c r="AF910" s="78"/>
    </row>
    <row r="911" spans="3:32" x14ac:dyDescent="0.25">
      <c r="C911" s="147"/>
      <c r="F911" s="73"/>
      <c r="AC911" s="77"/>
      <c r="AD911" s="78"/>
      <c r="AE911" s="78"/>
      <c r="AF911" s="78"/>
    </row>
    <row r="912" spans="3:32" x14ac:dyDescent="0.25">
      <c r="C912" s="147"/>
      <c r="F912" s="73"/>
      <c r="AC912" s="77"/>
      <c r="AD912" s="78"/>
      <c r="AE912" s="78"/>
      <c r="AF912" s="78"/>
    </row>
    <row r="913" spans="3:32" x14ac:dyDescent="0.25">
      <c r="C913" s="147"/>
      <c r="F913" s="73"/>
      <c r="AC913" s="77"/>
      <c r="AD913" s="78"/>
      <c r="AE913" s="78"/>
      <c r="AF913" s="78"/>
    </row>
    <row r="914" spans="3:32" x14ac:dyDescent="0.25">
      <c r="C914" s="147"/>
      <c r="F914" s="73"/>
      <c r="AC914" s="77"/>
      <c r="AD914" s="78"/>
      <c r="AE914" s="78"/>
      <c r="AF914" s="78"/>
    </row>
    <row r="915" spans="3:32" x14ac:dyDescent="0.25">
      <c r="C915" s="147"/>
      <c r="F915" s="73"/>
      <c r="AC915" s="77"/>
      <c r="AD915" s="78"/>
      <c r="AE915" s="78"/>
      <c r="AF915" s="78"/>
    </row>
    <row r="916" spans="3:32" x14ac:dyDescent="0.25">
      <c r="C916" s="147"/>
      <c r="F916" s="73"/>
      <c r="AC916" s="77"/>
      <c r="AD916" s="78"/>
      <c r="AE916" s="78"/>
      <c r="AF916" s="78"/>
    </row>
    <row r="917" spans="3:32" x14ac:dyDescent="0.25">
      <c r="C917" s="147"/>
      <c r="F917" s="73"/>
      <c r="AC917" s="77"/>
      <c r="AD917" s="78"/>
      <c r="AE917" s="78"/>
      <c r="AF917" s="78"/>
    </row>
    <row r="918" spans="3:32" x14ac:dyDescent="0.25">
      <c r="C918" s="147"/>
      <c r="F918" s="73"/>
      <c r="AC918" s="77"/>
      <c r="AD918" s="78"/>
      <c r="AE918" s="78"/>
      <c r="AF918" s="78"/>
    </row>
    <row r="919" spans="3:32" x14ac:dyDescent="0.25">
      <c r="C919" s="147"/>
      <c r="F919" s="73"/>
      <c r="AC919" s="77"/>
      <c r="AD919" s="78"/>
      <c r="AE919" s="78"/>
      <c r="AF919" s="78"/>
    </row>
    <row r="920" spans="3:32" x14ac:dyDescent="0.25">
      <c r="C920" s="147"/>
      <c r="F920" s="73"/>
      <c r="AC920" s="77"/>
      <c r="AD920" s="78"/>
      <c r="AE920" s="78"/>
      <c r="AF920" s="78"/>
    </row>
    <row r="921" spans="3:32" x14ac:dyDescent="0.25">
      <c r="C921" s="147"/>
      <c r="F921" s="73"/>
      <c r="AC921" s="77"/>
      <c r="AD921" s="78"/>
      <c r="AE921" s="78"/>
      <c r="AF921" s="78"/>
    </row>
    <row r="922" spans="3:32" ht="14.25" customHeight="1" x14ac:dyDescent="0.25">
      <c r="C922" s="147"/>
    </row>
    <row r="923" spans="3:32" ht="14.25" customHeight="1" x14ac:dyDescent="0.25">
      <c r="C923" s="147"/>
    </row>
  </sheetData>
  <autoFilter ref="A6:AF72" xr:uid="{00000000-0009-0000-0000-000000000000}"/>
  <mergeCells count="14">
    <mergeCell ref="P5:S5"/>
    <mergeCell ref="AE5:AE6"/>
    <mergeCell ref="AF5:AF6"/>
    <mergeCell ref="Z5:AA5"/>
    <mergeCell ref="AC5:AC6"/>
    <mergeCell ref="AD5:AD6"/>
    <mergeCell ref="T5:U5"/>
    <mergeCell ref="V5:W5"/>
    <mergeCell ref="X5:Y5"/>
    <mergeCell ref="A1:C1"/>
    <mergeCell ref="A3:C3"/>
    <mergeCell ref="A5:D5"/>
    <mergeCell ref="F5:K5"/>
    <mergeCell ref="L5:O5"/>
  </mergeCells>
  <conditionalFormatting sqref="M7:M8 Q7:Q8">
    <cfRule type="expression" dxfId="223" priority="39">
      <formula>AND(M7=0,N7&gt;0)</formula>
    </cfRule>
  </conditionalFormatting>
  <conditionalFormatting sqref="T7:U8">
    <cfRule type="cellIs" dxfId="222" priority="40" operator="equal">
      <formula>0</formula>
    </cfRule>
  </conditionalFormatting>
  <conditionalFormatting sqref="T39:U46 T57:U64">
    <cfRule type="cellIs" dxfId="221" priority="31" operator="equal">
      <formula>0</formula>
    </cfRule>
  </conditionalFormatting>
  <conditionalFormatting sqref="T48:U50 T52:U55 T67:U72">
    <cfRule type="cellIs" dxfId="220" priority="34" operator="equal">
      <formula>0</formula>
    </cfRule>
  </conditionalFormatting>
  <conditionalFormatting sqref="T73:U73">
    <cfRule type="cellIs" dxfId="219" priority="28" operator="equal">
      <formula>0</formula>
    </cfRule>
  </conditionalFormatting>
  <conditionalFormatting sqref="M9:M38 Q9:Q38">
    <cfRule type="expression" dxfId="218" priority="26">
      <formula>AND(M9=0,N9&gt;0)</formula>
    </cfRule>
  </conditionalFormatting>
  <conditionalFormatting sqref="T9:U38">
    <cfRule type="cellIs" dxfId="217" priority="27" operator="equal">
      <formula>0</formula>
    </cfRule>
  </conditionalFormatting>
  <conditionalFormatting sqref="M40">
    <cfRule type="expression" dxfId="216" priority="25">
      <formula>AND(M40=0,N40&gt;0)</formula>
    </cfRule>
  </conditionalFormatting>
  <conditionalFormatting sqref="M42">
    <cfRule type="expression" dxfId="215" priority="24">
      <formula>AND(M42=0,N42&gt;0)</formula>
    </cfRule>
  </conditionalFormatting>
  <conditionalFormatting sqref="M44">
    <cfRule type="expression" dxfId="214" priority="23">
      <formula>AND(M44=0,N44&gt;0)</formula>
    </cfRule>
  </conditionalFormatting>
  <conditionalFormatting sqref="M46">
    <cfRule type="expression" dxfId="213" priority="22">
      <formula>AND(M46=0,N46&gt;0)</formula>
    </cfRule>
  </conditionalFormatting>
  <conditionalFormatting sqref="M48">
    <cfRule type="expression" dxfId="212" priority="21">
      <formula>AND(M48=0,N48&gt;0)</formula>
    </cfRule>
  </conditionalFormatting>
  <conditionalFormatting sqref="M50">
    <cfRule type="expression" dxfId="211" priority="20">
      <formula>AND(M50=0,N50&gt;0)</formula>
    </cfRule>
  </conditionalFormatting>
  <conditionalFormatting sqref="M53">
    <cfRule type="expression" dxfId="210" priority="19">
      <formula>AND(M53=0,N53&gt;0)</formula>
    </cfRule>
  </conditionalFormatting>
  <conditionalFormatting sqref="M55">
    <cfRule type="expression" dxfId="209" priority="18">
      <formula>AND(M55=0,N55&gt;0)</formula>
    </cfRule>
  </conditionalFormatting>
  <conditionalFormatting sqref="M58">
    <cfRule type="expression" dxfId="208" priority="17">
      <formula>AND(M58=0,N58&gt;0)</formula>
    </cfRule>
  </conditionalFormatting>
  <conditionalFormatting sqref="M60:M64">
    <cfRule type="expression" dxfId="207" priority="16">
      <formula>AND(M60=0,N60&gt;0)</formula>
    </cfRule>
  </conditionalFormatting>
  <conditionalFormatting sqref="M67">
    <cfRule type="expression" dxfId="206" priority="15">
      <formula>AND(M67=0,N67&gt;0)</formula>
    </cfRule>
  </conditionalFormatting>
  <conditionalFormatting sqref="M69">
    <cfRule type="expression" dxfId="205" priority="14">
      <formula>AND(M69=0,N69&gt;0)</formula>
    </cfRule>
  </conditionalFormatting>
  <conditionalFormatting sqref="M70:M73">
    <cfRule type="expression" dxfId="204" priority="13">
      <formula>AND(M70=0,N70&gt;0)</formula>
    </cfRule>
  </conditionalFormatting>
  <conditionalFormatting sqref="Q39">
    <cfRule type="expression" dxfId="203" priority="12">
      <formula>AND(Q39=0,R39&gt;0)</formula>
    </cfRule>
  </conditionalFormatting>
  <conditionalFormatting sqref="Q41">
    <cfRule type="expression" dxfId="202" priority="11">
      <formula>AND(Q41=0,R41&gt;0)</formula>
    </cfRule>
  </conditionalFormatting>
  <conditionalFormatting sqref="Q43">
    <cfRule type="expression" dxfId="201" priority="10">
      <formula>AND(Q43=0,R43&gt;0)</formula>
    </cfRule>
  </conditionalFormatting>
  <conditionalFormatting sqref="Q45">
    <cfRule type="expression" dxfId="200" priority="9">
      <formula>AND(Q45=0,R45&gt;0)</formula>
    </cfRule>
  </conditionalFormatting>
  <conditionalFormatting sqref="Q48:Q49">
    <cfRule type="expression" dxfId="199" priority="8">
      <formula>AND(Q48=0,R48&gt;0)</formula>
    </cfRule>
  </conditionalFormatting>
  <conditionalFormatting sqref="Q52">
    <cfRule type="expression" dxfId="198" priority="7">
      <formula>AND(Q52=0,R52&gt;0)</formula>
    </cfRule>
  </conditionalFormatting>
  <conditionalFormatting sqref="Q54">
    <cfRule type="expression" dxfId="197" priority="6">
      <formula>AND(Q54=0,R54&gt;0)</formula>
    </cfRule>
  </conditionalFormatting>
  <conditionalFormatting sqref="Q57">
    <cfRule type="expression" dxfId="196" priority="5">
      <formula>AND(Q57=0,R57&gt;0)</formula>
    </cfRule>
  </conditionalFormatting>
  <conditionalFormatting sqref="Q59">
    <cfRule type="expression" dxfId="195" priority="4">
      <formula>AND(Q59=0,R59&gt;0)</formula>
    </cfRule>
  </conditionalFormatting>
  <conditionalFormatting sqref="Q61:Q64">
    <cfRule type="expression" dxfId="194" priority="3">
      <formula>AND(Q61=0,R61&gt;0)</formula>
    </cfRule>
  </conditionalFormatting>
  <conditionalFormatting sqref="Q67:Q68">
    <cfRule type="expression" dxfId="193" priority="2">
      <formula>AND(Q67=0,R67&gt;0)</formula>
    </cfRule>
  </conditionalFormatting>
  <conditionalFormatting sqref="Q70:Q73">
    <cfRule type="expression" dxfId="192" priority="1">
      <formula>AND(Q70=0,R70&gt;0)</formula>
    </cfRule>
  </conditionalFormatting>
  <pageMargins left="0.7" right="0.7" top="0.75" bottom="0.75" header="0" footer="0"/>
  <pageSetup paperSize="9" orientation="portrait" r:id="rId1"/>
  <ignoredErrors>
    <ignoredError sqref="V61:V70 V40 V34 V33 V35:V39 V44 V41:V42 V43 V46 V45 V48 V47 V50:V51 V49 V54:V55 V52:V53 V57 V56 V59:V60 V58 F7 F8:V8 G7:V7 V72 V71 V15 V14 V32 V16:V24 V13 V25:V31 V9:V12 F9:S38 F40:S73 F39:S39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3BDE1-5EE7-4368-ABCD-C4CFF04CB2EF}">
  <sheetPr codeName="Foglio16">
    <pageSetUpPr fitToPage="1"/>
  </sheetPr>
  <dimension ref="A3:I78"/>
  <sheetViews>
    <sheetView topLeftCell="A46" workbookViewId="0">
      <selection activeCell="M80" sqref="M80"/>
    </sheetView>
  </sheetViews>
  <sheetFormatPr defaultRowHeight="15" x14ac:dyDescent="0.25"/>
  <cols>
    <col min="1" max="1" width="22.5703125" bestFit="1" customWidth="1"/>
    <col min="2" max="2" width="23.42578125" bestFit="1" customWidth="1"/>
    <col min="3" max="3" width="15.85546875" bestFit="1" customWidth="1"/>
    <col min="4" max="4" width="19.5703125" bestFit="1" customWidth="1"/>
    <col min="5" max="5" width="23.42578125" bestFit="1" customWidth="1"/>
    <col min="6" max="7" width="11.7109375" bestFit="1" customWidth="1"/>
    <col min="8" max="8" width="8.140625" bestFit="1" customWidth="1"/>
    <col min="9" max="9" width="7" bestFit="1" customWidth="1"/>
    <col min="10" max="10" width="17.7109375" bestFit="1" customWidth="1"/>
  </cols>
  <sheetData>
    <row r="3" spans="1:9" x14ac:dyDescent="0.25">
      <c r="A3" s="71" t="s">
        <v>162</v>
      </c>
      <c r="B3" s="71" t="s">
        <v>161</v>
      </c>
      <c r="C3" s="70"/>
      <c r="D3" s="70"/>
      <c r="E3" s="70"/>
      <c r="F3" s="70"/>
      <c r="G3" s="70"/>
      <c r="H3" s="70"/>
      <c r="I3" s="70"/>
    </row>
    <row r="4" spans="1:9" x14ac:dyDescent="0.25">
      <c r="A4" s="71" t="s">
        <v>112</v>
      </c>
      <c r="B4" s="70" t="s">
        <v>31</v>
      </c>
      <c r="C4" s="70" t="s">
        <v>44</v>
      </c>
      <c r="D4" s="70" t="s">
        <v>47</v>
      </c>
      <c r="E4" s="70" t="s">
        <v>56</v>
      </c>
      <c r="F4" s="70" t="s">
        <v>62</v>
      </c>
      <c r="G4" s="70" t="s">
        <v>71</v>
      </c>
      <c r="H4" s="70" t="s">
        <v>45</v>
      </c>
      <c r="I4" s="70" t="s">
        <v>59</v>
      </c>
    </row>
    <row r="5" spans="1:9" ht="21" x14ac:dyDescent="0.25">
      <c r="A5" s="70" t="s">
        <v>32</v>
      </c>
      <c r="B5" s="280">
        <v>4</v>
      </c>
      <c r="C5" s="280"/>
      <c r="D5" s="280">
        <v>2</v>
      </c>
      <c r="E5" s="280"/>
      <c r="F5" s="280"/>
      <c r="G5" s="280"/>
      <c r="H5" s="280"/>
      <c r="I5" s="280">
        <v>22</v>
      </c>
    </row>
    <row r="6" spans="1:9" ht="21" x14ac:dyDescent="0.25">
      <c r="A6" s="70" t="s">
        <v>34</v>
      </c>
      <c r="B6" s="280">
        <v>6</v>
      </c>
      <c r="C6" s="280"/>
      <c r="D6" s="280">
        <v>5</v>
      </c>
      <c r="E6" s="280">
        <v>4</v>
      </c>
      <c r="F6" s="280"/>
      <c r="G6" s="280"/>
      <c r="H6" s="280"/>
      <c r="I6" s="280">
        <v>15</v>
      </c>
    </row>
    <row r="7" spans="1:9" ht="21" x14ac:dyDescent="0.25">
      <c r="A7" s="70" t="s">
        <v>35</v>
      </c>
      <c r="B7" s="280">
        <v>10</v>
      </c>
      <c r="C7" s="280"/>
      <c r="D7" s="280">
        <v>10</v>
      </c>
      <c r="E7" s="280">
        <v>5</v>
      </c>
      <c r="F7" s="280">
        <v>24</v>
      </c>
      <c r="G7" s="280">
        <v>5</v>
      </c>
      <c r="H7" s="280">
        <v>3</v>
      </c>
      <c r="I7" s="280"/>
    </row>
    <row r="8" spans="1:9" ht="21" x14ac:dyDescent="0.25">
      <c r="A8" s="70" t="s">
        <v>36</v>
      </c>
      <c r="B8" s="280">
        <v>3</v>
      </c>
      <c r="C8" s="280"/>
      <c r="D8" s="280">
        <v>2</v>
      </c>
      <c r="E8" s="280">
        <v>3</v>
      </c>
      <c r="F8" s="280"/>
      <c r="G8" s="280"/>
      <c r="H8" s="280"/>
      <c r="I8" s="280">
        <v>13</v>
      </c>
    </row>
    <row r="9" spans="1:9" ht="21" x14ac:dyDescent="0.25">
      <c r="A9" s="70" t="s">
        <v>38</v>
      </c>
      <c r="B9" s="280">
        <v>7</v>
      </c>
      <c r="C9" s="280">
        <v>1</v>
      </c>
      <c r="D9" s="280"/>
      <c r="E9" s="280">
        <v>4</v>
      </c>
      <c r="F9" s="280"/>
      <c r="G9" s="280">
        <v>4</v>
      </c>
      <c r="H9" s="280">
        <v>2</v>
      </c>
      <c r="I9" s="280">
        <v>24</v>
      </c>
    </row>
    <row r="10" spans="1:9" ht="21" x14ac:dyDescent="0.25">
      <c r="A10" s="70" t="s">
        <v>39</v>
      </c>
      <c r="B10" s="280">
        <v>3</v>
      </c>
      <c r="C10" s="280"/>
      <c r="D10" s="280"/>
      <c r="E10" s="280"/>
      <c r="F10" s="280"/>
      <c r="G10" s="280"/>
      <c r="H10" s="280"/>
      <c r="I10" s="280">
        <v>23</v>
      </c>
    </row>
    <row r="11" spans="1:9" ht="21" x14ac:dyDescent="0.25">
      <c r="A11" s="70" t="s">
        <v>40</v>
      </c>
      <c r="B11" s="280">
        <v>4</v>
      </c>
      <c r="C11" s="280"/>
      <c r="D11" s="280">
        <v>4</v>
      </c>
      <c r="E11" s="280">
        <v>3</v>
      </c>
      <c r="F11" s="280"/>
      <c r="G11" s="280"/>
      <c r="H11" s="280"/>
      <c r="I11" s="280"/>
    </row>
    <row r="12" spans="1:9" ht="21" x14ac:dyDescent="0.25">
      <c r="A12" s="70" t="s">
        <v>42</v>
      </c>
      <c r="B12" s="280">
        <v>2</v>
      </c>
      <c r="C12" s="280"/>
      <c r="D12" s="280"/>
      <c r="E12" s="280"/>
      <c r="F12" s="280"/>
      <c r="G12" s="280"/>
      <c r="H12" s="280"/>
      <c r="I12" s="280"/>
    </row>
    <row r="13" spans="1:9" ht="21" x14ac:dyDescent="0.25">
      <c r="A13" s="70" t="s">
        <v>46</v>
      </c>
      <c r="B13" s="280">
        <v>8</v>
      </c>
      <c r="C13" s="280"/>
      <c r="D13" s="280"/>
      <c r="E13" s="280"/>
      <c r="F13" s="280"/>
      <c r="G13" s="280"/>
      <c r="H13" s="280">
        <v>0</v>
      </c>
      <c r="I13" s="280"/>
    </row>
    <row r="14" spans="1:9" ht="21" x14ac:dyDescent="0.25">
      <c r="A14" s="70" t="s">
        <v>48</v>
      </c>
      <c r="B14" s="280"/>
      <c r="C14" s="280"/>
      <c r="D14" s="280">
        <v>7</v>
      </c>
      <c r="E14" s="280"/>
      <c r="F14" s="280"/>
      <c r="G14" s="280"/>
      <c r="H14" s="280"/>
      <c r="I14" s="280"/>
    </row>
    <row r="15" spans="1:9" ht="21" x14ac:dyDescent="0.25">
      <c r="A15" s="70" t="s">
        <v>51</v>
      </c>
      <c r="B15" s="280"/>
      <c r="C15" s="280"/>
      <c r="D15" s="280">
        <v>5</v>
      </c>
      <c r="E15" s="280"/>
      <c r="F15" s="280"/>
      <c r="G15" s="280"/>
      <c r="H15" s="280"/>
      <c r="I15" s="280"/>
    </row>
    <row r="16" spans="1:9" ht="21" x14ac:dyDescent="0.25">
      <c r="A16" s="70" t="s">
        <v>55</v>
      </c>
      <c r="B16" s="280"/>
      <c r="C16" s="280"/>
      <c r="D16" s="280">
        <v>2</v>
      </c>
      <c r="E16" s="280">
        <v>2</v>
      </c>
      <c r="F16" s="280"/>
      <c r="G16" s="280"/>
      <c r="H16" s="280"/>
      <c r="I16" s="280"/>
    </row>
    <row r="17" spans="1:9" ht="21" x14ac:dyDescent="0.25">
      <c r="A17" s="70" t="s">
        <v>57</v>
      </c>
      <c r="B17" s="280"/>
      <c r="C17" s="280"/>
      <c r="D17" s="280"/>
      <c r="E17" s="280">
        <v>3</v>
      </c>
      <c r="F17" s="280"/>
      <c r="G17" s="280"/>
      <c r="H17" s="280"/>
      <c r="I17" s="280"/>
    </row>
    <row r="18" spans="1:9" ht="21" x14ac:dyDescent="0.25">
      <c r="A18" s="70" t="s">
        <v>58</v>
      </c>
      <c r="B18" s="280"/>
      <c r="C18" s="280"/>
      <c r="D18" s="280"/>
      <c r="E18" s="280">
        <v>2</v>
      </c>
      <c r="F18" s="280"/>
      <c r="G18" s="280"/>
      <c r="H18" s="280"/>
      <c r="I18" s="280"/>
    </row>
    <row r="19" spans="1:9" ht="21" x14ac:dyDescent="0.25">
      <c r="A19" s="70" t="s">
        <v>43</v>
      </c>
      <c r="B19" s="280"/>
      <c r="C19" s="280"/>
      <c r="D19" s="280"/>
      <c r="E19" s="280">
        <v>3</v>
      </c>
      <c r="F19" s="280"/>
      <c r="G19" s="280"/>
      <c r="H19" s="280"/>
      <c r="I19" s="280"/>
    </row>
    <row r="20" spans="1:9" ht="21" x14ac:dyDescent="0.25">
      <c r="A20" s="70" t="s">
        <v>67</v>
      </c>
      <c r="B20" s="280"/>
      <c r="C20" s="280"/>
      <c r="D20" s="280"/>
      <c r="E20" s="280"/>
      <c r="F20" s="280"/>
      <c r="G20" s="280"/>
      <c r="H20" s="280"/>
      <c r="I20" s="280">
        <v>8</v>
      </c>
    </row>
    <row r="21" spans="1:9" ht="21" x14ac:dyDescent="0.25">
      <c r="A21" s="70" t="s">
        <v>68</v>
      </c>
      <c r="B21" s="280"/>
      <c r="C21" s="280"/>
      <c r="D21" s="280"/>
      <c r="E21" s="280"/>
      <c r="F21" s="280">
        <v>18</v>
      </c>
      <c r="G21" s="280"/>
      <c r="H21" s="280"/>
      <c r="I21" s="280"/>
    </row>
    <row r="22" spans="1:9" ht="21" x14ac:dyDescent="0.25">
      <c r="A22" s="70" t="s">
        <v>72</v>
      </c>
      <c r="B22" s="280"/>
      <c r="C22" s="280"/>
      <c r="D22" s="280"/>
      <c r="E22" s="280"/>
      <c r="F22" s="280"/>
      <c r="G22" s="280">
        <v>8</v>
      </c>
      <c r="H22" s="280"/>
      <c r="I22" s="280"/>
    </row>
    <row r="23" spans="1:9" ht="21" x14ac:dyDescent="0.25">
      <c r="A23" s="70" t="s">
        <v>172</v>
      </c>
      <c r="B23" s="280"/>
      <c r="C23" s="280"/>
      <c r="D23" s="280"/>
      <c r="E23" s="280"/>
      <c r="F23" s="280"/>
      <c r="G23" s="280"/>
      <c r="H23" s="280"/>
      <c r="I23" s="280">
        <v>53</v>
      </c>
    </row>
    <row r="24" spans="1:9" ht="21" x14ac:dyDescent="0.25">
      <c r="A24" s="70" t="s">
        <v>73</v>
      </c>
      <c r="B24" s="280">
        <v>6</v>
      </c>
      <c r="C24" s="280"/>
      <c r="D24" s="280">
        <v>4</v>
      </c>
      <c r="E24" s="280">
        <v>2</v>
      </c>
      <c r="F24" s="280"/>
      <c r="G24" s="280"/>
      <c r="H24" s="280"/>
      <c r="I24" s="280"/>
    </row>
    <row r="25" spans="1:9" ht="21" x14ac:dyDescent="0.25">
      <c r="A25" s="70" t="s">
        <v>113</v>
      </c>
      <c r="B25" s="280">
        <v>53</v>
      </c>
      <c r="C25" s="280">
        <v>1</v>
      </c>
      <c r="D25" s="280">
        <v>41</v>
      </c>
      <c r="E25" s="280">
        <v>31</v>
      </c>
      <c r="F25" s="280">
        <v>42</v>
      </c>
      <c r="G25" s="280">
        <v>17</v>
      </c>
      <c r="H25" s="280">
        <v>5</v>
      </c>
      <c r="I25" s="280">
        <v>158</v>
      </c>
    </row>
    <row r="57" spans="1:8" x14ac:dyDescent="0.25">
      <c r="A57" s="71" t="s">
        <v>162</v>
      </c>
      <c r="B57" s="71" t="s">
        <v>161</v>
      </c>
      <c r="D57" s="71" t="s">
        <v>162</v>
      </c>
      <c r="E57" s="71" t="s">
        <v>161</v>
      </c>
      <c r="G57" s="71" t="s">
        <v>162</v>
      </c>
      <c r="H57" s="71" t="s">
        <v>161</v>
      </c>
    </row>
    <row r="58" spans="1:8" x14ac:dyDescent="0.25">
      <c r="A58" s="71" t="s">
        <v>112</v>
      </c>
      <c r="B58" s="70" t="s">
        <v>31</v>
      </c>
      <c r="D58" s="71" t="s">
        <v>112</v>
      </c>
      <c r="E58" s="70" t="s">
        <v>47</v>
      </c>
      <c r="G58" s="71" t="s">
        <v>112</v>
      </c>
      <c r="H58" s="70" t="s">
        <v>56</v>
      </c>
    </row>
    <row r="59" spans="1:8" ht="21" x14ac:dyDescent="0.25">
      <c r="A59" s="70" t="s">
        <v>32</v>
      </c>
      <c r="B59" s="280">
        <v>4</v>
      </c>
      <c r="D59" s="70" t="s">
        <v>32</v>
      </c>
      <c r="E59" s="280">
        <v>2</v>
      </c>
      <c r="G59" s="70" t="s">
        <v>57</v>
      </c>
      <c r="H59" s="280">
        <v>3</v>
      </c>
    </row>
    <row r="60" spans="1:8" ht="21" x14ac:dyDescent="0.25">
      <c r="A60" s="70" t="s">
        <v>34</v>
      </c>
      <c r="B60" s="280">
        <v>6</v>
      </c>
      <c r="D60" s="70" t="s">
        <v>34</v>
      </c>
      <c r="E60" s="280">
        <v>5</v>
      </c>
      <c r="G60" s="70" t="s">
        <v>34</v>
      </c>
      <c r="H60" s="280">
        <v>4</v>
      </c>
    </row>
    <row r="61" spans="1:8" ht="21" x14ac:dyDescent="0.25">
      <c r="A61" s="70" t="s">
        <v>35</v>
      </c>
      <c r="B61" s="280">
        <v>10</v>
      </c>
      <c r="D61" s="70" t="s">
        <v>35</v>
      </c>
      <c r="E61" s="280">
        <v>10</v>
      </c>
      <c r="G61" s="70" t="s">
        <v>35</v>
      </c>
      <c r="H61" s="280">
        <v>5</v>
      </c>
    </row>
    <row r="62" spans="1:8" ht="21" x14ac:dyDescent="0.25">
      <c r="A62" s="70" t="s">
        <v>46</v>
      </c>
      <c r="B62" s="280">
        <v>8</v>
      </c>
      <c r="D62" s="70" t="s">
        <v>36</v>
      </c>
      <c r="E62" s="280">
        <v>2</v>
      </c>
      <c r="G62" s="70" t="s">
        <v>36</v>
      </c>
      <c r="H62" s="280">
        <v>3</v>
      </c>
    </row>
    <row r="63" spans="1:8" ht="21" x14ac:dyDescent="0.25">
      <c r="A63" s="70" t="s">
        <v>36</v>
      </c>
      <c r="B63" s="280">
        <v>3</v>
      </c>
      <c r="D63" s="70" t="s">
        <v>48</v>
      </c>
      <c r="E63" s="280">
        <v>7</v>
      </c>
      <c r="G63" s="70" t="s">
        <v>38</v>
      </c>
      <c r="H63" s="280">
        <v>4</v>
      </c>
    </row>
    <row r="64" spans="1:8" ht="21" x14ac:dyDescent="0.25">
      <c r="A64" s="70" t="s">
        <v>38</v>
      </c>
      <c r="B64" s="280">
        <v>7</v>
      </c>
      <c r="D64" s="70" t="s">
        <v>51</v>
      </c>
      <c r="E64" s="280">
        <v>5</v>
      </c>
      <c r="G64" s="70" t="s">
        <v>58</v>
      </c>
      <c r="H64" s="280">
        <v>2</v>
      </c>
    </row>
    <row r="65" spans="1:8" ht="21" x14ac:dyDescent="0.25">
      <c r="A65" s="70" t="s">
        <v>39</v>
      </c>
      <c r="B65" s="280">
        <v>3</v>
      </c>
      <c r="D65" s="70" t="s">
        <v>73</v>
      </c>
      <c r="E65" s="280">
        <v>4</v>
      </c>
      <c r="G65" s="70" t="s">
        <v>73</v>
      </c>
      <c r="H65" s="280">
        <v>2</v>
      </c>
    </row>
    <row r="66" spans="1:8" ht="21" x14ac:dyDescent="0.25">
      <c r="A66" s="70" t="s">
        <v>73</v>
      </c>
      <c r="B66" s="280">
        <v>6</v>
      </c>
      <c r="D66" s="70" t="s">
        <v>40</v>
      </c>
      <c r="E66" s="280">
        <v>4</v>
      </c>
      <c r="G66" s="70" t="s">
        <v>40</v>
      </c>
      <c r="H66" s="280">
        <v>3</v>
      </c>
    </row>
    <row r="67" spans="1:8" ht="21" x14ac:dyDescent="0.25">
      <c r="A67" s="70" t="s">
        <v>40</v>
      </c>
      <c r="B67" s="280">
        <v>4</v>
      </c>
      <c r="D67" s="70" t="s">
        <v>55</v>
      </c>
      <c r="E67" s="280">
        <v>2</v>
      </c>
      <c r="G67" s="70" t="s">
        <v>43</v>
      </c>
      <c r="H67" s="280">
        <v>3</v>
      </c>
    </row>
    <row r="68" spans="1:8" ht="21" x14ac:dyDescent="0.25">
      <c r="A68" s="70" t="s">
        <v>42</v>
      </c>
      <c r="B68" s="280">
        <v>2</v>
      </c>
      <c r="D68" s="70" t="s">
        <v>113</v>
      </c>
      <c r="E68" s="280">
        <v>41</v>
      </c>
      <c r="G68" s="70" t="s">
        <v>55</v>
      </c>
      <c r="H68" s="280">
        <v>2</v>
      </c>
    </row>
    <row r="69" spans="1:8" ht="21" x14ac:dyDescent="0.25">
      <c r="A69" s="70" t="s">
        <v>113</v>
      </c>
      <c r="B69" s="280">
        <v>53</v>
      </c>
      <c r="G69" s="70" t="s">
        <v>113</v>
      </c>
      <c r="H69" s="280">
        <v>31</v>
      </c>
    </row>
    <row r="73" spans="1:8" x14ac:dyDescent="0.25">
      <c r="A73" s="71" t="s">
        <v>162</v>
      </c>
      <c r="B73" s="71" t="s">
        <v>161</v>
      </c>
      <c r="D73" s="71" t="s">
        <v>162</v>
      </c>
      <c r="E73" s="71" t="s">
        <v>161</v>
      </c>
      <c r="F73" s="70"/>
    </row>
    <row r="74" spans="1:8" x14ac:dyDescent="0.25">
      <c r="A74" s="71" t="s">
        <v>112</v>
      </c>
      <c r="B74" s="70" t="s">
        <v>62</v>
      </c>
      <c r="D74" s="71" t="s">
        <v>112</v>
      </c>
      <c r="E74" s="70" t="s">
        <v>44</v>
      </c>
      <c r="F74" s="70" t="s">
        <v>71</v>
      </c>
    </row>
    <row r="75" spans="1:8" ht="21" x14ac:dyDescent="0.25">
      <c r="A75" s="70" t="s">
        <v>35</v>
      </c>
      <c r="B75" s="280">
        <v>24</v>
      </c>
      <c r="D75" s="70" t="s">
        <v>35</v>
      </c>
      <c r="E75" s="280"/>
      <c r="F75" s="280">
        <v>5</v>
      </c>
    </row>
    <row r="76" spans="1:8" ht="21" x14ac:dyDescent="0.25">
      <c r="A76" s="70" t="s">
        <v>68</v>
      </c>
      <c r="B76" s="280">
        <v>18</v>
      </c>
      <c r="D76" s="70" t="s">
        <v>38</v>
      </c>
      <c r="E76" s="280">
        <v>1</v>
      </c>
      <c r="F76" s="280">
        <v>4</v>
      </c>
    </row>
    <row r="77" spans="1:8" ht="21" x14ac:dyDescent="0.25">
      <c r="A77" s="70" t="s">
        <v>113</v>
      </c>
      <c r="B77" s="280">
        <v>42</v>
      </c>
      <c r="D77" s="70" t="s">
        <v>72</v>
      </c>
      <c r="E77" s="280"/>
      <c r="F77" s="280">
        <v>8</v>
      </c>
    </row>
    <row r="78" spans="1:8" ht="21" x14ac:dyDescent="0.25">
      <c r="D78" s="70" t="s">
        <v>113</v>
      </c>
      <c r="E78" s="280">
        <v>1</v>
      </c>
      <c r="F78" s="280">
        <v>17</v>
      </c>
    </row>
  </sheetData>
  <pageMargins left="0.7" right="0.7" top="0.75" bottom="0.75" header="0.3" footer="0.3"/>
  <pageSetup paperSize="9" scale="28" orientation="landscape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19440-C84A-40D6-92D4-A73D2D8D7F9A}">
  <sheetPr codeName="Foglio19">
    <pageSetUpPr fitToPage="1"/>
  </sheetPr>
  <dimension ref="A1:T98"/>
  <sheetViews>
    <sheetView zoomScale="59" zoomScaleNormal="80" workbookViewId="0">
      <selection activeCell="T91" sqref="T91"/>
    </sheetView>
  </sheetViews>
  <sheetFormatPr defaultColWidth="9.140625" defaultRowHeight="29.25" customHeight="1" x14ac:dyDescent="0.25"/>
  <cols>
    <col min="1" max="1" width="17.42578125" style="27" customWidth="1"/>
    <col min="2" max="2" width="27.28515625" style="19" bestFit="1" customWidth="1"/>
    <col min="3" max="3" width="17.28515625" style="19" bestFit="1" customWidth="1"/>
    <col min="4" max="4" width="17.7109375" style="141" bestFit="1" customWidth="1"/>
    <col min="5" max="5" width="10.7109375" style="3" customWidth="1"/>
    <col min="6" max="6" width="11.28515625" style="211" customWidth="1"/>
    <col min="7" max="7" width="10.7109375" style="3" customWidth="1"/>
    <col min="8" max="8" width="11.28515625" style="211" customWidth="1"/>
    <col min="9" max="9" width="10.7109375" style="3" customWidth="1"/>
    <col min="10" max="10" width="11.28515625" style="211" customWidth="1"/>
    <col min="11" max="11" width="10.7109375" style="3" customWidth="1"/>
    <col min="12" max="12" width="11.28515625" style="211" customWidth="1"/>
    <col min="13" max="13" width="20.140625" style="18" bestFit="1" customWidth="1"/>
    <col min="14" max="14" width="5.28515625" style="18" bestFit="1" customWidth="1"/>
    <col min="15" max="15" width="5.28515625" style="18" hidden="1" customWidth="1"/>
    <col min="16" max="16" width="32.7109375" style="18" bestFit="1" customWidth="1"/>
    <col min="17" max="17" width="9.140625" style="18" customWidth="1"/>
    <col min="18" max="19" width="9.140625" style="18"/>
    <col min="20" max="20" width="34.85546875" style="105" customWidth="1"/>
    <col min="21" max="16384" width="9.140625" style="18"/>
  </cols>
  <sheetData>
    <row r="1" spans="1:20" s="19" customFormat="1" ht="29.25" customHeight="1" x14ac:dyDescent="0.25">
      <c r="A1" s="6" t="s">
        <v>206</v>
      </c>
      <c r="B1" s="6"/>
      <c r="C1" s="6"/>
      <c r="D1" s="138"/>
      <c r="E1" s="393" t="s">
        <v>91</v>
      </c>
      <c r="F1" s="212"/>
      <c r="G1" s="393" t="s">
        <v>92</v>
      </c>
      <c r="H1" s="212"/>
      <c r="I1" s="393" t="s">
        <v>93</v>
      </c>
      <c r="J1" s="212"/>
      <c r="K1" s="393" t="s">
        <v>94</v>
      </c>
      <c r="L1" s="212"/>
      <c r="M1" s="530"/>
      <c r="N1" s="530"/>
      <c r="O1" s="393"/>
      <c r="P1" s="393"/>
      <c r="Q1" s="394"/>
      <c r="R1" s="415"/>
      <c r="S1" s="395"/>
      <c r="T1" s="214"/>
    </row>
    <row r="2" spans="1:20" ht="29.25" customHeight="1" x14ac:dyDescent="0.25">
      <c r="A2" s="64">
        <f>'SPUNTA ARRIVI '!A2</f>
        <v>16647</v>
      </c>
      <c r="B2" s="400"/>
      <c r="C2" s="400"/>
      <c r="D2" s="139"/>
      <c r="E2" s="304">
        <f>_xlfn.IFNA(VLOOKUP(A2,ANALISI!A:O,4,FALSE),0)</f>
        <v>67</v>
      </c>
      <c r="F2" s="305">
        <f>_xlfn.IFNA(VLOOKUP(A2,[1]Foglio1!$A:$Y,3,FALSE),0)</f>
        <v>59</v>
      </c>
      <c r="G2" s="304">
        <f>_xlfn.IFNA(VLOOKUP(A2,ANALISI!A:O,5,FALSE),0)</f>
        <v>0</v>
      </c>
      <c r="H2" s="305">
        <f>_xlfn.IFNA(VLOOKUP(A2,[1]Foglio1!$A:$Y,6,FALSE),0)</f>
        <v>2</v>
      </c>
      <c r="I2" s="304">
        <f>_xlfn.IFNA(VLOOKUP(A2,ANALISI!A:O,8,FALSE),0)</f>
        <v>3</v>
      </c>
      <c r="J2" s="305">
        <f>_xlfn.IFNA(VLOOKUP(A2,[1]Foglio1!$A:$Y,4,FALSE),0)</f>
        <v>9</v>
      </c>
      <c r="K2" s="304">
        <f>_xlfn.IFNA(VLOOKUP(A2,ANALISI!A:O,11,FALSE),0)</f>
        <v>0</v>
      </c>
      <c r="L2" s="305">
        <f>_xlfn.IFNA(VLOOKUP(A2,[1]Foglio1!$A:$Y,5,FALSE),0)</f>
        <v>0</v>
      </c>
      <c r="M2" s="401"/>
      <c r="N2" s="409"/>
      <c r="O2" s="402"/>
      <c r="P2" s="304"/>
      <c r="Q2" s="191"/>
      <c r="R2" s="191"/>
      <c r="S2" s="191"/>
      <c r="T2" s="403" t="str">
        <f>_xlfn.IFNA(VLOOKUP(A2,[1]Foglio1!$A:$K,10,FALSE),"")</f>
        <v/>
      </c>
    </row>
    <row r="3" spans="1:20" ht="29.25" customHeight="1" x14ac:dyDescent="0.25">
      <c r="A3" s="64">
        <f>'SPUNTA ARRIVI '!A3</f>
        <v>3503</v>
      </c>
      <c r="B3" s="400"/>
      <c r="C3" s="400"/>
      <c r="D3" s="139"/>
      <c r="E3" s="304">
        <f>_xlfn.IFNA(VLOOKUP(A3,ANALISI!A:O,4,FALSE),0)</f>
        <v>430</v>
      </c>
      <c r="F3" s="305">
        <f>_xlfn.IFNA(VLOOKUP(A3,[1]Foglio1!$A:$Y,3,FALSE),0)</f>
        <v>338</v>
      </c>
      <c r="G3" s="304">
        <f>_xlfn.IFNA(VLOOKUP(A3,ANALISI!A:O,5,FALSE),0)</f>
        <v>16</v>
      </c>
      <c r="H3" s="305">
        <f>_xlfn.IFNA(VLOOKUP(A3,[1]Foglio1!$A:$Y,6,FALSE),0)</f>
        <v>6</v>
      </c>
      <c r="I3" s="304">
        <f>_xlfn.IFNA(VLOOKUP(A3,ANALISI!A:O,8,FALSE),0)</f>
        <v>40</v>
      </c>
      <c r="J3" s="305">
        <f>_xlfn.IFNA(VLOOKUP(A3,[1]Foglio1!$A:$Y,4,FALSE),0)</f>
        <v>25</v>
      </c>
      <c r="K3" s="304">
        <f>_xlfn.IFNA(VLOOKUP(A3,ANALISI!A:O,11,FALSE),0)</f>
        <v>0</v>
      </c>
      <c r="L3" s="305">
        <f>_xlfn.IFNA(VLOOKUP(A3,[1]Foglio1!$A:$Y,5,FALSE),0)</f>
        <v>0</v>
      </c>
      <c r="M3" s="401"/>
      <c r="N3" s="410"/>
      <c r="O3" s="404"/>
      <c r="P3" s="397"/>
      <c r="Q3" s="191"/>
      <c r="R3" s="191"/>
      <c r="S3" s="191"/>
      <c r="T3" s="403" t="str">
        <f>_xlfn.IFNA(VLOOKUP(A3,[1]Foglio1!$A:$K,10,FALSE),"")</f>
        <v/>
      </c>
    </row>
    <row r="4" spans="1:20" ht="29.25" customHeight="1" x14ac:dyDescent="0.25">
      <c r="A4" s="64">
        <f>'SPUNTA ARRIVI '!A4</f>
        <v>16351</v>
      </c>
      <c r="B4" s="400"/>
      <c r="C4" s="400"/>
      <c r="D4" s="139"/>
      <c r="E4" s="304">
        <f>_xlfn.IFNA(VLOOKUP(A4,ANALISI!A:O,4,FALSE),0)</f>
        <v>137</v>
      </c>
      <c r="F4" s="305">
        <f>_xlfn.IFNA(VLOOKUP(A4,[1]Foglio1!$A:$Y,3,FALSE),0)</f>
        <v>94</v>
      </c>
      <c r="G4" s="304">
        <f>_xlfn.IFNA(VLOOKUP(A4,ANALISI!A:O,5,FALSE),0)</f>
        <v>0</v>
      </c>
      <c r="H4" s="305">
        <f>_xlfn.IFNA(VLOOKUP(A4,[1]Foglio1!$A:$Y,6,FALSE),0)</f>
        <v>7</v>
      </c>
      <c r="I4" s="304">
        <f>_xlfn.IFNA(VLOOKUP(A4,ANALISI!A:O,8,FALSE),0)</f>
        <v>9</v>
      </c>
      <c r="J4" s="305">
        <f>_xlfn.IFNA(VLOOKUP(A4,[1]Foglio1!$A:$Y,4,FALSE),0)</f>
        <v>12</v>
      </c>
      <c r="K4" s="304">
        <f>_xlfn.IFNA(VLOOKUP(A4,ANALISI!A:O,11,FALSE),0)</f>
        <v>1</v>
      </c>
      <c r="L4" s="305">
        <f>_xlfn.IFNA(VLOOKUP(A4,[1]Foglio1!$A:$Y,5,FALSE),0)</f>
        <v>2</v>
      </c>
      <c r="M4" s="401"/>
      <c r="N4" s="410"/>
      <c r="O4" s="404"/>
      <c r="P4" s="304"/>
      <c r="Q4" s="191"/>
      <c r="R4" s="191"/>
      <c r="S4" s="191"/>
      <c r="T4" s="403" t="str">
        <f>_xlfn.IFNA(VLOOKUP(A4,[1]Foglio1!$A:$K,10,FALSE),"")</f>
        <v/>
      </c>
    </row>
    <row r="5" spans="1:20" ht="29.25" customHeight="1" x14ac:dyDescent="0.25">
      <c r="A5" s="64">
        <f>'SPUNTA ARRIVI '!A5</f>
        <v>16564</v>
      </c>
      <c r="B5" s="400"/>
      <c r="C5" s="400"/>
      <c r="D5" s="139"/>
      <c r="E5" s="304">
        <f>_xlfn.IFNA(VLOOKUP(A5,ANALISI!A:O,4,FALSE),0)</f>
        <v>148</v>
      </c>
      <c r="F5" s="305">
        <f>_xlfn.IFNA(VLOOKUP(A5,[1]Foglio1!$A:$Y,3,FALSE),0)</f>
        <v>96</v>
      </c>
      <c r="G5" s="304">
        <f>_xlfn.IFNA(VLOOKUP(A5,ANALISI!A:O,5,FALSE),0)</f>
        <v>0</v>
      </c>
      <c r="H5" s="305">
        <f>_xlfn.IFNA(VLOOKUP(A5,[1]Foglio1!$A:$Y,6,FALSE),0)</f>
        <v>0</v>
      </c>
      <c r="I5" s="304">
        <f>_xlfn.IFNA(VLOOKUP(A5,ANALISI!A:O,8,FALSE),0)</f>
        <v>10</v>
      </c>
      <c r="J5" s="305">
        <f>_xlfn.IFNA(VLOOKUP(A5,[1]Foglio1!$A:$Y,4,FALSE),0)</f>
        <v>5</v>
      </c>
      <c r="K5" s="304">
        <f>_xlfn.IFNA(VLOOKUP(A5,ANALISI!A:O,11,FALSE),0)</f>
        <v>0</v>
      </c>
      <c r="L5" s="305">
        <f>_xlfn.IFNA(VLOOKUP(A5,[1]Foglio1!$A:$Y,5,FALSE),0)</f>
        <v>0</v>
      </c>
      <c r="M5" s="401"/>
      <c r="N5" s="410"/>
      <c r="O5" s="404"/>
      <c r="P5" s="304"/>
      <c r="Q5" s="191"/>
      <c r="R5" s="191"/>
      <c r="S5" s="191"/>
      <c r="T5" s="403" t="str">
        <f>_xlfn.IFNA(VLOOKUP(A5,[1]Foglio1!$A:$K,10,FALSE),"")</f>
        <v/>
      </c>
    </row>
    <row r="6" spans="1:20" ht="29.25" customHeight="1" x14ac:dyDescent="0.25">
      <c r="A6" s="64">
        <f>'SPUNTA ARRIVI '!A6</f>
        <v>0</v>
      </c>
      <c r="B6" s="8"/>
      <c r="C6" s="8"/>
      <c r="D6" s="139"/>
      <c r="E6" s="304">
        <f>_xlfn.IFNA(VLOOKUP(A6,ANALISI!A:O,4,FALSE),0)</f>
        <v>0</v>
      </c>
      <c r="F6" s="305">
        <f>_xlfn.IFNA(VLOOKUP(A6,[1]Foglio1!$A:$Y,3,FALSE),0)</f>
        <v>0</v>
      </c>
      <c r="G6" s="304">
        <f>_xlfn.IFNA(VLOOKUP(A6,ANALISI!A:O,5,FALSE),0)</f>
        <v>0</v>
      </c>
      <c r="H6" s="305">
        <f>_xlfn.IFNA(VLOOKUP(A6,[1]Foglio1!$A:$Y,6,FALSE),0)</f>
        <v>0</v>
      </c>
      <c r="I6" s="304">
        <f>_xlfn.IFNA(VLOOKUP(A6,ANALISI!A:O,8,FALSE),0)</f>
        <v>0</v>
      </c>
      <c r="J6" s="305">
        <f>_xlfn.IFNA(VLOOKUP(A6,[1]Foglio1!$A:$Y,4,FALSE),0)</f>
        <v>0</v>
      </c>
      <c r="K6" s="304">
        <f>_xlfn.IFNA(VLOOKUP(A6,ANALISI!A:O,11,FALSE),0)</f>
        <v>0</v>
      </c>
      <c r="L6" s="305">
        <f>_xlfn.IFNA(VLOOKUP(A6,[1]Foglio1!$A:$Y,5,FALSE),0)</f>
        <v>0</v>
      </c>
      <c r="M6" s="401"/>
      <c r="N6" s="410"/>
      <c r="O6" s="404"/>
      <c r="P6" s="304"/>
      <c r="Q6" s="191"/>
      <c r="R6" s="191"/>
      <c r="S6" s="191"/>
      <c r="T6" s="403" t="str">
        <f>_xlfn.IFNA(VLOOKUP(A6,[1]Foglio1!$A:$K,10,FALSE),"")</f>
        <v/>
      </c>
    </row>
    <row r="7" spans="1:20" ht="29.25" customHeight="1" x14ac:dyDescent="0.25">
      <c r="A7" s="64" t="str">
        <f>'SPUNTA ARRIVI '!A7</f>
        <v>Store ID</v>
      </c>
      <c r="B7" s="8"/>
      <c r="C7" s="20"/>
      <c r="D7" s="139"/>
      <c r="E7" s="304">
        <f>_xlfn.IFNA(VLOOKUP(A7,ANALISI!A:O,4,FALSE),0)</f>
        <v>0</v>
      </c>
      <c r="F7" s="305">
        <f>_xlfn.IFNA(VLOOKUP(A7,[1]Foglio1!$A:$Y,3,FALSE),0)</f>
        <v>0</v>
      </c>
      <c r="G7" s="304">
        <f>_xlfn.IFNA(VLOOKUP(A7,ANALISI!A:O,5,FALSE),0)</f>
        <v>0</v>
      </c>
      <c r="H7" s="305">
        <f>_xlfn.IFNA(VLOOKUP(A7,[1]Foglio1!$A:$Y,6,FALSE),0)</f>
        <v>0</v>
      </c>
      <c r="I7" s="304">
        <f>_xlfn.IFNA(VLOOKUP(A7,ANALISI!A:O,8,FALSE),0)</f>
        <v>0</v>
      </c>
      <c r="J7" s="305">
        <f>_xlfn.IFNA(VLOOKUP(A7,[1]Foglio1!$A:$Y,4,FALSE),0)</f>
        <v>0</v>
      </c>
      <c r="K7" s="304">
        <f>_xlfn.IFNA(VLOOKUP(A7,ANALISI!A:O,11,FALSE),0)</f>
        <v>0</v>
      </c>
      <c r="L7" s="305">
        <f>_xlfn.IFNA(VLOOKUP(A7,[1]Foglio1!$A:$Y,5,FALSE),0)</f>
        <v>0</v>
      </c>
      <c r="M7" s="401"/>
      <c r="N7" s="410"/>
      <c r="O7" s="404"/>
      <c r="P7" s="304"/>
      <c r="Q7" s="191"/>
      <c r="R7" s="191"/>
      <c r="S7" s="191"/>
      <c r="T7" s="403" t="str">
        <f>_xlfn.IFNA(VLOOKUP(A7,[1]Foglio1!$A:$K,10,FALSE),"")</f>
        <v/>
      </c>
    </row>
    <row r="8" spans="1:20" ht="29.25" customHeight="1" x14ac:dyDescent="0.25">
      <c r="A8" s="64">
        <f>'SPUNTA ARRIVI '!A8</f>
        <v>5641</v>
      </c>
      <c r="B8" s="8"/>
      <c r="C8" s="20"/>
      <c r="D8" s="139"/>
      <c r="E8" s="304">
        <f>_xlfn.IFNA(VLOOKUP(A8,ANALISI!A:O,4,FALSE),0)</f>
        <v>111</v>
      </c>
      <c r="F8" s="305">
        <f>_xlfn.IFNA(VLOOKUP(A8,[1]Foglio1!$A:$Y,3,FALSE),0)</f>
        <v>85</v>
      </c>
      <c r="G8" s="304">
        <f>_xlfn.IFNA(VLOOKUP(A8,ANALISI!A:O,5,FALSE),0)</f>
        <v>0</v>
      </c>
      <c r="H8" s="305">
        <f>_xlfn.IFNA(VLOOKUP(A8,[1]Foglio1!$A:$Y,6,FALSE),0)</f>
        <v>0</v>
      </c>
      <c r="I8" s="304">
        <f>_xlfn.IFNA(VLOOKUP(A8,ANALISI!A:O,8,FALSE),0)</f>
        <v>5</v>
      </c>
      <c r="J8" s="305">
        <f>_xlfn.IFNA(VLOOKUP(A8,[1]Foglio1!$A:$Y,4,FALSE),0)</f>
        <v>7</v>
      </c>
      <c r="K8" s="304">
        <f>_xlfn.IFNA(VLOOKUP(A8,ANALISI!A:O,11,FALSE),0)</f>
        <v>1</v>
      </c>
      <c r="L8" s="305">
        <f>_xlfn.IFNA(VLOOKUP(A8,[1]Foglio1!$A:$Y,5,FALSE),0)</f>
        <v>2</v>
      </c>
      <c r="M8" s="401"/>
      <c r="N8" s="410"/>
      <c r="O8" s="404"/>
      <c r="P8" s="304"/>
      <c r="Q8" s="191"/>
      <c r="R8" s="191"/>
      <c r="S8" s="191"/>
      <c r="T8" s="403" t="str">
        <f>_xlfn.IFNA(VLOOKUP(A8,[1]Foglio1!$A:$K,10,FALSE),"")</f>
        <v/>
      </c>
    </row>
    <row r="9" spans="1:20" ht="29.25" customHeight="1" x14ac:dyDescent="0.25">
      <c r="A9" s="64">
        <f>'SPUNTA ARRIVI '!A9</f>
        <v>5405</v>
      </c>
      <c r="B9" s="8"/>
      <c r="C9" s="20"/>
      <c r="D9" s="139"/>
      <c r="E9" s="304">
        <f>_xlfn.IFNA(VLOOKUP(A9,ANALISI!A:O,4,FALSE),0)</f>
        <v>120</v>
      </c>
      <c r="F9" s="305">
        <f>_xlfn.IFNA(VLOOKUP(A9,[1]Foglio1!$A:$Y,3,FALSE),0)</f>
        <v>92</v>
      </c>
      <c r="G9" s="304">
        <f>_xlfn.IFNA(VLOOKUP(A9,ANALISI!A:O,5,FALSE),0)</f>
        <v>0</v>
      </c>
      <c r="H9" s="305">
        <f>_xlfn.IFNA(VLOOKUP(A9,[1]Foglio1!$A:$Y,6,FALSE),0)</f>
        <v>0</v>
      </c>
      <c r="I9" s="304">
        <f>_xlfn.IFNA(VLOOKUP(A9,ANALISI!A:O,8,FALSE),0)</f>
        <v>4</v>
      </c>
      <c r="J9" s="305">
        <f>_xlfn.IFNA(VLOOKUP(A9,[1]Foglio1!$A:$Y,4,FALSE),0)</f>
        <v>7</v>
      </c>
      <c r="K9" s="304">
        <f>_xlfn.IFNA(VLOOKUP(A9,ANALISI!A:O,11,FALSE),0)</f>
        <v>2</v>
      </c>
      <c r="L9" s="305">
        <f>_xlfn.IFNA(VLOOKUP(A9,[1]Foglio1!$A:$Y,5,FALSE),0)</f>
        <v>1</v>
      </c>
      <c r="M9" s="401"/>
      <c r="N9" s="404"/>
      <c r="O9" s="404"/>
      <c r="P9" s="304"/>
      <c r="Q9" s="191"/>
      <c r="R9" s="191"/>
      <c r="S9" s="191"/>
      <c r="T9" s="403" t="str">
        <f>_xlfn.IFNA(VLOOKUP(A9,[1]Foglio1!$A:$K,10,FALSE),"")</f>
        <v/>
      </c>
    </row>
    <row r="10" spans="1:20" ht="29.25" customHeight="1" x14ac:dyDescent="0.25">
      <c r="A10" s="64">
        <f>'SPUNTA ARRIVI '!A10</f>
        <v>2972</v>
      </c>
      <c r="B10" s="405"/>
      <c r="C10" s="405"/>
      <c r="D10" s="405"/>
      <c r="E10" s="304">
        <f>_xlfn.IFNA(VLOOKUP(A10,ANALISI!A:O,4,FALSE),0)</f>
        <v>73</v>
      </c>
      <c r="F10" s="305">
        <f>_xlfn.IFNA(VLOOKUP(A10,[1]Foglio1!$A:$Y,3,FALSE),0)</f>
        <v>60</v>
      </c>
      <c r="G10" s="304">
        <f>_xlfn.IFNA(VLOOKUP(A10,ANALISI!A:O,5,FALSE),0)</f>
        <v>0</v>
      </c>
      <c r="H10" s="305">
        <f>_xlfn.IFNA(VLOOKUP(A10,[1]Foglio1!$A:$Y,6,FALSE),0)</f>
        <v>0</v>
      </c>
      <c r="I10" s="304">
        <f>_xlfn.IFNA(VLOOKUP(A10,ANALISI!A:O,8,FALSE),0)</f>
        <v>4</v>
      </c>
      <c r="J10" s="305">
        <f>_xlfn.IFNA(VLOOKUP(A10,[1]Foglio1!$A:$Y,4,FALSE),0)</f>
        <v>10</v>
      </c>
      <c r="K10" s="304">
        <f>_xlfn.IFNA(VLOOKUP(A10,ANALISI!A:O,11,FALSE),0)</f>
        <v>0</v>
      </c>
      <c r="L10" s="305">
        <f>_xlfn.IFNA(VLOOKUP(A10,[1]Foglio1!$A:$Y,5,FALSE),0)</f>
        <v>0</v>
      </c>
      <c r="M10" s="405"/>
      <c r="N10" s="405"/>
      <c r="O10" s="405"/>
      <c r="P10" s="405"/>
      <c r="Q10" s="191"/>
      <c r="R10" s="191"/>
      <c r="S10" s="191"/>
      <c r="T10" s="403" t="str">
        <f>_xlfn.IFNA(VLOOKUP(A10,[1]Foglio1!$A:$K,10,FALSE),"")</f>
        <v/>
      </c>
    </row>
    <row r="11" spans="1:20" ht="29.25" customHeight="1" x14ac:dyDescent="0.25">
      <c r="A11" s="64">
        <f>'SPUNTA ARRIVI '!A11</f>
        <v>12271</v>
      </c>
      <c r="B11" s="406"/>
      <c r="C11" s="406"/>
      <c r="D11" s="407"/>
      <c r="E11" s="304">
        <f>_xlfn.IFNA(VLOOKUP(A11,ANALISI!A:O,4,FALSE),0)</f>
        <v>220</v>
      </c>
      <c r="F11" s="305">
        <f>_xlfn.IFNA(VLOOKUP(A11,[1]Foglio1!$A:$Y,3,FALSE),0)</f>
        <v>183</v>
      </c>
      <c r="G11" s="304">
        <f>_xlfn.IFNA(VLOOKUP(A11,ANALISI!A:O,5,FALSE),0)</f>
        <v>10</v>
      </c>
      <c r="H11" s="305">
        <f>_xlfn.IFNA(VLOOKUP(A11,[1]Foglio1!$A:$Y,6,FALSE),0)</f>
        <v>0</v>
      </c>
      <c r="I11" s="304">
        <f>_xlfn.IFNA(VLOOKUP(A11,ANALISI!A:O,8,FALSE),0)</f>
        <v>13</v>
      </c>
      <c r="J11" s="305">
        <f>_xlfn.IFNA(VLOOKUP(A11,[1]Foglio1!$A:$Y,4,FALSE),0)</f>
        <v>10</v>
      </c>
      <c r="K11" s="304">
        <f>_xlfn.IFNA(VLOOKUP(A11,ANALISI!A:O,11,FALSE),0)</f>
        <v>0</v>
      </c>
      <c r="L11" s="305">
        <f>_xlfn.IFNA(VLOOKUP(A11,[1]Foglio1!$A:$Y,5,FALSE),0)</f>
        <v>0</v>
      </c>
      <c r="M11" s="416"/>
      <c r="N11" s="416"/>
      <c r="O11" s="408"/>
      <c r="P11" s="408"/>
      <c r="Q11" s="191"/>
      <c r="R11" s="191"/>
      <c r="S11" s="191"/>
      <c r="T11" s="403" t="str">
        <f>_xlfn.IFNA(VLOOKUP(A11,[1]Foglio1!$A:$K,10,FALSE),"")</f>
        <v/>
      </c>
    </row>
    <row r="12" spans="1:20" ht="29.25" customHeight="1" x14ac:dyDescent="0.25">
      <c r="A12" s="64">
        <f>'SPUNTA ARRIVI '!A12</f>
        <v>12152</v>
      </c>
      <c r="B12" s="400"/>
      <c r="C12" s="400"/>
      <c r="D12" s="139"/>
      <c r="E12" s="304">
        <f>_xlfn.IFNA(VLOOKUP(A12,ANALISI!A:O,4,FALSE),0)</f>
        <v>63</v>
      </c>
      <c r="F12" s="305">
        <f>_xlfn.IFNA(VLOOKUP(A12,[1]Foglio1!$A:$Y,3,FALSE),0)</f>
        <v>44</v>
      </c>
      <c r="G12" s="304">
        <f>_xlfn.IFNA(VLOOKUP(A12,ANALISI!A:O,5,FALSE),0)</f>
        <v>0</v>
      </c>
      <c r="H12" s="305">
        <f>_xlfn.IFNA(VLOOKUP(A12,[1]Foglio1!$A:$Y,6,FALSE),0)</f>
        <v>0</v>
      </c>
      <c r="I12" s="304">
        <f>_xlfn.IFNA(VLOOKUP(A12,ANALISI!A:O,8,FALSE),0)</f>
        <v>3</v>
      </c>
      <c r="J12" s="305">
        <f>_xlfn.IFNA(VLOOKUP(A12,[1]Foglio1!$A:$Y,4,FALSE),0)</f>
        <v>6</v>
      </c>
      <c r="K12" s="304">
        <f>_xlfn.IFNA(VLOOKUP(A12,ANALISI!A:O,11,FALSE),0)</f>
        <v>1</v>
      </c>
      <c r="L12" s="305">
        <f>_xlfn.IFNA(VLOOKUP(A12,[1]Foglio1!$A:$Y,5,FALSE),0)</f>
        <v>3</v>
      </c>
      <c r="M12" s="401"/>
      <c r="N12" s="409"/>
      <c r="O12" s="402"/>
      <c r="P12" s="398"/>
      <c r="Q12" s="191"/>
      <c r="R12" s="191"/>
      <c r="S12" s="191"/>
      <c r="T12" s="403" t="str">
        <f>_xlfn.IFNA(VLOOKUP(A12,[1]Foglio1!$A:$K,10,FALSE),"")</f>
        <v/>
      </c>
    </row>
    <row r="13" spans="1:20" ht="29.25" customHeight="1" x14ac:dyDescent="0.25">
      <c r="A13" s="64">
        <f>'SPUNTA ARRIVI '!A13</f>
        <v>8601</v>
      </c>
      <c r="B13" s="400"/>
      <c r="C13" s="400"/>
      <c r="D13" s="139"/>
      <c r="E13" s="304">
        <f>_xlfn.IFNA(VLOOKUP(A13,ANALISI!A:O,4,FALSE),0)</f>
        <v>66</v>
      </c>
      <c r="F13" s="305">
        <f>_xlfn.IFNA(VLOOKUP(A13,[1]Foglio1!$A:$Y,3,FALSE),0)</f>
        <v>50</v>
      </c>
      <c r="G13" s="304">
        <f>_xlfn.IFNA(VLOOKUP(A13,ANALISI!A:O,5,FALSE),0)</f>
        <v>0</v>
      </c>
      <c r="H13" s="305">
        <f>_xlfn.IFNA(VLOOKUP(A13,[1]Foglio1!$A:$Y,6,FALSE),0)</f>
        <v>8</v>
      </c>
      <c r="I13" s="304">
        <f>_xlfn.IFNA(VLOOKUP(A13,ANALISI!A:O,8,FALSE),0)</f>
        <v>6</v>
      </c>
      <c r="J13" s="305">
        <f>_xlfn.IFNA(VLOOKUP(A13,[1]Foglio1!$A:$Y,4,FALSE),0)</f>
        <v>6</v>
      </c>
      <c r="K13" s="304">
        <f>_xlfn.IFNA(VLOOKUP(A13,ANALISI!A:O,11,FALSE),0)</f>
        <v>2</v>
      </c>
      <c r="L13" s="305">
        <f>_xlfn.IFNA(VLOOKUP(A13,[1]Foglio1!$A:$Y,5,FALSE),0)</f>
        <v>3</v>
      </c>
      <c r="M13" s="401"/>
      <c r="N13" s="410"/>
      <c r="O13" s="404"/>
      <c r="P13" s="399"/>
      <c r="Q13" s="191"/>
      <c r="R13" s="191"/>
      <c r="S13" s="191"/>
      <c r="T13" s="403" t="str">
        <f>_xlfn.IFNA(VLOOKUP(A13,[1]Foglio1!$A:$K,10,FALSE),"")</f>
        <v/>
      </c>
    </row>
    <row r="14" spans="1:20" ht="29.25" customHeight="1" x14ac:dyDescent="0.25">
      <c r="A14" s="64">
        <f>'SPUNTA ARRIVI '!A14</f>
        <v>0</v>
      </c>
      <c r="B14" s="405"/>
      <c r="C14" s="405"/>
      <c r="D14" s="405"/>
      <c r="E14" s="304">
        <f>_xlfn.IFNA(VLOOKUP(A14,ANALISI!A:O,4,FALSE),0)</f>
        <v>0</v>
      </c>
      <c r="F14" s="305">
        <f>_xlfn.IFNA(VLOOKUP(A14,[1]Foglio1!$A:$Y,3,FALSE),0)</f>
        <v>0</v>
      </c>
      <c r="G14" s="304">
        <f>_xlfn.IFNA(VLOOKUP(A14,ANALISI!A:O,5,FALSE),0)</f>
        <v>0</v>
      </c>
      <c r="H14" s="305">
        <f>_xlfn.IFNA(VLOOKUP(A14,[1]Foglio1!$A:$Y,6,FALSE),0)</f>
        <v>0</v>
      </c>
      <c r="I14" s="304">
        <f>_xlfn.IFNA(VLOOKUP(A14,ANALISI!A:O,8,FALSE),0)</f>
        <v>0</v>
      </c>
      <c r="J14" s="305">
        <f>_xlfn.IFNA(VLOOKUP(A14,[1]Foglio1!$A:$Y,4,FALSE),0)</f>
        <v>0</v>
      </c>
      <c r="K14" s="304">
        <f>_xlfn.IFNA(VLOOKUP(A14,ANALISI!A:O,11,FALSE),0)</f>
        <v>0</v>
      </c>
      <c r="L14" s="305">
        <f>_xlfn.IFNA(VLOOKUP(A14,[1]Foglio1!$A:$Y,5,FALSE),0)</f>
        <v>0</v>
      </c>
      <c r="M14" s="405"/>
      <c r="N14" s="405"/>
      <c r="O14" s="529"/>
      <c r="P14" s="529"/>
      <c r="Q14" s="191"/>
      <c r="R14" s="191"/>
      <c r="S14" s="191"/>
      <c r="T14" s="403" t="str">
        <f>_xlfn.IFNA(VLOOKUP(A14,[1]Foglio1!$A:$K,10,FALSE),"")</f>
        <v/>
      </c>
    </row>
    <row r="15" spans="1:20" ht="29.25" customHeight="1" x14ac:dyDescent="0.25">
      <c r="A15" s="64" t="str">
        <f>'SPUNTA ARRIVI '!A15</f>
        <v>Store ID</v>
      </c>
      <c r="B15" s="406"/>
      <c r="C15" s="406"/>
      <c r="D15" s="407"/>
      <c r="E15" s="304">
        <f>_xlfn.IFNA(VLOOKUP(A15,ANALISI!A:O,4,FALSE),0)</f>
        <v>0</v>
      </c>
      <c r="F15" s="305">
        <f>_xlfn.IFNA(VLOOKUP(A15,[1]Foglio1!$A:$Y,3,FALSE),0)</f>
        <v>0</v>
      </c>
      <c r="G15" s="304">
        <f>_xlfn.IFNA(VLOOKUP(A15,ANALISI!A:O,5,FALSE),0)</f>
        <v>0</v>
      </c>
      <c r="H15" s="305">
        <f>_xlfn.IFNA(VLOOKUP(A15,[1]Foglio1!$A:$Y,6,FALSE),0)</f>
        <v>0</v>
      </c>
      <c r="I15" s="304">
        <f>_xlfn.IFNA(VLOOKUP(A15,ANALISI!A:O,8,FALSE),0)</f>
        <v>0</v>
      </c>
      <c r="J15" s="305">
        <f>_xlfn.IFNA(VLOOKUP(A15,[1]Foglio1!$A:$Y,4,FALSE),0)</f>
        <v>0</v>
      </c>
      <c r="K15" s="304">
        <f>_xlfn.IFNA(VLOOKUP(A15,ANALISI!A:O,11,FALSE),0)</f>
        <v>0</v>
      </c>
      <c r="L15" s="305">
        <f>_xlfn.IFNA(VLOOKUP(A15,[1]Foglio1!$A:$Y,5,FALSE),0)</f>
        <v>0</v>
      </c>
      <c r="M15" s="416"/>
      <c r="N15" s="416"/>
      <c r="O15" s="408"/>
      <c r="P15" s="408"/>
      <c r="Q15" s="191"/>
      <c r="R15" s="191"/>
      <c r="S15" s="191"/>
      <c r="T15" s="403" t="str">
        <f>_xlfn.IFNA(VLOOKUP(A15,[1]Foglio1!$A:$K,10,FALSE),"")</f>
        <v/>
      </c>
    </row>
    <row r="16" spans="1:20" ht="29.25" customHeight="1" x14ac:dyDescent="0.25">
      <c r="A16" s="64">
        <f>'SPUNTA ARRIVI '!A16</f>
        <v>11796</v>
      </c>
      <c r="B16" s="400"/>
      <c r="C16" s="400"/>
      <c r="D16" s="139"/>
      <c r="E16" s="304">
        <f>_xlfn.IFNA(VLOOKUP(A16,ANALISI!A:O,4,FALSE),0)</f>
        <v>42</v>
      </c>
      <c r="F16" s="305">
        <f>_xlfn.IFNA(VLOOKUP(A16,[1]Foglio1!$A:$Y,3,FALSE),0)</f>
        <v>29</v>
      </c>
      <c r="G16" s="304">
        <f>_xlfn.IFNA(VLOOKUP(A16,ANALISI!A:O,5,FALSE),0)</f>
        <v>0</v>
      </c>
      <c r="H16" s="305">
        <f>_xlfn.IFNA(VLOOKUP(A16,[1]Foglio1!$A:$Y,6,FALSE),0)</f>
        <v>0</v>
      </c>
      <c r="I16" s="304">
        <f>_xlfn.IFNA(VLOOKUP(A16,ANALISI!A:O,8,FALSE),0)</f>
        <v>2</v>
      </c>
      <c r="J16" s="305">
        <f>_xlfn.IFNA(VLOOKUP(A16,[1]Foglio1!$A:$Y,4,FALSE),0)</f>
        <v>4</v>
      </c>
      <c r="K16" s="304">
        <f>_xlfn.IFNA(VLOOKUP(A16,ANALISI!A:O,11,FALSE),0)</f>
        <v>2</v>
      </c>
      <c r="L16" s="305">
        <f>_xlfn.IFNA(VLOOKUP(A16,[1]Foglio1!$A:$Y,5,FALSE),0)</f>
        <v>2</v>
      </c>
      <c r="M16" s="401"/>
      <c r="N16" s="409"/>
      <c r="O16" s="402"/>
      <c r="P16" s="304"/>
      <c r="Q16" s="191"/>
      <c r="R16" s="191"/>
      <c r="S16" s="191"/>
      <c r="T16" s="403" t="str">
        <f>_xlfn.IFNA(VLOOKUP(A16,[1]Foglio1!$A:$K,10,FALSE),"")</f>
        <v/>
      </c>
    </row>
    <row r="17" spans="1:20" ht="29.25" customHeight="1" x14ac:dyDescent="0.25">
      <c r="A17" s="64">
        <f>'SPUNTA ARRIVI '!A17</f>
        <v>10265</v>
      </c>
      <c r="B17" s="400"/>
      <c r="C17" s="400"/>
      <c r="D17" s="139"/>
      <c r="E17" s="304">
        <f>_xlfn.IFNA(VLOOKUP(A17,ANALISI!A:O,4,FALSE),0)</f>
        <v>48</v>
      </c>
      <c r="F17" s="305">
        <f>_xlfn.IFNA(VLOOKUP(A17,[1]Foglio1!$A:$Y,3,FALSE),0)</f>
        <v>38</v>
      </c>
      <c r="G17" s="304">
        <f>_xlfn.IFNA(VLOOKUP(A17,ANALISI!A:O,5,FALSE),0)</f>
        <v>0</v>
      </c>
      <c r="H17" s="305">
        <f>_xlfn.IFNA(VLOOKUP(A17,[1]Foglio1!$A:$Y,6,FALSE),0)</f>
        <v>1</v>
      </c>
      <c r="I17" s="304">
        <f>_xlfn.IFNA(VLOOKUP(A17,ANALISI!A:O,8,FALSE),0)</f>
        <v>2</v>
      </c>
      <c r="J17" s="305">
        <f>_xlfn.IFNA(VLOOKUP(A17,[1]Foglio1!$A:$Y,4,FALSE),0)</f>
        <v>8</v>
      </c>
      <c r="K17" s="304">
        <f>_xlfn.IFNA(VLOOKUP(A17,ANALISI!A:O,11,FALSE),0)</f>
        <v>0</v>
      </c>
      <c r="L17" s="305">
        <f>_xlfn.IFNA(VLOOKUP(A17,[1]Foglio1!$A:$Y,5,FALSE),0)</f>
        <v>0</v>
      </c>
      <c r="M17" s="401"/>
      <c r="N17" s="409"/>
      <c r="O17" s="402"/>
      <c r="P17" s="397"/>
      <c r="Q17" s="191"/>
      <c r="R17" s="191"/>
      <c r="S17" s="191"/>
      <c r="T17" s="403" t="str">
        <f>_xlfn.IFNA(VLOOKUP(A17,[1]Foglio1!$A:$K,10,FALSE),"")</f>
        <v/>
      </c>
    </row>
    <row r="18" spans="1:20" ht="29.25" customHeight="1" x14ac:dyDescent="0.25">
      <c r="A18" s="64">
        <f>'SPUNTA ARRIVI '!A18</f>
        <v>0</v>
      </c>
      <c r="B18" s="400"/>
      <c r="C18" s="400"/>
      <c r="D18" s="139"/>
      <c r="E18" s="304">
        <f>_xlfn.IFNA(VLOOKUP(A18,ANALISI!A:O,4,FALSE),0)</f>
        <v>0</v>
      </c>
      <c r="F18" s="305">
        <f>_xlfn.IFNA(VLOOKUP(A18,[1]Foglio1!$A:$Y,3,FALSE),0)</f>
        <v>0</v>
      </c>
      <c r="G18" s="304">
        <f>_xlfn.IFNA(VLOOKUP(A18,ANALISI!A:O,5,FALSE),0)</f>
        <v>0</v>
      </c>
      <c r="H18" s="305">
        <f>_xlfn.IFNA(VLOOKUP(A18,[1]Foglio1!$A:$Y,6,FALSE),0)</f>
        <v>0</v>
      </c>
      <c r="I18" s="304">
        <f>_xlfn.IFNA(VLOOKUP(A18,ANALISI!A:O,8,FALSE),0)</f>
        <v>0</v>
      </c>
      <c r="J18" s="305">
        <f>_xlfn.IFNA(VLOOKUP(A18,[1]Foglio1!$A:$Y,4,FALSE),0)</f>
        <v>0</v>
      </c>
      <c r="K18" s="304">
        <f>_xlfn.IFNA(VLOOKUP(A18,ANALISI!A:O,11,FALSE),0)</f>
        <v>0</v>
      </c>
      <c r="L18" s="305">
        <f>_xlfn.IFNA(VLOOKUP(A18,[1]Foglio1!$A:$Y,5,FALSE),0)</f>
        <v>0</v>
      </c>
      <c r="M18" s="401"/>
      <c r="N18" s="409"/>
      <c r="O18" s="402"/>
      <c r="P18" s="191"/>
      <c r="Q18" s="191"/>
      <c r="R18" s="191"/>
      <c r="S18" s="191"/>
      <c r="T18" s="403" t="str">
        <f>_xlfn.IFNA(VLOOKUP(A18,[1]Foglio1!$A:$K,10,FALSE),"")</f>
        <v/>
      </c>
    </row>
    <row r="19" spans="1:20" ht="29.25" customHeight="1" x14ac:dyDescent="0.25">
      <c r="A19" s="64" t="str">
        <f>'SPUNTA ARRIVI '!A19</f>
        <v>Store ID</v>
      </c>
      <c r="B19" s="400"/>
      <c r="C19" s="400"/>
      <c r="D19" s="139"/>
      <c r="E19" s="304">
        <f>_xlfn.IFNA(VLOOKUP(A19,ANALISI!A:O,4,FALSE),0)</f>
        <v>0</v>
      </c>
      <c r="F19" s="305">
        <f>_xlfn.IFNA(VLOOKUP(A19,[1]Foglio1!$A:$Y,3,FALSE),0)</f>
        <v>0</v>
      </c>
      <c r="G19" s="304">
        <f>_xlfn.IFNA(VLOOKUP(A19,ANALISI!A:O,5,FALSE),0)</f>
        <v>0</v>
      </c>
      <c r="H19" s="305">
        <f>_xlfn.IFNA(VLOOKUP(A19,[1]Foglio1!$A:$Y,6,FALSE),0)</f>
        <v>0</v>
      </c>
      <c r="I19" s="304">
        <f>_xlfn.IFNA(VLOOKUP(A19,ANALISI!A:O,8,FALSE),0)</f>
        <v>0</v>
      </c>
      <c r="J19" s="305">
        <f>_xlfn.IFNA(VLOOKUP(A19,[1]Foglio1!$A:$Y,4,FALSE),0)</f>
        <v>0</v>
      </c>
      <c r="K19" s="304">
        <f>_xlfn.IFNA(VLOOKUP(A19,ANALISI!A:O,11,FALSE),0)</f>
        <v>0</v>
      </c>
      <c r="L19" s="305">
        <f>_xlfn.IFNA(VLOOKUP(A19,[1]Foglio1!$A:$Y,5,FALSE),0)</f>
        <v>0</v>
      </c>
      <c r="M19" s="401"/>
      <c r="N19" s="409"/>
      <c r="O19" s="402"/>
      <c r="P19" s="191"/>
      <c r="Q19" s="191"/>
      <c r="R19" s="191"/>
      <c r="S19" s="191"/>
      <c r="T19" s="403" t="str">
        <f>_xlfn.IFNA(VLOOKUP(A19,[1]Foglio1!$A:$K,10,FALSE),"")</f>
        <v/>
      </c>
    </row>
    <row r="20" spans="1:20" ht="29.25" customHeight="1" x14ac:dyDescent="0.25">
      <c r="A20" s="64">
        <f>'SPUNTA ARRIVI '!A20</f>
        <v>5367</v>
      </c>
      <c r="B20" s="405"/>
      <c r="C20" s="405"/>
      <c r="D20" s="405"/>
      <c r="E20" s="304">
        <f>_xlfn.IFNA(VLOOKUP(A20,ANALISI!A:O,4,FALSE),0)</f>
        <v>241</v>
      </c>
      <c r="F20" s="305">
        <f>_xlfn.IFNA(VLOOKUP(A20,[1]Foglio1!$A:$Y,3,FALSE),0)</f>
        <v>84</v>
      </c>
      <c r="G20" s="304">
        <f>_xlfn.IFNA(VLOOKUP(A20,ANALISI!A:O,5,FALSE),0)</f>
        <v>0</v>
      </c>
      <c r="H20" s="305">
        <f>_xlfn.IFNA(VLOOKUP(A20,[1]Foglio1!$A:$Y,6,FALSE),0)</f>
        <v>0</v>
      </c>
      <c r="I20" s="304">
        <f>_xlfn.IFNA(VLOOKUP(A20,ANALISI!A:O,8,FALSE),0)</f>
        <v>17</v>
      </c>
      <c r="J20" s="305">
        <f>_xlfn.IFNA(VLOOKUP(A20,[1]Foglio1!$A:$Y,4,FALSE),0)</f>
        <v>10</v>
      </c>
      <c r="K20" s="304">
        <f>_xlfn.IFNA(VLOOKUP(A20,ANALISI!A:O,11,FALSE),0)</f>
        <v>1</v>
      </c>
      <c r="L20" s="305">
        <f>_xlfn.IFNA(VLOOKUP(A20,[1]Foglio1!$A:$Y,5,FALSE),0)</f>
        <v>0</v>
      </c>
      <c r="M20" s="405"/>
      <c r="N20" s="405"/>
      <c r="O20" s="529"/>
      <c r="P20" s="529"/>
      <c r="Q20" s="191"/>
      <c r="R20" s="191"/>
      <c r="S20" s="191"/>
      <c r="T20" s="403" t="str">
        <f>_xlfn.IFNA(VLOOKUP(A20,[1]Foglio1!$A:$K,10,FALSE),"")</f>
        <v/>
      </c>
    </row>
    <row r="21" spans="1:20" ht="29.25" customHeight="1" x14ac:dyDescent="0.25">
      <c r="A21" s="64">
        <f>'SPUNTA ARRIVI '!A21</f>
        <v>1971</v>
      </c>
      <c r="B21" s="406"/>
      <c r="C21" s="406"/>
      <c r="D21" s="407"/>
      <c r="E21" s="304">
        <f>_xlfn.IFNA(VLOOKUP(A21,ANALISI!A:O,4,FALSE),0)</f>
        <v>140</v>
      </c>
      <c r="F21" s="305">
        <f>_xlfn.IFNA(VLOOKUP(A21,[1]Foglio1!$A:$Y,3,FALSE),0)</f>
        <v>0</v>
      </c>
      <c r="G21" s="304">
        <f>_xlfn.IFNA(VLOOKUP(A21,ANALISI!A:O,5,FALSE),0)</f>
        <v>0</v>
      </c>
      <c r="H21" s="305">
        <f>_xlfn.IFNA(VLOOKUP(A21,[1]Foglio1!$A:$Y,6,FALSE),0)</f>
        <v>0</v>
      </c>
      <c r="I21" s="304">
        <f>_xlfn.IFNA(VLOOKUP(A21,ANALISI!A:O,8,FALSE),0)</f>
        <v>0</v>
      </c>
      <c r="J21" s="305">
        <f>_xlfn.IFNA(VLOOKUP(A21,[1]Foglio1!$A:$Y,4,FALSE),0)</f>
        <v>3</v>
      </c>
      <c r="K21" s="304">
        <f>_xlfn.IFNA(VLOOKUP(A21,ANALISI!A:O,11,FALSE),0)</f>
        <v>11</v>
      </c>
      <c r="L21" s="305">
        <f>_xlfn.IFNA(VLOOKUP(A21,[1]Foglio1!$A:$Y,5,FALSE),0)</f>
        <v>15</v>
      </c>
      <c r="M21" s="416"/>
      <c r="N21" s="416"/>
      <c r="O21" s="408"/>
      <c r="P21" s="408"/>
      <c r="Q21" s="191"/>
      <c r="R21" s="191"/>
      <c r="S21" s="191"/>
      <c r="T21" s="403" t="str">
        <f>_xlfn.IFNA(VLOOKUP(A21,[1]Foglio1!$A:$K,10,FALSE),"")</f>
        <v xml:space="preserve">3C  da 169C  da </v>
      </c>
    </row>
    <row r="22" spans="1:20" ht="29.25" customHeight="1" x14ac:dyDescent="0.25">
      <c r="A22" s="64">
        <f>'SPUNTA ARRIVI '!A22</f>
        <v>14825</v>
      </c>
      <c r="B22" s="8"/>
      <c r="C22" s="8"/>
      <c r="D22" s="139"/>
      <c r="E22" s="304">
        <f>_xlfn.IFNA(VLOOKUP(A22,ANALISI!A:O,4,FALSE),0)</f>
        <v>178</v>
      </c>
      <c r="F22" s="305">
        <f>_xlfn.IFNA(VLOOKUP(A22,[1]Foglio1!$A:$Y,3,FALSE),0)</f>
        <v>170</v>
      </c>
      <c r="G22" s="304">
        <f>_xlfn.IFNA(VLOOKUP(A22,ANALISI!A:O,5,FALSE),0)</f>
        <v>2</v>
      </c>
      <c r="H22" s="305">
        <f>_xlfn.IFNA(VLOOKUP(A22,[1]Foglio1!$A:$Y,6,FALSE),0)</f>
        <v>10</v>
      </c>
      <c r="I22" s="304">
        <f>_xlfn.IFNA(VLOOKUP(A22,ANALISI!A:O,8,FALSE),0)</f>
        <v>12</v>
      </c>
      <c r="J22" s="305">
        <f>_xlfn.IFNA(VLOOKUP(A22,[1]Foglio1!$A:$Y,4,FALSE),0)</f>
        <v>14</v>
      </c>
      <c r="K22" s="304">
        <f>_xlfn.IFNA(VLOOKUP(A22,ANALISI!A:O,11,FALSE),0)</f>
        <v>0</v>
      </c>
      <c r="L22" s="305">
        <f>_xlfn.IFNA(VLOOKUP(A22,[1]Foglio1!$A:$Y,5,FALSE),0)</f>
        <v>0</v>
      </c>
      <c r="M22" s="401"/>
      <c r="N22" s="409"/>
      <c r="O22" s="402"/>
      <c r="P22" s="191"/>
      <c r="Q22" s="191"/>
      <c r="R22" s="191"/>
      <c r="S22" s="191"/>
      <c r="T22" s="403" t="str">
        <f>_xlfn.IFNA(VLOOKUP(A22,[1]Foglio1!$A:$K,10,FALSE),"")</f>
        <v/>
      </c>
    </row>
    <row r="23" spans="1:20" ht="29.25" customHeight="1" x14ac:dyDescent="0.25">
      <c r="A23" s="64">
        <f>'SPUNTA ARRIVI '!A23</f>
        <v>6760</v>
      </c>
      <c r="B23" s="65"/>
      <c r="C23" s="65"/>
      <c r="D23" s="139"/>
      <c r="E23" s="304">
        <f>_xlfn.IFNA(VLOOKUP(A23,ANALISI!A:O,4,FALSE),0)</f>
        <v>137</v>
      </c>
      <c r="F23" s="305">
        <f>_xlfn.IFNA(VLOOKUP(A23,[1]Foglio1!$A:$Y,3,FALSE),0)</f>
        <v>106</v>
      </c>
      <c r="G23" s="304">
        <f>_xlfn.IFNA(VLOOKUP(A23,ANALISI!A:O,5,FALSE),0)</f>
        <v>0</v>
      </c>
      <c r="H23" s="305">
        <f>_xlfn.IFNA(VLOOKUP(A23,[1]Foglio1!$A:$Y,6,FALSE),0)</f>
        <v>0</v>
      </c>
      <c r="I23" s="304">
        <f>_xlfn.IFNA(VLOOKUP(A23,ANALISI!A:O,8,FALSE),0)</f>
        <v>11</v>
      </c>
      <c r="J23" s="305">
        <f>_xlfn.IFNA(VLOOKUP(A23,[1]Foglio1!$A:$Y,4,FALSE),0)</f>
        <v>10</v>
      </c>
      <c r="K23" s="304">
        <f>_xlfn.IFNA(VLOOKUP(A23,ANALISI!A:O,11,FALSE),0)</f>
        <v>0</v>
      </c>
      <c r="L23" s="305">
        <f>_xlfn.IFNA(VLOOKUP(A23,[1]Foglio1!$A:$Y,5,FALSE),0)</f>
        <v>0</v>
      </c>
      <c r="M23" s="401"/>
      <c r="N23" s="409"/>
      <c r="O23" s="402"/>
      <c r="P23" s="397"/>
      <c r="Q23" s="191"/>
      <c r="R23" s="191"/>
      <c r="S23" s="191"/>
      <c r="T23" s="403" t="str">
        <f>_xlfn.IFNA(VLOOKUP(A23,[1]Foglio1!$A:$K,10,FALSE),"")</f>
        <v/>
      </c>
    </row>
    <row r="24" spans="1:20" ht="29.25" customHeight="1" x14ac:dyDescent="0.25">
      <c r="A24" s="64">
        <f>'SPUNTA ARRIVI '!A24</f>
        <v>2435</v>
      </c>
      <c r="B24" s="263"/>
      <c r="C24" s="264"/>
      <c r="D24" s="139"/>
      <c r="E24" s="304">
        <f>_xlfn.IFNA(VLOOKUP(A24,ANALISI!A:O,4,FALSE),0)</f>
        <v>26</v>
      </c>
      <c r="F24" s="305">
        <f>_xlfn.IFNA(VLOOKUP(A24,[1]Foglio1!$A:$Y,3,FALSE),0)</f>
        <v>20</v>
      </c>
      <c r="G24" s="304">
        <f>_xlfn.IFNA(VLOOKUP(A24,ANALISI!A:O,5,FALSE),0)</f>
        <v>0</v>
      </c>
      <c r="H24" s="305">
        <f>_xlfn.IFNA(VLOOKUP(A24,[1]Foglio1!$A:$Y,6,FALSE),0)</f>
        <v>0</v>
      </c>
      <c r="I24" s="304">
        <f>_xlfn.IFNA(VLOOKUP(A24,ANALISI!A:O,8,FALSE),0)</f>
        <v>2</v>
      </c>
      <c r="J24" s="305">
        <f>_xlfn.IFNA(VLOOKUP(A24,[1]Foglio1!$A:$Y,4,FALSE),0)</f>
        <v>0</v>
      </c>
      <c r="K24" s="304">
        <f>_xlfn.IFNA(VLOOKUP(A24,ANALISI!A:O,11,FALSE),0)</f>
        <v>1</v>
      </c>
      <c r="L24" s="305">
        <f>_xlfn.IFNA(VLOOKUP(A24,[1]Foglio1!$A:$Y,5,FALSE),0)</f>
        <v>1</v>
      </c>
      <c r="M24" s="401"/>
      <c r="N24" s="409"/>
      <c r="O24" s="405"/>
      <c r="P24" s="191"/>
      <c r="Q24" s="191"/>
      <c r="R24" s="191"/>
      <c r="S24" s="191"/>
      <c r="T24" s="403" t="str">
        <f>_xlfn.IFNA(VLOOKUP(A24,[1]Foglio1!$A:$K,10,FALSE),"")</f>
        <v/>
      </c>
    </row>
    <row r="25" spans="1:20" ht="29.25" customHeight="1" x14ac:dyDescent="0.25">
      <c r="A25" s="64">
        <f>'SPUNTA ARRIVI '!A25</f>
        <v>3680</v>
      </c>
      <c r="B25" s="405"/>
      <c r="C25" s="405"/>
      <c r="D25" s="405"/>
      <c r="E25" s="304">
        <f>_xlfn.IFNA(VLOOKUP(A25,ANALISI!A:O,4,FALSE),0)</f>
        <v>273</v>
      </c>
      <c r="F25" s="305">
        <f>_xlfn.IFNA(VLOOKUP(A25,[1]Foglio1!$A:$Y,3,FALSE),0)</f>
        <v>19</v>
      </c>
      <c r="G25" s="304">
        <f>_xlfn.IFNA(VLOOKUP(A25,ANALISI!A:O,5,FALSE),0)</f>
        <v>37</v>
      </c>
      <c r="H25" s="305">
        <f>_xlfn.IFNA(VLOOKUP(A25,[1]Foglio1!$A:$Y,6,FALSE),0)</f>
        <v>2</v>
      </c>
      <c r="I25" s="304">
        <f>_xlfn.IFNA(VLOOKUP(A25,ANALISI!A:O,8,FALSE),0)</f>
        <v>48</v>
      </c>
      <c r="J25" s="305">
        <f>_xlfn.IFNA(VLOOKUP(A25,[1]Foglio1!$A:$Y,4,FALSE),0)</f>
        <v>33</v>
      </c>
      <c r="K25" s="304">
        <f>_xlfn.IFNA(VLOOKUP(A25,ANALISI!A:O,11,FALSE),0)</f>
        <v>0</v>
      </c>
      <c r="L25" s="305">
        <f>_xlfn.IFNA(VLOOKUP(A25,[1]Foglio1!$A:$Y,5,FALSE),0)</f>
        <v>0</v>
      </c>
      <c r="M25" s="405"/>
      <c r="N25" s="405"/>
      <c r="O25" s="529"/>
      <c r="P25" s="529"/>
      <c r="Q25" s="191"/>
      <c r="R25" s="191"/>
      <c r="S25" s="191"/>
      <c r="T25" s="403" t="str">
        <f>_xlfn.IFNA(VLOOKUP(A25,[1]Foglio1!$A:$K,10,FALSE),"")</f>
        <v xml:space="preserve">17C  da 215C  da 2C  da </v>
      </c>
    </row>
    <row r="26" spans="1:20" ht="29.25" customHeight="1" x14ac:dyDescent="0.25">
      <c r="A26" s="64">
        <f>'SPUNTA ARRIVI '!A26</f>
        <v>0</v>
      </c>
      <c r="B26" s="406"/>
      <c r="C26" s="406"/>
      <c r="D26" s="407"/>
      <c r="E26" s="304">
        <f>_xlfn.IFNA(VLOOKUP(A26,ANALISI!A:O,4,FALSE),0)</f>
        <v>0</v>
      </c>
      <c r="F26" s="305">
        <f>_xlfn.IFNA(VLOOKUP(A26,[1]Foglio1!$A:$Y,3,FALSE),0)</f>
        <v>0</v>
      </c>
      <c r="G26" s="304">
        <f>_xlfn.IFNA(VLOOKUP(A26,ANALISI!A:O,5,FALSE),0)</f>
        <v>0</v>
      </c>
      <c r="H26" s="305">
        <f>_xlfn.IFNA(VLOOKUP(A26,[1]Foglio1!$A:$Y,6,FALSE),0)</f>
        <v>0</v>
      </c>
      <c r="I26" s="304">
        <f>_xlfn.IFNA(VLOOKUP(A26,ANALISI!A:O,8,FALSE),0)</f>
        <v>0</v>
      </c>
      <c r="J26" s="305">
        <f>_xlfn.IFNA(VLOOKUP(A26,[1]Foglio1!$A:$Y,4,FALSE),0)</f>
        <v>0</v>
      </c>
      <c r="K26" s="304">
        <f>_xlfn.IFNA(VLOOKUP(A26,ANALISI!A:O,11,FALSE),0)</f>
        <v>0</v>
      </c>
      <c r="L26" s="305">
        <f>_xlfn.IFNA(VLOOKUP(A26,[1]Foglio1!$A:$Y,5,FALSE),0)</f>
        <v>0</v>
      </c>
      <c r="M26" s="416"/>
      <c r="N26" s="416"/>
      <c r="O26" s="401"/>
      <c r="P26" s="408"/>
      <c r="Q26" s="191"/>
      <c r="R26" s="191"/>
      <c r="S26" s="191"/>
      <c r="T26" s="403" t="str">
        <f>_xlfn.IFNA(VLOOKUP(A26,[1]Foglio1!$A:$K,10,FALSE),"")</f>
        <v/>
      </c>
    </row>
    <row r="27" spans="1:20" ht="29.25" customHeight="1" x14ac:dyDescent="0.25">
      <c r="A27" s="64" t="str">
        <f>'SPUNTA ARRIVI '!A27</f>
        <v>Store ID</v>
      </c>
      <c r="B27" s="66"/>
      <c r="C27" s="66"/>
      <c r="D27" s="139"/>
      <c r="E27" s="304">
        <f>_xlfn.IFNA(VLOOKUP(A27,ANALISI!A:O,4,FALSE),0)</f>
        <v>0</v>
      </c>
      <c r="F27" s="305">
        <f>_xlfn.IFNA(VLOOKUP(A27,[1]Foglio1!$A:$Y,3,FALSE),0)</f>
        <v>0</v>
      </c>
      <c r="G27" s="304">
        <f>_xlfn.IFNA(VLOOKUP(A27,ANALISI!A:O,5,FALSE),0)</f>
        <v>0</v>
      </c>
      <c r="H27" s="305">
        <f>_xlfn.IFNA(VLOOKUP(A27,[1]Foglio1!$A:$Y,6,FALSE),0)</f>
        <v>0</v>
      </c>
      <c r="I27" s="304">
        <f>_xlfn.IFNA(VLOOKUP(A27,ANALISI!A:O,8,FALSE),0)</f>
        <v>0</v>
      </c>
      <c r="J27" s="305">
        <f>_xlfn.IFNA(VLOOKUP(A27,[1]Foglio1!$A:$Y,4,FALSE),0)</f>
        <v>0</v>
      </c>
      <c r="K27" s="304">
        <f>_xlfn.IFNA(VLOOKUP(A27,ANALISI!A:O,11,FALSE),0)</f>
        <v>0</v>
      </c>
      <c r="L27" s="305">
        <f>_xlfn.IFNA(VLOOKUP(A27,[1]Foglio1!$A:$Y,5,FALSE),0)</f>
        <v>0</v>
      </c>
      <c r="M27" s="401"/>
      <c r="N27" s="417"/>
      <c r="O27" s="405"/>
      <c r="P27" s="398"/>
      <c r="Q27" s="191"/>
      <c r="R27" s="191"/>
      <c r="S27" s="191"/>
      <c r="T27" s="403" t="str">
        <f>_xlfn.IFNA(VLOOKUP(A27,[1]Foglio1!$A:$K,10,FALSE),"")</f>
        <v/>
      </c>
    </row>
    <row r="28" spans="1:20" ht="29.25" customHeight="1" x14ac:dyDescent="0.25">
      <c r="A28" s="64">
        <f>'SPUNTA ARRIVI '!A28</f>
        <v>1984</v>
      </c>
      <c r="B28" s="66"/>
      <c r="C28" s="66"/>
      <c r="D28" s="139"/>
      <c r="E28" s="304">
        <f>_xlfn.IFNA(VLOOKUP(A28,ANALISI!A:O,4,FALSE),0)</f>
        <v>186</v>
      </c>
      <c r="F28" s="305">
        <f>_xlfn.IFNA(VLOOKUP(A28,[1]Foglio1!$A:$Y,3,FALSE),0)</f>
        <v>0</v>
      </c>
      <c r="G28" s="304">
        <f>_xlfn.IFNA(VLOOKUP(A28,ANALISI!A:O,5,FALSE),0)</f>
        <v>6</v>
      </c>
      <c r="H28" s="305">
        <f>_xlfn.IFNA(VLOOKUP(A28,[1]Foglio1!$A:$Y,6,FALSE),0)</f>
        <v>0</v>
      </c>
      <c r="I28" s="304">
        <f>_xlfn.IFNA(VLOOKUP(A28,ANALISI!A:O,8,FALSE),0)</f>
        <v>0</v>
      </c>
      <c r="J28" s="305">
        <f>_xlfn.IFNA(VLOOKUP(A28,[1]Foglio1!$A:$Y,4,FALSE),0)</f>
        <v>0</v>
      </c>
      <c r="K28" s="304">
        <f>_xlfn.IFNA(VLOOKUP(A28,ANALISI!A:O,11,FALSE),0)</f>
        <v>17</v>
      </c>
      <c r="L28" s="305">
        <f>_xlfn.IFNA(VLOOKUP(A28,[1]Foglio1!$A:$Y,5,FALSE),0)</f>
        <v>9</v>
      </c>
      <c r="M28" s="401"/>
      <c r="N28" s="417"/>
      <c r="O28" s="65"/>
      <c r="P28" s="398"/>
      <c r="Q28" s="191"/>
      <c r="R28" s="191"/>
      <c r="S28" s="191"/>
      <c r="T28" s="403" t="str">
        <f>_xlfn.IFNA(VLOOKUP(A28,[1]Foglio1!$A:$K,10,FALSE),"")</f>
        <v xml:space="preserve">186C  da 3C  da 1C  da </v>
      </c>
    </row>
    <row r="29" spans="1:20" ht="29.25" customHeight="1" x14ac:dyDescent="0.25">
      <c r="A29" s="64">
        <f>'SPUNTA ARRIVI '!A29</f>
        <v>14010</v>
      </c>
      <c r="B29" s="66"/>
      <c r="C29" s="411"/>
      <c r="D29" s="139"/>
      <c r="E29" s="304">
        <f>_xlfn.IFNA(VLOOKUP(A29,ANALISI!A:O,4,FALSE),0)</f>
        <v>206</v>
      </c>
      <c r="F29" s="305">
        <f>_xlfn.IFNA(VLOOKUP(A29,[1]Foglio1!$A:$Y,3,FALSE),0)</f>
        <v>139</v>
      </c>
      <c r="G29" s="304">
        <f>_xlfn.IFNA(VLOOKUP(A29,ANALISI!A:O,5,FALSE),0)</f>
        <v>0</v>
      </c>
      <c r="H29" s="305">
        <f>_xlfn.IFNA(VLOOKUP(A29,[1]Foglio1!$A:$Y,6,FALSE),0)</f>
        <v>10</v>
      </c>
      <c r="I29" s="304">
        <f>_xlfn.IFNA(VLOOKUP(A29,ANALISI!A:O,8,FALSE),0)</f>
        <v>7</v>
      </c>
      <c r="J29" s="305">
        <f>_xlfn.IFNA(VLOOKUP(A29,[1]Foglio1!$A:$Y,4,FALSE),0)</f>
        <v>12</v>
      </c>
      <c r="K29" s="304">
        <f>_xlfn.IFNA(VLOOKUP(A29,ANALISI!A:O,11,FALSE),0)</f>
        <v>0</v>
      </c>
      <c r="L29" s="305">
        <f>_xlfn.IFNA(VLOOKUP(A29,[1]Foglio1!$A:$Y,5,FALSE),0)</f>
        <v>0</v>
      </c>
      <c r="M29" s="401"/>
      <c r="N29" s="417"/>
      <c r="O29" s="65"/>
      <c r="P29" s="191"/>
      <c r="Q29" s="191"/>
      <c r="R29" s="191"/>
      <c r="S29" s="191"/>
      <c r="T29" s="403" t="str">
        <f>_xlfn.IFNA(VLOOKUP(A29,[1]Foglio1!$A:$K,10,FALSE),"")</f>
        <v/>
      </c>
    </row>
    <row r="30" spans="1:20" ht="29.25" customHeight="1" x14ac:dyDescent="0.25">
      <c r="A30" s="64">
        <f>'SPUNTA ARRIVI '!A30</f>
        <v>0</v>
      </c>
      <c r="B30" s="405"/>
      <c r="C30" s="405"/>
      <c r="D30" s="405"/>
      <c r="E30" s="304">
        <f>_xlfn.IFNA(VLOOKUP(A30,ANALISI!A:O,4,FALSE),0)</f>
        <v>0</v>
      </c>
      <c r="F30" s="305">
        <f>_xlfn.IFNA(VLOOKUP(A30,[1]Foglio1!$A:$Y,3,FALSE),0)</f>
        <v>0</v>
      </c>
      <c r="G30" s="304">
        <f>_xlfn.IFNA(VLOOKUP(A30,ANALISI!A:O,5,FALSE),0)</f>
        <v>0</v>
      </c>
      <c r="H30" s="305">
        <f>_xlfn.IFNA(VLOOKUP(A30,[1]Foglio1!$A:$Y,6,FALSE),0)</f>
        <v>0</v>
      </c>
      <c r="I30" s="304">
        <f>_xlfn.IFNA(VLOOKUP(A30,ANALISI!A:O,8,FALSE),0)</f>
        <v>0</v>
      </c>
      <c r="J30" s="305">
        <f>_xlfn.IFNA(VLOOKUP(A30,[1]Foglio1!$A:$Y,4,FALSE),0)</f>
        <v>0</v>
      </c>
      <c r="K30" s="304">
        <f>_xlfn.IFNA(VLOOKUP(A30,ANALISI!A:O,11,FALSE),0)</f>
        <v>0</v>
      </c>
      <c r="L30" s="305">
        <f>_xlfn.IFNA(VLOOKUP(A30,[1]Foglio1!$A:$Y,5,FALSE),0)</f>
        <v>0</v>
      </c>
      <c r="M30" s="405"/>
      <c r="N30" s="405"/>
      <c r="O30" s="529"/>
      <c r="P30" s="529"/>
      <c r="Q30" s="191"/>
      <c r="R30" s="191"/>
      <c r="S30" s="191"/>
      <c r="T30" s="403" t="str">
        <f>_xlfn.IFNA(VLOOKUP(A30,[1]Foglio1!$A:$K,10,FALSE),"")</f>
        <v/>
      </c>
    </row>
    <row r="31" spans="1:20" ht="29.25" customHeight="1" x14ac:dyDescent="0.25">
      <c r="A31" s="64" t="str">
        <f>'SPUNTA ARRIVI '!A31</f>
        <v>Store ID</v>
      </c>
      <c r="B31" s="406"/>
      <c r="C31" s="406"/>
      <c r="D31" s="407"/>
      <c r="E31" s="304">
        <f>_xlfn.IFNA(VLOOKUP(A31,ANALISI!A:O,4,FALSE),0)</f>
        <v>0</v>
      </c>
      <c r="F31" s="305">
        <f>_xlfn.IFNA(VLOOKUP(A31,[1]Foglio1!$A:$Y,3,FALSE),0)</f>
        <v>0</v>
      </c>
      <c r="G31" s="304">
        <f>_xlfn.IFNA(VLOOKUP(A31,ANALISI!A:O,5,FALSE),0)</f>
        <v>0</v>
      </c>
      <c r="H31" s="305">
        <f>_xlfn.IFNA(VLOOKUP(A31,[1]Foglio1!$A:$Y,6,FALSE),0)</f>
        <v>0</v>
      </c>
      <c r="I31" s="304">
        <f>_xlfn.IFNA(VLOOKUP(A31,ANALISI!A:O,8,FALSE),0)</f>
        <v>0</v>
      </c>
      <c r="J31" s="305">
        <f>_xlfn.IFNA(VLOOKUP(A31,[1]Foglio1!$A:$Y,4,FALSE),0)</f>
        <v>0</v>
      </c>
      <c r="K31" s="304">
        <f>_xlfn.IFNA(VLOOKUP(A31,ANALISI!A:O,11,FALSE),0)</f>
        <v>0</v>
      </c>
      <c r="L31" s="305">
        <f>_xlfn.IFNA(VLOOKUP(A31,[1]Foglio1!$A:$Y,5,FALSE),0)</f>
        <v>0</v>
      </c>
      <c r="M31" s="416"/>
      <c r="N31" s="416"/>
      <c r="O31" s="402"/>
      <c r="P31" s="408"/>
      <c r="Q31" s="191"/>
      <c r="R31" s="191"/>
      <c r="S31" s="191"/>
      <c r="T31" s="403" t="str">
        <f>_xlfn.IFNA(VLOOKUP(A31,[1]Foglio1!$A:$K,10,FALSE),"")</f>
        <v/>
      </c>
    </row>
    <row r="32" spans="1:20" ht="29.25" customHeight="1" x14ac:dyDescent="0.25">
      <c r="A32" s="64">
        <f>'SPUNTA ARRIVI '!A32</f>
        <v>16037</v>
      </c>
      <c r="B32" s="8"/>
      <c r="C32" s="8"/>
      <c r="D32" s="139"/>
      <c r="E32" s="304">
        <f>_xlfn.IFNA(VLOOKUP(A32,ANALISI!A:O,4,FALSE),0)</f>
        <v>83</v>
      </c>
      <c r="F32" s="305">
        <f>_xlfn.IFNA(VLOOKUP(A32,[1]Foglio1!$A:$Y,3,FALSE),0)</f>
        <v>70</v>
      </c>
      <c r="G32" s="304">
        <f>_xlfn.IFNA(VLOOKUP(A32,ANALISI!A:O,5,FALSE),0)</f>
        <v>0</v>
      </c>
      <c r="H32" s="305">
        <f>_xlfn.IFNA(VLOOKUP(A32,[1]Foglio1!$A:$Y,6,FALSE),0)</f>
        <v>0</v>
      </c>
      <c r="I32" s="304">
        <f>_xlfn.IFNA(VLOOKUP(A32,ANALISI!A:O,8,FALSE),0)</f>
        <v>5</v>
      </c>
      <c r="J32" s="305">
        <f>_xlfn.IFNA(VLOOKUP(A32,[1]Foglio1!$A:$Y,4,FALSE),0)</f>
        <v>6</v>
      </c>
      <c r="K32" s="304">
        <f>_xlfn.IFNA(VLOOKUP(A32,ANALISI!A:O,11,FALSE),0)</f>
        <v>3</v>
      </c>
      <c r="L32" s="305">
        <f>_xlfn.IFNA(VLOOKUP(A32,[1]Foglio1!$A:$Y,5,FALSE),0)</f>
        <v>3</v>
      </c>
      <c r="M32" s="401"/>
      <c r="N32" s="409"/>
      <c r="O32" s="402"/>
      <c r="P32" s="191"/>
      <c r="Q32" s="191"/>
      <c r="R32" s="191"/>
      <c r="S32" s="191"/>
      <c r="T32" s="403" t="str">
        <f>_xlfn.IFNA(VLOOKUP(A32,[1]Foglio1!$A:$K,10,FALSE),"")</f>
        <v/>
      </c>
    </row>
    <row r="33" spans="1:20" ht="29.25" customHeight="1" x14ac:dyDescent="0.25">
      <c r="A33" s="64">
        <f>'SPUNTA ARRIVI '!A33</f>
        <v>16060</v>
      </c>
      <c r="B33" s="8"/>
      <c r="C33" s="8"/>
      <c r="D33" s="139"/>
      <c r="E33" s="304">
        <f>_xlfn.IFNA(VLOOKUP(A33,ANALISI!A:O,4,FALSE),0)</f>
        <v>145</v>
      </c>
      <c r="F33" s="305">
        <f>_xlfn.IFNA(VLOOKUP(A33,[1]Foglio1!$A:$Y,3,FALSE),0)</f>
        <v>114</v>
      </c>
      <c r="G33" s="304">
        <f>_xlfn.IFNA(VLOOKUP(A33,ANALISI!A:O,5,FALSE),0)</f>
        <v>0</v>
      </c>
      <c r="H33" s="305">
        <f>_xlfn.IFNA(VLOOKUP(A33,[1]Foglio1!$A:$Y,6,FALSE),0)</f>
        <v>0</v>
      </c>
      <c r="I33" s="304">
        <f>_xlfn.IFNA(VLOOKUP(A33,ANALISI!A:O,8,FALSE),0)</f>
        <v>5</v>
      </c>
      <c r="J33" s="305">
        <f>_xlfn.IFNA(VLOOKUP(A33,[1]Foglio1!$A:$Y,4,FALSE),0)</f>
        <v>6</v>
      </c>
      <c r="K33" s="304">
        <f>_xlfn.IFNA(VLOOKUP(A33,ANALISI!A:O,11,FALSE),0)</f>
        <v>1</v>
      </c>
      <c r="L33" s="305">
        <f>_xlfn.IFNA(VLOOKUP(A33,[1]Foglio1!$A:$Y,5,FALSE),0)</f>
        <v>3</v>
      </c>
      <c r="M33" s="401"/>
      <c r="N33" s="409"/>
      <c r="O33" s="405"/>
      <c r="P33" s="397"/>
      <c r="Q33" s="191"/>
      <c r="R33" s="191"/>
      <c r="S33" s="191"/>
      <c r="T33" s="403" t="str">
        <f>_xlfn.IFNA(VLOOKUP(A33,[1]Foglio1!$A:$K,10,FALSE),"")</f>
        <v/>
      </c>
    </row>
    <row r="34" spans="1:20" ht="29.25" customHeight="1" x14ac:dyDescent="0.25">
      <c r="A34" s="64">
        <f>'SPUNTA ARRIVI '!A34</f>
        <v>16269</v>
      </c>
      <c r="B34" s="405"/>
      <c r="C34" s="405"/>
      <c r="D34" s="405"/>
      <c r="E34" s="304">
        <f>_xlfn.IFNA(VLOOKUP(A34,ANALISI!A:O,4,FALSE),0)</f>
        <v>93</v>
      </c>
      <c r="F34" s="305">
        <f>_xlfn.IFNA(VLOOKUP(A34,[1]Foglio1!$A:$Y,3,FALSE),0)</f>
        <v>69</v>
      </c>
      <c r="G34" s="304">
        <f>_xlfn.IFNA(VLOOKUP(A34,ANALISI!A:O,5,FALSE),0)</f>
        <v>0</v>
      </c>
      <c r="H34" s="305">
        <f>_xlfn.IFNA(VLOOKUP(A34,[1]Foglio1!$A:$Y,6,FALSE),0)</f>
        <v>12</v>
      </c>
      <c r="I34" s="304">
        <f>_xlfn.IFNA(VLOOKUP(A34,ANALISI!A:O,8,FALSE),0)</f>
        <v>6</v>
      </c>
      <c r="J34" s="305">
        <f>_xlfn.IFNA(VLOOKUP(A34,[1]Foglio1!$A:$Y,4,FALSE),0)</f>
        <v>12</v>
      </c>
      <c r="K34" s="304">
        <f>_xlfn.IFNA(VLOOKUP(A34,ANALISI!A:O,11,FALSE),0)</f>
        <v>0</v>
      </c>
      <c r="L34" s="305">
        <f>_xlfn.IFNA(VLOOKUP(A34,[1]Foglio1!$A:$Y,5,FALSE),0)</f>
        <v>0</v>
      </c>
      <c r="M34" s="405"/>
      <c r="N34" s="405"/>
      <c r="O34" s="529"/>
      <c r="P34" s="529"/>
      <c r="Q34" s="191"/>
      <c r="R34" s="191"/>
      <c r="S34" s="191"/>
      <c r="T34" s="403" t="str">
        <f>_xlfn.IFNA(VLOOKUP(A34,[1]Foglio1!$A:$K,10,FALSE),"")</f>
        <v/>
      </c>
    </row>
    <row r="35" spans="1:20" ht="29.25" customHeight="1" x14ac:dyDescent="0.25">
      <c r="A35" s="64">
        <f>'SPUNTA ARRIVI '!A35</f>
        <v>0</v>
      </c>
      <c r="B35" s="406"/>
      <c r="C35" s="406"/>
      <c r="D35" s="407"/>
      <c r="E35" s="304">
        <f>_xlfn.IFNA(VLOOKUP(A35,ANALISI!A:O,4,FALSE),0)</f>
        <v>0</v>
      </c>
      <c r="F35" s="305">
        <f>_xlfn.IFNA(VLOOKUP(A35,[1]Foglio1!$A:$Y,3,FALSE),0)</f>
        <v>0</v>
      </c>
      <c r="G35" s="304">
        <f>_xlfn.IFNA(VLOOKUP(A35,ANALISI!A:O,5,FALSE),0)</f>
        <v>0</v>
      </c>
      <c r="H35" s="305">
        <f>_xlfn.IFNA(VLOOKUP(A35,[1]Foglio1!$A:$Y,6,FALSE),0)</f>
        <v>0</v>
      </c>
      <c r="I35" s="304">
        <f>_xlfn.IFNA(VLOOKUP(A35,ANALISI!A:O,8,FALSE),0)</f>
        <v>0</v>
      </c>
      <c r="J35" s="305">
        <f>_xlfn.IFNA(VLOOKUP(A35,[1]Foglio1!$A:$Y,4,FALSE),0)</f>
        <v>0</v>
      </c>
      <c r="K35" s="304">
        <f>_xlfn.IFNA(VLOOKUP(A35,ANALISI!A:O,11,FALSE),0)</f>
        <v>0</v>
      </c>
      <c r="L35" s="305">
        <f>_xlfn.IFNA(VLOOKUP(A35,[1]Foglio1!$A:$Y,5,FALSE),0)</f>
        <v>0</v>
      </c>
      <c r="M35" s="416"/>
      <c r="N35" s="416"/>
      <c r="O35" s="402"/>
      <c r="P35" s="408"/>
      <c r="Q35" s="191"/>
      <c r="R35" s="191"/>
      <c r="S35" s="191"/>
      <c r="T35" s="403" t="str">
        <f>_xlfn.IFNA(VLOOKUP(A35,[1]Foglio1!$A:$K,10,FALSE),"")</f>
        <v/>
      </c>
    </row>
    <row r="36" spans="1:20" ht="29.25" customHeight="1" x14ac:dyDescent="0.25">
      <c r="A36" s="64" t="str">
        <f>'SPUNTA ARRIVI '!A36</f>
        <v>Store ID</v>
      </c>
      <c r="B36" s="8"/>
      <c r="C36" s="8"/>
      <c r="D36" s="139"/>
      <c r="E36" s="304">
        <f>_xlfn.IFNA(VLOOKUP(A36,ANALISI!A:O,4,FALSE),0)</f>
        <v>0</v>
      </c>
      <c r="F36" s="305">
        <f>_xlfn.IFNA(VLOOKUP(A36,[1]Foglio1!$A:$Y,3,FALSE),0)</f>
        <v>0</v>
      </c>
      <c r="G36" s="304">
        <f>_xlfn.IFNA(VLOOKUP(A36,ANALISI!A:O,5,FALSE),0)</f>
        <v>0</v>
      </c>
      <c r="H36" s="305">
        <f>_xlfn.IFNA(VLOOKUP(A36,[1]Foglio1!$A:$Y,6,FALSE),0)</f>
        <v>0</v>
      </c>
      <c r="I36" s="304">
        <f>_xlfn.IFNA(VLOOKUP(A36,ANALISI!A:O,8,FALSE),0)</f>
        <v>0</v>
      </c>
      <c r="J36" s="305">
        <f>_xlfn.IFNA(VLOOKUP(A36,[1]Foglio1!$A:$Y,4,FALSE),0)</f>
        <v>0</v>
      </c>
      <c r="K36" s="304">
        <f>_xlfn.IFNA(VLOOKUP(A36,ANALISI!A:O,11,FALSE),0)</f>
        <v>0</v>
      </c>
      <c r="L36" s="305">
        <f>_xlfn.IFNA(VLOOKUP(A36,[1]Foglio1!$A:$Y,5,FALSE),0)</f>
        <v>0</v>
      </c>
      <c r="M36" s="401"/>
      <c r="N36" s="409"/>
      <c r="O36" s="402"/>
      <c r="P36" s="191"/>
      <c r="Q36" s="191"/>
      <c r="R36" s="191"/>
      <c r="S36" s="191"/>
      <c r="T36" s="403" t="str">
        <f>_xlfn.IFNA(VLOOKUP(A36,[1]Foglio1!$A:$K,10,FALSE),"")</f>
        <v/>
      </c>
    </row>
    <row r="37" spans="1:20" ht="29.25" customHeight="1" x14ac:dyDescent="0.25">
      <c r="A37" s="64">
        <f>'SPUNTA ARRIVI '!A37</f>
        <v>1265</v>
      </c>
      <c r="B37" s="8"/>
      <c r="C37" s="8"/>
      <c r="D37" s="139"/>
      <c r="E37" s="304">
        <f>_xlfn.IFNA(VLOOKUP(A37,ANALISI!A:O,4,FALSE),0)</f>
        <v>299</v>
      </c>
      <c r="F37" s="305">
        <f>_xlfn.IFNA(VLOOKUP(A37,[1]Foglio1!$A:$Y,3,FALSE),0)</f>
        <v>262</v>
      </c>
      <c r="G37" s="304">
        <f>_xlfn.IFNA(VLOOKUP(A37,ANALISI!A:O,5,FALSE),0)</f>
        <v>24</v>
      </c>
      <c r="H37" s="305">
        <f>_xlfn.IFNA(VLOOKUP(A37,[1]Foglio1!$A:$Y,6,FALSE),0)</f>
        <v>15</v>
      </c>
      <c r="I37" s="304">
        <f>_xlfn.IFNA(VLOOKUP(A37,ANALISI!A:O,8,FALSE),0)</f>
        <v>36</v>
      </c>
      <c r="J37" s="305">
        <f>_xlfn.IFNA(VLOOKUP(A37,[1]Foglio1!$A:$Y,4,FALSE),0)</f>
        <v>22</v>
      </c>
      <c r="K37" s="304">
        <f>_xlfn.IFNA(VLOOKUP(A37,ANALISI!A:O,11,FALSE),0)</f>
        <v>0</v>
      </c>
      <c r="L37" s="305">
        <f>_xlfn.IFNA(VLOOKUP(A37,[1]Foglio1!$A:$Y,5,FALSE),0)</f>
        <v>0</v>
      </c>
      <c r="M37" s="401"/>
      <c r="N37" s="409"/>
      <c r="O37" s="402"/>
      <c r="P37" s="397"/>
      <c r="Q37" s="191"/>
      <c r="R37" s="191"/>
      <c r="S37" s="191"/>
      <c r="T37" s="403" t="str">
        <f>_xlfn.IFNA(VLOOKUP(A37,[1]Foglio1!$A:$K,10,FALSE),"")</f>
        <v xml:space="preserve">1C  da </v>
      </c>
    </row>
    <row r="38" spans="1:20" ht="29.25" customHeight="1" x14ac:dyDescent="0.25">
      <c r="A38" s="64">
        <f>'SPUNTA ARRIVI '!A38</f>
        <v>0</v>
      </c>
      <c r="B38" s="8"/>
      <c r="C38" s="8"/>
      <c r="D38" s="139"/>
      <c r="E38" s="304">
        <f>_xlfn.IFNA(VLOOKUP(A38,ANALISI!A:O,4,FALSE),0)</f>
        <v>0</v>
      </c>
      <c r="F38" s="305">
        <f>_xlfn.IFNA(VLOOKUP(A38,[1]Foglio1!$A:$Y,3,FALSE),0)</f>
        <v>0</v>
      </c>
      <c r="G38" s="304">
        <f>_xlfn.IFNA(VLOOKUP(A38,ANALISI!A:O,5,FALSE),0)</f>
        <v>0</v>
      </c>
      <c r="H38" s="305">
        <f>_xlfn.IFNA(VLOOKUP(A38,[1]Foglio1!$A:$Y,6,FALSE),0)</f>
        <v>0</v>
      </c>
      <c r="I38" s="304">
        <f>_xlfn.IFNA(VLOOKUP(A38,ANALISI!A:O,8,FALSE),0)</f>
        <v>0</v>
      </c>
      <c r="J38" s="305">
        <f>_xlfn.IFNA(VLOOKUP(A38,[1]Foglio1!$A:$Y,4,FALSE),0)</f>
        <v>0</v>
      </c>
      <c r="K38" s="304">
        <f>_xlfn.IFNA(VLOOKUP(A38,ANALISI!A:O,11,FALSE),0)</f>
        <v>0</v>
      </c>
      <c r="L38" s="305">
        <f>_xlfn.IFNA(VLOOKUP(A38,[1]Foglio1!$A:$Y,5,FALSE),0)</f>
        <v>0</v>
      </c>
      <c r="M38" s="401"/>
      <c r="N38" s="409"/>
      <c r="O38" s="402"/>
      <c r="P38" s="191"/>
      <c r="Q38" s="191"/>
      <c r="R38" s="191"/>
      <c r="S38" s="191"/>
      <c r="T38" s="403" t="str">
        <f>_xlfn.IFNA(VLOOKUP(A38,[1]Foglio1!$A:$K,10,FALSE),"")</f>
        <v/>
      </c>
    </row>
    <row r="39" spans="1:20" ht="29.25" customHeight="1" x14ac:dyDescent="0.25">
      <c r="A39" s="64" t="str">
        <f>'SPUNTA ARRIVI '!A39</f>
        <v>Store ID</v>
      </c>
      <c r="B39" s="8"/>
      <c r="C39" s="8"/>
      <c r="D39" s="139"/>
      <c r="E39" s="304">
        <f>_xlfn.IFNA(VLOOKUP(A39,ANALISI!A:O,4,FALSE),0)</f>
        <v>0</v>
      </c>
      <c r="F39" s="305">
        <f>_xlfn.IFNA(VLOOKUP(A39,[1]Foglio1!$A:$Y,3,FALSE),0)</f>
        <v>0</v>
      </c>
      <c r="G39" s="304">
        <f>_xlfn.IFNA(VLOOKUP(A39,ANALISI!A:O,5,FALSE),0)</f>
        <v>0</v>
      </c>
      <c r="H39" s="305">
        <f>_xlfn.IFNA(VLOOKUP(A39,[1]Foglio1!$A:$Y,6,FALSE),0)</f>
        <v>0</v>
      </c>
      <c r="I39" s="304">
        <f>_xlfn.IFNA(VLOOKUP(A39,ANALISI!A:O,8,FALSE),0)</f>
        <v>0</v>
      </c>
      <c r="J39" s="305">
        <f>_xlfn.IFNA(VLOOKUP(A39,[1]Foglio1!$A:$Y,4,FALSE),0)</f>
        <v>0</v>
      </c>
      <c r="K39" s="304">
        <f>_xlfn.IFNA(VLOOKUP(A39,ANALISI!A:O,11,FALSE),0)</f>
        <v>0</v>
      </c>
      <c r="L39" s="305">
        <f>_xlfn.IFNA(VLOOKUP(A39,[1]Foglio1!$A:$Y,5,FALSE),0)</f>
        <v>0</v>
      </c>
      <c r="M39" s="401"/>
      <c r="N39" s="409"/>
      <c r="O39" s="405"/>
      <c r="P39" s="191"/>
      <c r="Q39" s="191"/>
      <c r="R39" s="191"/>
      <c r="S39" s="191"/>
      <c r="T39" s="403" t="str">
        <f>_xlfn.IFNA(VLOOKUP(A39,[1]Foglio1!$A:$K,10,FALSE),"")</f>
        <v/>
      </c>
    </row>
    <row r="40" spans="1:20" ht="29.25" customHeight="1" x14ac:dyDescent="0.25">
      <c r="A40" s="64">
        <f>'SPUNTA ARRIVI '!A40</f>
        <v>12059</v>
      </c>
      <c r="B40" s="405"/>
      <c r="C40" s="405"/>
      <c r="D40" s="405"/>
      <c r="E40" s="304">
        <f>_xlfn.IFNA(VLOOKUP(A40,ANALISI!A:O,4,FALSE),0)</f>
        <v>306</v>
      </c>
      <c r="F40" s="305">
        <f>_xlfn.IFNA(VLOOKUP(A40,[1]Foglio1!$A:$Y,3,FALSE),0)</f>
        <v>226</v>
      </c>
      <c r="G40" s="304">
        <f>_xlfn.IFNA(VLOOKUP(A40,ANALISI!A:O,5,FALSE),0)</f>
        <v>13</v>
      </c>
      <c r="H40" s="305">
        <f>_xlfn.IFNA(VLOOKUP(A40,[1]Foglio1!$A:$Y,6,FALSE),0)</f>
        <v>15</v>
      </c>
      <c r="I40" s="304">
        <f>_xlfn.IFNA(VLOOKUP(A40,ANALISI!A:O,8,FALSE),0)</f>
        <v>20</v>
      </c>
      <c r="J40" s="305">
        <f>_xlfn.IFNA(VLOOKUP(A40,[1]Foglio1!$A:$Y,4,FALSE),0)</f>
        <v>18</v>
      </c>
      <c r="K40" s="304">
        <f>_xlfn.IFNA(VLOOKUP(A40,ANALISI!A:O,11,FALSE),0)</f>
        <v>0</v>
      </c>
      <c r="L40" s="305">
        <f>_xlfn.IFNA(VLOOKUP(A40,[1]Foglio1!$A:$Y,5,FALSE),0)</f>
        <v>0</v>
      </c>
      <c r="M40" s="405"/>
      <c r="N40" s="405"/>
      <c r="O40" s="529"/>
      <c r="P40" s="529"/>
      <c r="Q40" s="191"/>
      <c r="R40" s="191"/>
      <c r="S40" s="191"/>
      <c r="T40" s="403" t="str">
        <f>_xlfn.IFNA(VLOOKUP(A40,[1]Foglio1!$A:$K,10,FALSE),"")</f>
        <v/>
      </c>
    </row>
    <row r="41" spans="1:20" ht="29.25" customHeight="1" x14ac:dyDescent="0.25">
      <c r="A41" s="64">
        <f>'SPUNTA ARRIVI '!A41</f>
        <v>12899</v>
      </c>
      <c r="B41" s="406"/>
      <c r="C41" s="406"/>
      <c r="D41" s="407"/>
      <c r="E41" s="304">
        <f>_xlfn.IFNA(VLOOKUP(A41,ANALISI!A:O,4,FALSE),0)</f>
        <v>54</v>
      </c>
      <c r="F41" s="305">
        <f>_xlfn.IFNA(VLOOKUP(A41,[1]Foglio1!$A:$Y,3,FALSE),0)</f>
        <v>47</v>
      </c>
      <c r="G41" s="304">
        <f>_xlfn.IFNA(VLOOKUP(A41,ANALISI!A:O,5,FALSE),0)</f>
        <v>0</v>
      </c>
      <c r="H41" s="305">
        <f>_xlfn.IFNA(VLOOKUP(A41,[1]Foglio1!$A:$Y,6,FALSE),0)</f>
        <v>3</v>
      </c>
      <c r="I41" s="304">
        <f>_xlfn.IFNA(VLOOKUP(A41,ANALISI!A:O,8,FALSE),0)</f>
        <v>4</v>
      </c>
      <c r="J41" s="305">
        <f>_xlfn.IFNA(VLOOKUP(A41,[1]Foglio1!$A:$Y,4,FALSE),0)</f>
        <v>7</v>
      </c>
      <c r="K41" s="304">
        <f>_xlfn.IFNA(VLOOKUP(A41,ANALISI!A:O,11,FALSE),0)</f>
        <v>0</v>
      </c>
      <c r="L41" s="305">
        <f>_xlfn.IFNA(VLOOKUP(A41,[1]Foglio1!$A:$Y,5,FALSE),0)</f>
        <v>0</v>
      </c>
      <c r="M41" s="416"/>
      <c r="N41" s="416"/>
      <c r="O41" s="402"/>
      <c r="P41" s="408"/>
      <c r="Q41" s="191"/>
      <c r="R41" s="191"/>
      <c r="S41" s="191"/>
      <c r="T41" s="403" t="str">
        <f>_xlfn.IFNA(VLOOKUP(A41,[1]Foglio1!$A:$K,10,FALSE),"")</f>
        <v/>
      </c>
    </row>
    <row r="42" spans="1:20" ht="29.25" customHeight="1" x14ac:dyDescent="0.25">
      <c r="A42" s="64">
        <f>'SPUNTA ARRIVI '!A42</f>
        <v>12093</v>
      </c>
      <c r="B42" s="20"/>
      <c r="C42" s="8"/>
      <c r="D42" s="139"/>
      <c r="E42" s="304">
        <f>_xlfn.IFNA(VLOOKUP(A42,ANALISI!A:O,4,FALSE),0)</f>
        <v>59</v>
      </c>
      <c r="F42" s="305">
        <f>_xlfn.IFNA(VLOOKUP(A42,[1]Foglio1!$A:$Y,3,FALSE),0)</f>
        <v>46</v>
      </c>
      <c r="G42" s="304">
        <f>_xlfn.IFNA(VLOOKUP(A42,ANALISI!A:O,5,FALSE),0)</f>
        <v>0</v>
      </c>
      <c r="H42" s="305">
        <f>_xlfn.IFNA(VLOOKUP(A42,[1]Foglio1!$A:$Y,6,FALSE),0)</f>
        <v>0</v>
      </c>
      <c r="I42" s="304">
        <f>_xlfn.IFNA(VLOOKUP(A42,ANALISI!A:O,8,FALSE),0)</f>
        <v>4</v>
      </c>
      <c r="J42" s="305">
        <f>_xlfn.IFNA(VLOOKUP(A42,[1]Foglio1!$A:$Y,4,FALSE),0)</f>
        <v>9</v>
      </c>
      <c r="K42" s="304">
        <f>_xlfn.IFNA(VLOOKUP(A42,ANALISI!A:O,11,FALSE),0)</f>
        <v>0</v>
      </c>
      <c r="L42" s="305">
        <f>_xlfn.IFNA(VLOOKUP(A42,[1]Foglio1!$A:$Y,5,FALSE),0)</f>
        <v>0</v>
      </c>
      <c r="M42" s="401"/>
      <c r="N42" s="531"/>
      <c r="O42" s="402"/>
      <c r="P42" s="191"/>
      <c r="Q42" s="191"/>
      <c r="R42" s="191"/>
      <c r="S42" s="191"/>
      <c r="T42" s="403" t="str">
        <f>_xlfn.IFNA(VLOOKUP(A42,[1]Foglio1!$A:$K,10,FALSE),"")</f>
        <v/>
      </c>
    </row>
    <row r="43" spans="1:20" ht="29.25" customHeight="1" x14ac:dyDescent="0.25">
      <c r="A43" s="64">
        <f>'SPUNTA ARRIVI '!A43</f>
        <v>10504</v>
      </c>
      <c r="B43" s="20"/>
      <c r="C43" s="8"/>
      <c r="D43" s="139"/>
      <c r="E43" s="304">
        <f>_xlfn.IFNA(VLOOKUP(A43,ANALISI!A:O,4,FALSE),0)</f>
        <v>79</v>
      </c>
      <c r="F43" s="305">
        <f>_xlfn.IFNA(VLOOKUP(A43,[1]Foglio1!$A:$Y,3,FALSE),0)</f>
        <v>54</v>
      </c>
      <c r="G43" s="304">
        <f>_xlfn.IFNA(VLOOKUP(A43,ANALISI!A:O,5,FALSE),0)</f>
        <v>0</v>
      </c>
      <c r="H43" s="305">
        <f>_xlfn.IFNA(VLOOKUP(A43,[1]Foglio1!$A:$Y,6,FALSE),0)</f>
        <v>0</v>
      </c>
      <c r="I43" s="304">
        <f>_xlfn.IFNA(VLOOKUP(A43,ANALISI!A:O,8,FALSE),0)</f>
        <v>3</v>
      </c>
      <c r="J43" s="305">
        <f>_xlfn.IFNA(VLOOKUP(A43,[1]Foglio1!$A:$Y,4,FALSE),0)</f>
        <v>4</v>
      </c>
      <c r="K43" s="304">
        <f>_xlfn.IFNA(VLOOKUP(A43,ANALISI!A:O,11,FALSE),0)</f>
        <v>3</v>
      </c>
      <c r="L43" s="305">
        <f>_xlfn.IFNA(VLOOKUP(A43,[1]Foglio1!$A:$Y,5,FALSE),0)</f>
        <v>4</v>
      </c>
      <c r="M43" s="401"/>
      <c r="N43" s="531"/>
      <c r="O43" s="405"/>
      <c r="P43" s="397"/>
      <c r="Q43" s="191"/>
      <c r="R43" s="191"/>
      <c r="S43" s="191"/>
      <c r="T43" s="403" t="str">
        <f>_xlfn.IFNA(VLOOKUP(A43,[1]Foglio1!$A:$K,10,FALSE),"")</f>
        <v/>
      </c>
    </row>
    <row r="44" spans="1:20" ht="29.25" customHeight="1" x14ac:dyDescent="0.25">
      <c r="A44" s="64">
        <f>'SPUNTA ARRIVI '!A44</f>
        <v>7593</v>
      </c>
      <c r="B44" s="405"/>
      <c r="C44" s="405"/>
      <c r="D44" s="405"/>
      <c r="E44" s="304">
        <f>_xlfn.IFNA(VLOOKUP(A44,ANALISI!A:O,4,FALSE),0)</f>
        <v>93</v>
      </c>
      <c r="F44" s="305">
        <f>_xlfn.IFNA(VLOOKUP(A44,[1]Foglio1!$A:$Y,3,FALSE),0)</f>
        <v>63</v>
      </c>
      <c r="G44" s="304">
        <f>_xlfn.IFNA(VLOOKUP(A44,ANALISI!A:O,5,FALSE),0)</f>
        <v>0</v>
      </c>
      <c r="H44" s="305">
        <f>_xlfn.IFNA(VLOOKUP(A44,[1]Foglio1!$A:$Y,6,FALSE),0)</f>
        <v>0</v>
      </c>
      <c r="I44" s="304">
        <f>_xlfn.IFNA(VLOOKUP(A44,ANALISI!A:O,8,FALSE),0)</f>
        <v>4</v>
      </c>
      <c r="J44" s="305">
        <f>_xlfn.IFNA(VLOOKUP(A44,[1]Foglio1!$A:$Y,4,FALSE),0)</f>
        <v>11</v>
      </c>
      <c r="K44" s="304">
        <f>_xlfn.IFNA(VLOOKUP(A44,ANALISI!A:O,11,FALSE),0)</f>
        <v>0</v>
      </c>
      <c r="L44" s="305">
        <f>_xlfn.IFNA(VLOOKUP(A44,[1]Foglio1!$A:$Y,5,FALSE),0)</f>
        <v>0</v>
      </c>
      <c r="M44" s="405"/>
      <c r="N44" s="405"/>
      <c r="O44" s="529"/>
      <c r="P44" s="529"/>
      <c r="Q44" s="191"/>
      <c r="R44" s="191"/>
      <c r="S44" s="191"/>
      <c r="T44" s="403" t="str">
        <f>_xlfn.IFNA(VLOOKUP(A44,[1]Foglio1!$A:$K,10,FALSE),"")</f>
        <v/>
      </c>
    </row>
    <row r="45" spans="1:20" ht="29.25" customHeight="1" x14ac:dyDescent="0.25">
      <c r="A45" s="64">
        <f>'SPUNTA ARRIVI '!A45</f>
        <v>0</v>
      </c>
      <c r="B45" s="406"/>
      <c r="C45" s="406"/>
      <c r="D45" s="407"/>
      <c r="E45" s="304">
        <f>_xlfn.IFNA(VLOOKUP(A45,ANALISI!A:O,4,FALSE),0)</f>
        <v>0</v>
      </c>
      <c r="F45" s="305">
        <f>_xlfn.IFNA(VLOOKUP(A45,[1]Foglio1!$A:$Y,3,FALSE),0)</f>
        <v>0</v>
      </c>
      <c r="G45" s="304">
        <f>_xlfn.IFNA(VLOOKUP(A45,ANALISI!A:O,5,FALSE),0)</f>
        <v>0</v>
      </c>
      <c r="H45" s="305">
        <f>_xlfn.IFNA(VLOOKUP(A45,[1]Foglio1!$A:$Y,6,FALSE),0)</f>
        <v>0</v>
      </c>
      <c r="I45" s="304">
        <f>_xlfn.IFNA(VLOOKUP(A45,ANALISI!A:O,8,FALSE),0)</f>
        <v>0</v>
      </c>
      <c r="J45" s="305">
        <f>_xlfn.IFNA(VLOOKUP(A45,[1]Foglio1!$A:$Y,4,FALSE),0)</f>
        <v>0</v>
      </c>
      <c r="K45" s="304">
        <f>_xlfn.IFNA(VLOOKUP(A45,ANALISI!A:O,11,FALSE),0)</f>
        <v>0</v>
      </c>
      <c r="L45" s="305">
        <f>_xlfn.IFNA(VLOOKUP(A45,[1]Foglio1!$A:$Y,5,FALSE),0)</f>
        <v>0</v>
      </c>
      <c r="M45" s="416"/>
      <c r="N45" s="416"/>
      <c r="O45" s="402"/>
      <c r="P45" s="408"/>
      <c r="Q45" s="191"/>
      <c r="R45" s="191"/>
      <c r="S45" s="191"/>
      <c r="T45" s="403" t="str">
        <f>_xlfn.IFNA(VLOOKUP(A45,[1]Foglio1!$A:$K,10,FALSE),"")</f>
        <v/>
      </c>
    </row>
    <row r="46" spans="1:20" ht="29.25" customHeight="1" x14ac:dyDescent="0.25">
      <c r="A46" s="64" t="str">
        <f>'SPUNTA ARRIVI '!A46</f>
        <v>Store ID</v>
      </c>
      <c r="B46" s="412"/>
      <c r="C46" s="66"/>
      <c r="D46" s="139"/>
      <c r="E46" s="304">
        <f>_xlfn.IFNA(VLOOKUP(A46,ANALISI!A:O,4,FALSE),0)</f>
        <v>0</v>
      </c>
      <c r="F46" s="305">
        <f>_xlfn.IFNA(VLOOKUP(A46,[1]Foglio1!$A:$Y,3,FALSE),0)</f>
        <v>0</v>
      </c>
      <c r="G46" s="304">
        <f>_xlfn.IFNA(VLOOKUP(A46,ANALISI!A:O,5,FALSE),0)</f>
        <v>0</v>
      </c>
      <c r="H46" s="305">
        <f>_xlfn.IFNA(VLOOKUP(A46,[1]Foglio1!$A:$Y,6,FALSE),0)</f>
        <v>0</v>
      </c>
      <c r="I46" s="304">
        <f>_xlfn.IFNA(VLOOKUP(A46,ANALISI!A:O,8,FALSE),0)</f>
        <v>0</v>
      </c>
      <c r="J46" s="305">
        <f>_xlfn.IFNA(VLOOKUP(A46,[1]Foglio1!$A:$Y,4,FALSE),0)</f>
        <v>0</v>
      </c>
      <c r="K46" s="304">
        <f>_xlfn.IFNA(VLOOKUP(A46,ANALISI!A:O,11,FALSE),0)</f>
        <v>0</v>
      </c>
      <c r="L46" s="305">
        <f>_xlfn.IFNA(VLOOKUP(A46,[1]Foglio1!$A:$Y,5,FALSE),0)</f>
        <v>0</v>
      </c>
      <c r="M46" s="401"/>
      <c r="N46" s="409"/>
      <c r="O46" s="402"/>
      <c r="P46" s="191"/>
      <c r="Q46" s="191"/>
      <c r="R46" s="191"/>
      <c r="S46" s="191"/>
      <c r="T46" s="403" t="str">
        <f>_xlfn.IFNA(VLOOKUP(A46,[1]Foglio1!$A:$K,10,FALSE),"")</f>
        <v/>
      </c>
    </row>
    <row r="47" spans="1:20" ht="29.25" customHeight="1" x14ac:dyDescent="0.25">
      <c r="A47" s="64">
        <f>'SPUNTA ARRIVI '!A47</f>
        <v>11629</v>
      </c>
      <c r="B47" s="412"/>
      <c r="C47" s="66"/>
      <c r="D47" s="139"/>
      <c r="E47" s="304">
        <f>_xlfn.IFNA(VLOOKUP(A47,ANALISI!A:O,4,FALSE),0)</f>
        <v>71</v>
      </c>
      <c r="F47" s="305">
        <f>_xlfn.IFNA(VLOOKUP(A47,[1]Foglio1!$A:$Y,3,FALSE),0)</f>
        <v>38</v>
      </c>
      <c r="G47" s="304">
        <f>_xlfn.IFNA(VLOOKUP(A47,ANALISI!A:O,5,FALSE),0)</f>
        <v>0</v>
      </c>
      <c r="H47" s="305">
        <f>_xlfn.IFNA(VLOOKUP(A47,[1]Foglio1!$A:$Y,6,FALSE),0)</f>
        <v>0</v>
      </c>
      <c r="I47" s="304">
        <f>_xlfn.IFNA(VLOOKUP(A47,ANALISI!A:O,8,FALSE),0)</f>
        <v>4</v>
      </c>
      <c r="J47" s="305">
        <f>_xlfn.IFNA(VLOOKUP(A47,[1]Foglio1!$A:$Y,4,FALSE),0)</f>
        <v>5</v>
      </c>
      <c r="K47" s="304">
        <f>_xlfn.IFNA(VLOOKUP(A47,ANALISI!A:O,11,FALSE),0)</f>
        <v>2</v>
      </c>
      <c r="L47" s="305">
        <f>_xlfn.IFNA(VLOOKUP(A47,[1]Foglio1!$A:$Y,5,FALSE),0)</f>
        <v>2</v>
      </c>
      <c r="M47" s="401"/>
      <c r="N47" s="409"/>
      <c r="O47" s="402"/>
      <c r="P47" s="397"/>
      <c r="Q47" s="191"/>
      <c r="R47" s="191"/>
      <c r="S47" s="191"/>
      <c r="T47" s="403" t="str">
        <f>_xlfn.IFNA(VLOOKUP(A47,[1]Foglio1!$A:$K,10,FALSE),"")</f>
        <v/>
      </c>
    </row>
    <row r="48" spans="1:20" ht="29.25" customHeight="1" x14ac:dyDescent="0.25">
      <c r="A48" s="64">
        <f>'SPUNTA ARRIVI '!A48</f>
        <v>12154</v>
      </c>
      <c r="B48" s="412"/>
      <c r="C48" s="66"/>
      <c r="D48" s="139"/>
      <c r="E48" s="304">
        <f>_xlfn.IFNA(VLOOKUP(A48,ANALISI!A:O,4,FALSE),0)</f>
        <v>20</v>
      </c>
      <c r="F48" s="305">
        <f>_xlfn.IFNA(VLOOKUP(A48,[1]Foglio1!$A:$Y,3,FALSE),0)</f>
        <v>50</v>
      </c>
      <c r="G48" s="304">
        <f>_xlfn.IFNA(VLOOKUP(A48,ANALISI!A:O,5,FALSE),0)</f>
        <v>0</v>
      </c>
      <c r="H48" s="305">
        <f>_xlfn.IFNA(VLOOKUP(A48,[1]Foglio1!$A:$Y,6,FALSE),0)</f>
        <v>0</v>
      </c>
      <c r="I48" s="304">
        <f>_xlfn.IFNA(VLOOKUP(A48,ANALISI!A:O,8,FALSE),0)</f>
        <v>4</v>
      </c>
      <c r="J48" s="305">
        <f>_xlfn.IFNA(VLOOKUP(A48,[1]Foglio1!$A:$Y,4,FALSE),0)</f>
        <v>12</v>
      </c>
      <c r="K48" s="304">
        <f>_xlfn.IFNA(VLOOKUP(A48,ANALISI!A:O,11,FALSE),0)</f>
        <v>0</v>
      </c>
      <c r="L48" s="305">
        <f>_xlfn.IFNA(VLOOKUP(A48,[1]Foglio1!$A:$Y,5,FALSE),0)</f>
        <v>0</v>
      </c>
      <c r="M48" s="401"/>
      <c r="N48" s="409"/>
      <c r="O48" s="405"/>
      <c r="P48" s="191"/>
      <c r="Q48" s="191"/>
      <c r="R48" s="191"/>
      <c r="S48" s="191"/>
      <c r="T48" s="403" t="str">
        <f>_xlfn.IFNA(VLOOKUP(A48,[1]Foglio1!$A:$K,10,FALSE),"")</f>
        <v/>
      </c>
    </row>
    <row r="49" spans="1:20" ht="29.25" customHeight="1" x14ac:dyDescent="0.25">
      <c r="A49" s="64">
        <f>'SPUNTA ARRIVI '!A49</f>
        <v>0</v>
      </c>
      <c r="B49" s="405"/>
      <c r="C49" s="405"/>
      <c r="D49" s="405"/>
      <c r="E49" s="304">
        <f>_xlfn.IFNA(VLOOKUP(A49,ANALISI!A:O,4,FALSE),0)</f>
        <v>0</v>
      </c>
      <c r="F49" s="305">
        <f>_xlfn.IFNA(VLOOKUP(A49,[1]Foglio1!$A:$Y,3,FALSE),0)</f>
        <v>0</v>
      </c>
      <c r="G49" s="304">
        <f>_xlfn.IFNA(VLOOKUP(A49,ANALISI!A:O,5,FALSE),0)</f>
        <v>0</v>
      </c>
      <c r="H49" s="305">
        <f>_xlfn.IFNA(VLOOKUP(A49,[1]Foglio1!$A:$Y,6,FALSE),0)</f>
        <v>0</v>
      </c>
      <c r="I49" s="304">
        <f>_xlfn.IFNA(VLOOKUP(A49,ANALISI!A:O,8,FALSE),0)</f>
        <v>0</v>
      </c>
      <c r="J49" s="305">
        <f>_xlfn.IFNA(VLOOKUP(A49,[1]Foglio1!$A:$Y,4,FALSE),0)</f>
        <v>0</v>
      </c>
      <c r="K49" s="304">
        <f>_xlfn.IFNA(VLOOKUP(A49,ANALISI!A:O,11,FALSE),0)</f>
        <v>0</v>
      </c>
      <c r="L49" s="305">
        <f>_xlfn.IFNA(VLOOKUP(A49,[1]Foglio1!$A:$Y,5,FALSE),0)</f>
        <v>0</v>
      </c>
      <c r="M49" s="405"/>
      <c r="N49" s="405"/>
      <c r="O49" s="529"/>
      <c r="P49" s="529"/>
      <c r="Q49" s="191"/>
      <c r="R49" s="191"/>
      <c r="S49" s="191"/>
      <c r="T49" s="403" t="str">
        <f>_xlfn.IFNA(VLOOKUP(A49,[1]Foglio1!$A:$K,10,FALSE),"")</f>
        <v/>
      </c>
    </row>
    <row r="50" spans="1:20" ht="29.25" customHeight="1" x14ac:dyDescent="0.25">
      <c r="A50" s="64" t="str">
        <f>'SPUNTA ARRIVI '!A50</f>
        <v>Store ID</v>
      </c>
      <c r="B50" s="406"/>
      <c r="C50" s="406"/>
      <c r="D50" s="407"/>
      <c r="E50" s="304">
        <f>_xlfn.IFNA(VLOOKUP(A50,ANALISI!A:O,4,FALSE),0)</f>
        <v>0</v>
      </c>
      <c r="F50" s="305">
        <f>_xlfn.IFNA(VLOOKUP(A50,[1]Foglio1!$A:$Y,3,FALSE),0)</f>
        <v>0</v>
      </c>
      <c r="G50" s="304">
        <f>_xlfn.IFNA(VLOOKUP(A50,ANALISI!A:O,5,FALSE),0)</f>
        <v>0</v>
      </c>
      <c r="H50" s="305">
        <f>_xlfn.IFNA(VLOOKUP(A50,[1]Foglio1!$A:$Y,6,FALSE),0)</f>
        <v>0</v>
      </c>
      <c r="I50" s="304">
        <f>_xlfn.IFNA(VLOOKUP(A50,ANALISI!A:O,8,FALSE),0)</f>
        <v>0</v>
      </c>
      <c r="J50" s="305">
        <f>_xlfn.IFNA(VLOOKUP(A50,[1]Foglio1!$A:$Y,4,FALSE),0)</f>
        <v>0</v>
      </c>
      <c r="K50" s="304">
        <f>_xlfn.IFNA(VLOOKUP(A50,ANALISI!A:O,11,FALSE),0)</f>
        <v>0</v>
      </c>
      <c r="L50" s="305">
        <f>_xlfn.IFNA(VLOOKUP(A50,[1]Foglio1!$A:$Y,5,FALSE),0)</f>
        <v>0</v>
      </c>
      <c r="M50" s="416"/>
      <c r="N50" s="416"/>
      <c r="O50" s="402"/>
      <c r="P50" s="408"/>
      <c r="Q50" s="191"/>
      <c r="R50" s="191"/>
      <c r="S50" s="191"/>
      <c r="T50" s="403" t="str">
        <f>_xlfn.IFNA(VLOOKUP(A50,[1]Foglio1!$A:$K,10,FALSE),"")</f>
        <v/>
      </c>
    </row>
    <row r="51" spans="1:20" ht="29.25" customHeight="1" x14ac:dyDescent="0.25">
      <c r="A51" s="64">
        <f>'SPUNTA ARRIVI '!A51</f>
        <v>16723</v>
      </c>
      <c r="B51" s="413"/>
      <c r="C51" s="413"/>
      <c r="D51" s="139"/>
      <c r="E51" s="304">
        <f>_xlfn.IFNA(VLOOKUP(A51,ANALISI!A:O,4,FALSE),0)</f>
        <v>480</v>
      </c>
      <c r="F51" s="305">
        <f>_xlfn.IFNA(VLOOKUP(A51,[1]Foglio1!$A:$Y,3,FALSE),0)</f>
        <v>400</v>
      </c>
      <c r="G51" s="304">
        <f>_xlfn.IFNA(VLOOKUP(A51,ANALISI!A:O,5,FALSE),0)</f>
        <v>24</v>
      </c>
      <c r="H51" s="305">
        <f>_xlfn.IFNA(VLOOKUP(A51,[1]Foglio1!$A:$Y,6,FALSE),0)</f>
        <v>15</v>
      </c>
      <c r="I51" s="304">
        <f>_xlfn.IFNA(VLOOKUP(A51,ANALISI!A:O,8,FALSE),0)</f>
        <v>48</v>
      </c>
      <c r="J51" s="305">
        <f>_xlfn.IFNA(VLOOKUP(A51,[1]Foglio1!$A:$Y,4,FALSE),0)</f>
        <v>33</v>
      </c>
      <c r="K51" s="304">
        <f>_xlfn.IFNA(VLOOKUP(A51,ANALISI!A:O,11,FALSE),0)</f>
        <v>0</v>
      </c>
      <c r="L51" s="305">
        <f>_xlfn.IFNA(VLOOKUP(A51,[1]Foglio1!$A:$Y,5,FALSE),0)</f>
        <v>0</v>
      </c>
      <c r="M51" s="401"/>
      <c r="N51" s="409"/>
      <c r="O51" s="404"/>
      <c r="P51" s="191"/>
      <c r="Q51" s="191"/>
      <c r="R51" s="191"/>
      <c r="S51" s="191"/>
      <c r="T51" s="403" t="str">
        <f>_xlfn.IFNA(VLOOKUP(A51,[1]Foglio1!$A:$K,10,FALSE),"")</f>
        <v/>
      </c>
    </row>
    <row r="52" spans="1:20" ht="29.25" customHeight="1" x14ac:dyDescent="0.25">
      <c r="A52" s="64">
        <f>'SPUNTA ARRIVI '!A52</f>
        <v>8453</v>
      </c>
      <c r="B52" s="413"/>
      <c r="C52" s="413"/>
      <c r="D52" s="139"/>
      <c r="E52" s="304">
        <f>_xlfn.IFNA(VLOOKUP(A52,ANALISI!A:O,4,FALSE),0)</f>
        <v>59</v>
      </c>
      <c r="F52" s="305">
        <f>_xlfn.IFNA(VLOOKUP(A52,[1]Foglio1!$A:$Y,3,FALSE),0)</f>
        <v>58</v>
      </c>
      <c r="G52" s="304">
        <f>_xlfn.IFNA(VLOOKUP(A52,ANALISI!A:O,5,FALSE),0)</f>
        <v>0</v>
      </c>
      <c r="H52" s="305">
        <f>_xlfn.IFNA(VLOOKUP(A52,[1]Foglio1!$A:$Y,6,FALSE),0)</f>
        <v>8</v>
      </c>
      <c r="I52" s="304">
        <f>_xlfn.IFNA(VLOOKUP(A52,ANALISI!A:O,8,FALSE),0)</f>
        <v>4</v>
      </c>
      <c r="J52" s="305">
        <f>_xlfn.IFNA(VLOOKUP(A52,[1]Foglio1!$A:$Y,4,FALSE),0)</f>
        <v>6</v>
      </c>
      <c r="K52" s="304">
        <f>_xlfn.IFNA(VLOOKUP(A52,ANALISI!A:O,11,FALSE),0)</f>
        <v>3</v>
      </c>
      <c r="L52" s="305">
        <f>_xlfn.IFNA(VLOOKUP(A52,[1]Foglio1!$A:$Y,5,FALSE),0)</f>
        <v>3</v>
      </c>
      <c r="M52" s="401"/>
      <c r="N52" s="410"/>
      <c r="O52" s="404"/>
      <c r="P52" s="397"/>
      <c r="Q52" s="191"/>
      <c r="R52" s="191"/>
      <c r="S52" s="191"/>
      <c r="T52" s="403" t="str">
        <f>_xlfn.IFNA(VLOOKUP(A52,[1]Foglio1!$A:$K,10,FALSE),"")</f>
        <v/>
      </c>
    </row>
    <row r="53" spans="1:20" ht="29.25" customHeight="1" x14ac:dyDescent="0.25">
      <c r="A53" s="64">
        <f>'SPUNTA ARRIVI '!A53</f>
        <v>6525</v>
      </c>
      <c r="B53" s="413"/>
      <c r="C53" s="413"/>
      <c r="D53" s="139"/>
      <c r="E53" s="304">
        <f>_xlfn.IFNA(VLOOKUP(A53,ANALISI!A:O,4,FALSE),0)</f>
        <v>155</v>
      </c>
      <c r="F53" s="305">
        <f>_xlfn.IFNA(VLOOKUP(A53,[1]Foglio1!$A:$Y,3,FALSE),0)</f>
        <v>100</v>
      </c>
      <c r="G53" s="304">
        <f>_xlfn.IFNA(VLOOKUP(A53,ANALISI!A:O,5,FALSE),0)</f>
        <v>0</v>
      </c>
      <c r="H53" s="305">
        <f>_xlfn.IFNA(VLOOKUP(A53,[1]Foglio1!$A:$Y,6,FALSE),0)</f>
        <v>0</v>
      </c>
      <c r="I53" s="304">
        <f>_xlfn.IFNA(VLOOKUP(A53,ANALISI!A:O,8,FALSE),0)</f>
        <v>12</v>
      </c>
      <c r="J53" s="305">
        <f>_xlfn.IFNA(VLOOKUP(A53,[1]Foglio1!$A:$Y,4,FALSE),0)</f>
        <v>10</v>
      </c>
      <c r="K53" s="304">
        <f>_xlfn.IFNA(VLOOKUP(A53,ANALISI!A:O,11,FALSE),0)</f>
        <v>1</v>
      </c>
      <c r="L53" s="305">
        <f>_xlfn.IFNA(VLOOKUP(A53,[1]Foglio1!$A:$Y,5,FALSE),0)</f>
        <v>2</v>
      </c>
      <c r="M53" s="401"/>
      <c r="N53" s="410"/>
      <c r="O53" s="405"/>
      <c r="P53" s="191"/>
      <c r="Q53" s="191"/>
      <c r="R53" s="191"/>
      <c r="S53" s="191"/>
      <c r="T53" s="403" t="str">
        <f>_xlfn.IFNA(VLOOKUP(A53,[1]Foglio1!$A:$K,10,FALSE),"")</f>
        <v/>
      </c>
    </row>
    <row r="54" spans="1:20" ht="29.25" customHeight="1" x14ac:dyDescent="0.25">
      <c r="A54" s="64">
        <f>'SPUNTA ARRIVI '!A54</f>
        <v>0</v>
      </c>
      <c r="B54" s="405"/>
      <c r="C54" s="405"/>
      <c r="D54" s="405"/>
      <c r="E54" s="304">
        <f>_xlfn.IFNA(VLOOKUP(A54,ANALISI!A:O,4,FALSE),0)</f>
        <v>0</v>
      </c>
      <c r="F54" s="305">
        <f>_xlfn.IFNA(VLOOKUP(A54,[1]Foglio1!$A:$Y,3,FALSE),0)</f>
        <v>0</v>
      </c>
      <c r="G54" s="304">
        <f>_xlfn.IFNA(VLOOKUP(A54,ANALISI!A:O,5,FALSE),0)</f>
        <v>0</v>
      </c>
      <c r="H54" s="305">
        <f>_xlfn.IFNA(VLOOKUP(A54,[1]Foglio1!$A:$Y,6,FALSE),0)</f>
        <v>0</v>
      </c>
      <c r="I54" s="304">
        <f>_xlfn.IFNA(VLOOKUP(A54,ANALISI!A:O,8,FALSE),0)</f>
        <v>0</v>
      </c>
      <c r="J54" s="305">
        <f>_xlfn.IFNA(VLOOKUP(A54,[1]Foglio1!$A:$Y,4,FALSE),0)</f>
        <v>0</v>
      </c>
      <c r="K54" s="304">
        <f>_xlfn.IFNA(VLOOKUP(A54,ANALISI!A:O,11,FALSE),0)</f>
        <v>0</v>
      </c>
      <c r="L54" s="305">
        <f>_xlfn.IFNA(VLOOKUP(A54,[1]Foglio1!$A:$Y,5,FALSE),0)</f>
        <v>0</v>
      </c>
      <c r="M54" s="405"/>
      <c r="N54" s="405"/>
      <c r="O54" s="529"/>
      <c r="P54" s="529"/>
      <c r="Q54" s="191"/>
      <c r="R54" s="191"/>
      <c r="S54" s="191"/>
      <c r="T54" s="403" t="str">
        <f>_xlfn.IFNA(VLOOKUP(A54,[1]Foglio1!$A:$K,10,FALSE),"")</f>
        <v/>
      </c>
    </row>
    <row r="55" spans="1:20" ht="29.25" customHeight="1" x14ac:dyDescent="0.25">
      <c r="A55" s="64" t="str">
        <f>'SPUNTA ARRIVI '!A55</f>
        <v>Store ID</v>
      </c>
      <c r="B55" s="406"/>
      <c r="C55" s="406"/>
      <c r="D55" s="407"/>
      <c r="E55" s="304">
        <f>_xlfn.IFNA(VLOOKUP(A55,ANALISI!A:O,4,FALSE),0)</f>
        <v>0</v>
      </c>
      <c r="F55" s="305">
        <f>_xlfn.IFNA(VLOOKUP(A55,[1]Foglio1!$A:$Y,3,FALSE),0)</f>
        <v>0</v>
      </c>
      <c r="G55" s="304">
        <f>_xlfn.IFNA(VLOOKUP(A55,ANALISI!A:O,5,FALSE),0)</f>
        <v>0</v>
      </c>
      <c r="H55" s="305">
        <f>_xlfn.IFNA(VLOOKUP(A55,[1]Foglio1!$A:$Y,6,FALSE),0)</f>
        <v>0</v>
      </c>
      <c r="I55" s="304">
        <f>_xlfn.IFNA(VLOOKUP(A55,ANALISI!A:O,8,FALSE),0)</f>
        <v>0</v>
      </c>
      <c r="J55" s="305">
        <f>_xlfn.IFNA(VLOOKUP(A55,[1]Foglio1!$A:$Y,4,FALSE),0)</f>
        <v>0</v>
      </c>
      <c r="K55" s="304">
        <f>_xlfn.IFNA(VLOOKUP(A55,ANALISI!A:O,11,FALSE),0)</f>
        <v>0</v>
      </c>
      <c r="L55" s="305">
        <f>_xlfn.IFNA(VLOOKUP(A55,[1]Foglio1!$A:$Y,5,FALSE),0)</f>
        <v>0</v>
      </c>
      <c r="M55" s="416"/>
      <c r="N55" s="416"/>
      <c r="O55" s="402"/>
      <c r="P55" s="408"/>
      <c r="Q55" s="191"/>
      <c r="R55" s="191"/>
      <c r="S55" s="191"/>
      <c r="T55" s="403" t="str">
        <f>_xlfn.IFNA(VLOOKUP(A55,[1]Foglio1!$A:$K,10,FALSE),"")</f>
        <v/>
      </c>
    </row>
    <row r="56" spans="1:20" ht="29.25" customHeight="1" x14ac:dyDescent="0.25">
      <c r="A56" s="64">
        <f>'SPUNTA ARRIVI '!A56</f>
        <v>5349</v>
      </c>
      <c r="B56" s="66"/>
      <c r="C56" s="66"/>
      <c r="D56" s="139"/>
      <c r="E56" s="304">
        <f>_xlfn.IFNA(VLOOKUP(A56,ANALISI!A:O,4,FALSE),0)</f>
        <v>246</v>
      </c>
      <c r="F56" s="305">
        <f>_xlfn.IFNA(VLOOKUP(A56,[1]Foglio1!$A:$Y,3,FALSE),0)</f>
        <v>140</v>
      </c>
      <c r="G56" s="304">
        <f>_xlfn.IFNA(VLOOKUP(A56,ANALISI!A:O,5,FALSE),0)</f>
        <v>0</v>
      </c>
      <c r="H56" s="305">
        <f>_xlfn.IFNA(VLOOKUP(A56,[1]Foglio1!$A:$Y,6,FALSE),0)</f>
        <v>5</v>
      </c>
      <c r="I56" s="304">
        <f>_xlfn.IFNA(VLOOKUP(A56,ANALISI!A:O,8,FALSE),0)</f>
        <v>13</v>
      </c>
      <c r="J56" s="305">
        <f>_xlfn.IFNA(VLOOKUP(A56,[1]Foglio1!$A:$Y,4,FALSE),0)</f>
        <v>8</v>
      </c>
      <c r="K56" s="304">
        <f>_xlfn.IFNA(VLOOKUP(A56,ANALISI!A:O,11,FALSE),0)</f>
        <v>0</v>
      </c>
      <c r="L56" s="305">
        <f>_xlfn.IFNA(VLOOKUP(A56,[1]Foglio1!$A:$Y,5,FALSE),0)</f>
        <v>0</v>
      </c>
      <c r="M56" s="401"/>
      <c r="N56" s="409"/>
      <c r="O56" s="402"/>
      <c r="P56" s="191"/>
      <c r="Q56" s="191"/>
      <c r="R56" s="191"/>
      <c r="S56" s="191"/>
      <c r="T56" s="403" t="str">
        <f>_xlfn.IFNA(VLOOKUP(A56,[1]Foglio1!$A:$K,10,FALSE),"")</f>
        <v/>
      </c>
    </row>
    <row r="57" spans="1:20" ht="29.25" customHeight="1" x14ac:dyDescent="0.25">
      <c r="A57" s="64">
        <f>'SPUNTA ARRIVI '!A57</f>
        <v>8428</v>
      </c>
      <c r="B57" s="66"/>
      <c r="C57" s="66"/>
      <c r="D57" s="139"/>
      <c r="E57" s="304">
        <f>_xlfn.IFNA(VLOOKUP(A57,ANALISI!A:O,4,FALSE),0)</f>
        <v>154</v>
      </c>
      <c r="F57" s="305">
        <f>_xlfn.IFNA(VLOOKUP(A57,[1]Foglio1!$A:$Y,3,FALSE),0)</f>
        <v>130</v>
      </c>
      <c r="G57" s="304">
        <f>_xlfn.IFNA(VLOOKUP(A57,ANALISI!A:O,5,FALSE),0)</f>
        <v>0</v>
      </c>
      <c r="H57" s="305">
        <f>_xlfn.IFNA(VLOOKUP(A57,[1]Foglio1!$A:$Y,6,FALSE),0)</f>
        <v>2</v>
      </c>
      <c r="I57" s="304">
        <f>_xlfn.IFNA(VLOOKUP(A57,ANALISI!A:O,8,FALSE),0)</f>
        <v>7</v>
      </c>
      <c r="J57" s="305">
        <f>_xlfn.IFNA(VLOOKUP(A57,[1]Foglio1!$A:$Y,4,FALSE),0)</f>
        <v>14</v>
      </c>
      <c r="K57" s="304">
        <f>_xlfn.IFNA(VLOOKUP(A57,ANALISI!A:O,11,FALSE),0)</f>
        <v>0</v>
      </c>
      <c r="L57" s="305">
        <f>_xlfn.IFNA(VLOOKUP(A57,[1]Foglio1!$A:$Y,5,FALSE),0)</f>
        <v>0</v>
      </c>
      <c r="M57" s="401"/>
      <c r="N57" s="409"/>
      <c r="O57" s="402"/>
      <c r="P57" s="397"/>
      <c r="Q57" s="191"/>
      <c r="R57" s="191"/>
      <c r="S57" s="191"/>
      <c r="T57" s="403" t="str">
        <f>_xlfn.IFNA(VLOOKUP(A57,[1]Foglio1!$A:$K,10,FALSE),"")</f>
        <v/>
      </c>
    </row>
    <row r="58" spans="1:20" ht="29.25" customHeight="1" x14ac:dyDescent="0.25">
      <c r="A58" s="64">
        <f>'SPUNTA ARRIVI '!A58</f>
        <v>4518</v>
      </c>
      <c r="B58" s="66"/>
      <c r="C58" s="66"/>
      <c r="D58" s="139"/>
      <c r="E58" s="304">
        <f>_xlfn.IFNA(VLOOKUP(A58,ANALISI!A:O,4,FALSE),0)</f>
        <v>23</v>
      </c>
      <c r="F58" s="305">
        <f>_xlfn.IFNA(VLOOKUP(A58,[1]Foglio1!$A:$Y,3,FALSE),0)</f>
        <v>35</v>
      </c>
      <c r="G58" s="304">
        <f>_xlfn.IFNA(VLOOKUP(A58,ANALISI!A:O,5,FALSE),0)</f>
        <v>0</v>
      </c>
      <c r="H58" s="305">
        <f>_xlfn.IFNA(VLOOKUP(A58,[1]Foglio1!$A:$Y,6,FALSE),0)</f>
        <v>14</v>
      </c>
      <c r="I58" s="304">
        <f>_xlfn.IFNA(VLOOKUP(A58,ANALISI!A:O,8,FALSE),0)</f>
        <v>5</v>
      </c>
      <c r="J58" s="305">
        <f>_xlfn.IFNA(VLOOKUP(A58,[1]Foglio1!$A:$Y,4,FALSE),0)</f>
        <v>3</v>
      </c>
      <c r="K58" s="304">
        <f>_xlfn.IFNA(VLOOKUP(A58,ANALISI!A:O,11,FALSE),0)</f>
        <v>0</v>
      </c>
      <c r="L58" s="305">
        <f>_xlfn.IFNA(VLOOKUP(A58,[1]Foglio1!$A:$Y,5,FALSE),0)</f>
        <v>0</v>
      </c>
      <c r="M58" s="401"/>
      <c r="N58" s="409"/>
      <c r="O58" s="402"/>
      <c r="P58" s="191"/>
      <c r="Q58" s="191"/>
      <c r="R58" s="191"/>
      <c r="S58" s="191"/>
      <c r="T58" s="403" t="str">
        <f>_xlfn.IFNA(VLOOKUP(A58,[1]Foglio1!$A:$K,10,FALSE),"")</f>
        <v/>
      </c>
    </row>
    <row r="59" spans="1:20" ht="29.25" customHeight="1" x14ac:dyDescent="0.25">
      <c r="A59" s="64">
        <f>'SPUNTA ARRIVI '!A59</f>
        <v>2414</v>
      </c>
      <c r="B59" s="66"/>
      <c r="C59" s="66"/>
      <c r="D59" s="139"/>
      <c r="E59" s="304">
        <f>_xlfn.IFNA(VLOOKUP(A59,ANALISI!A:O,4,FALSE),0)</f>
        <v>27</v>
      </c>
      <c r="F59" s="305">
        <f>_xlfn.IFNA(VLOOKUP(A59,[1]Foglio1!$A:$Y,3,FALSE),0)</f>
        <v>12</v>
      </c>
      <c r="G59" s="304">
        <f>_xlfn.IFNA(VLOOKUP(A59,ANALISI!A:O,5,FALSE),0)</f>
        <v>0</v>
      </c>
      <c r="H59" s="305">
        <f>_xlfn.IFNA(VLOOKUP(A59,[1]Foglio1!$A:$Y,6,FALSE),0)</f>
        <v>4</v>
      </c>
      <c r="I59" s="304">
        <f>_xlfn.IFNA(VLOOKUP(A59,ANALISI!A:O,8,FALSE),0)</f>
        <v>2</v>
      </c>
      <c r="J59" s="305">
        <f>_xlfn.IFNA(VLOOKUP(A59,[1]Foglio1!$A:$Y,4,FALSE),0)</f>
        <v>0</v>
      </c>
      <c r="K59" s="304">
        <f>_xlfn.IFNA(VLOOKUP(A59,ANALISI!A:O,11,FALSE),0)</f>
        <v>1</v>
      </c>
      <c r="L59" s="305">
        <f>_xlfn.IFNA(VLOOKUP(A59,[1]Foglio1!$A:$Y,5,FALSE),0)</f>
        <v>1</v>
      </c>
      <c r="M59" s="401"/>
      <c r="N59" s="409"/>
      <c r="O59" s="402"/>
      <c r="P59" s="191"/>
      <c r="Q59" s="191"/>
      <c r="R59" s="191"/>
      <c r="S59" s="191"/>
      <c r="T59" s="403" t="str">
        <f>_xlfn.IFNA(VLOOKUP(A59,[1]Foglio1!$A:$K,10,FALSE),"")</f>
        <v/>
      </c>
    </row>
    <row r="60" spans="1:20" ht="29.25" customHeight="1" x14ac:dyDescent="0.25">
      <c r="A60" s="64">
        <f>'SPUNTA ARRIVI '!A60</f>
        <v>3591</v>
      </c>
      <c r="B60" s="66"/>
      <c r="C60" s="66"/>
      <c r="D60" s="139"/>
      <c r="E60" s="304">
        <f>_xlfn.IFNA(VLOOKUP(A60,ANALISI!A:O,4,FALSE),0)</f>
        <v>332</v>
      </c>
      <c r="F60" s="305">
        <f>_xlfn.IFNA(VLOOKUP(A60,[1]Foglio1!$A:$Y,3,FALSE),0)</f>
        <v>0</v>
      </c>
      <c r="G60" s="304">
        <f>_xlfn.IFNA(VLOOKUP(A60,ANALISI!A:O,5,FALSE),0)</f>
        <v>36</v>
      </c>
      <c r="H60" s="305">
        <f>_xlfn.IFNA(VLOOKUP(A60,[1]Foglio1!$A:$Y,6,FALSE),0)</f>
        <v>0</v>
      </c>
      <c r="I60" s="304">
        <f>_xlfn.IFNA(VLOOKUP(A60,ANALISI!A:O,8,FALSE),0)</f>
        <v>41</v>
      </c>
      <c r="J60" s="305">
        <f>_xlfn.IFNA(VLOOKUP(A60,[1]Foglio1!$A:$Y,4,FALSE),0)</f>
        <v>0</v>
      </c>
      <c r="K60" s="304">
        <f>_xlfn.IFNA(VLOOKUP(A60,ANALISI!A:O,11,FALSE),0)</f>
        <v>0</v>
      </c>
      <c r="L60" s="305">
        <f>_xlfn.IFNA(VLOOKUP(A60,[1]Foglio1!$A:$Y,5,FALSE),0)</f>
        <v>0</v>
      </c>
      <c r="M60" s="401"/>
      <c r="N60" s="409"/>
      <c r="O60" s="402"/>
      <c r="P60" s="191"/>
      <c r="Q60" s="191"/>
      <c r="R60" s="191"/>
      <c r="S60" s="191"/>
      <c r="T60" s="403" t="str">
        <f>_xlfn.IFNA(VLOOKUP(A60,[1]Foglio1!$A:$K,10,FALSE),"")</f>
        <v xml:space="preserve">17C  da 280C  da </v>
      </c>
    </row>
    <row r="61" spans="1:20" ht="29.25" customHeight="1" x14ac:dyDescent="0.25">
      <c r="A61" s="64">
        <f>'SPUNTA ARRIVI '!A61</f>
        <v>1755</v>
      </c>
      <c r="B61" s="66"/>
      <c r="C61" s="66"/>
      <c r="D61" s="139"/>
      <c r="E61" s="304">
        <f>_xlfn.IFNA(VLOOKUP(A61,ANALISI!A:O,4,FALSE),0)</f>
        <v>88</v>
      </c>
      <c r="F61" s="305">
        <f>_xlfn.IFNA(VLOOKUP(A61,[1]Foglio1!$A:$Y,3,FALSE),0)</f>
        <v>0</v>
      </c>
      <c r="G61" s="304">
        <f>_xlfn.IFNA(VLOOKUP(A61,ANALISI!A:O,5,FALSE),0)</f>
        <v>0</v>
      </c>
      <c r="H61" s="305">
        <f>_xlfn.IFNA(VLOOKUP(A61,[1]Foglio1!$A:$Y,6,FALSE),0)</f>
        <v>114</v>
      </c>
      <c r="I61" s="304">
        <f>_xlfn.IFNA(VLOOKUP(A61,ANALISI!A:O,8,FALSE),0)</f>
        <v>0</v>
      </c>
      <c r="J61" s="305">
        <f>_xlfn.IFNA(VLOOKUP(A61,[1]Foglio1!$A:$Y,4,FALSE),0)</f>
        <v>2</v>
      </c>
      <c r="K61" s="304">
        <f>_xlfn.IFNA(VLOOKUP(A61,ANALISI!A:O,11,FALSE),0)</f>
        <v>14</v>
      </c>
      <c r="L61" s="305">
        <f>_xlfn.IFNA(VLOOKUP(A61,[1]Foglio1!$A:$Y,5,FALSE),0)</f>
        <v>11</v>
      </c>
      <c r="M61" s="401"/>
      <c r="N61" s="409"/>
      <c r="O61" s="405"/>
      <c r="P61" s="191"/>
      <c r="Q61" s="191"/>
      <c r="R61" s="191"/>
      <c r="S61" s="191"/>
      <c r="T61" s="403" t="str">
        <f>_xlfn.IFNA(VLOOKUP(A61,[1]Foglio1!$A:$K,10,FALSE),"")</f>
        <v/>
      </c>
    </row>
    <row r="62" spans="1:20" ht="29.25" customHeight="1" x14ac:dyDescent="0.25">
      <c r="A62" s="64">
        <f>'SPUNTA ARRIVI '!A62</f>
        <v>2917</v>
      </c>
      <c r="B62" s="405"/>
      <c r="C62" s="405"/>
      <c r="D62" s="405"/>
      <c r="E62" s="304">
        <f>_xlfn.IFNA(VLOOKUP(A62,ANALISI!A:O,4,FALSE),0)</f>
        <v>119</v>
      </c>
      <c r="F62" s="305">
        <f>_xlfn.IFNA(VLOOKUP(A62,[1]Foglio1!$A:$Y,3,FALSE),0)</f>
        <v>95</v>
      </c>
      <c r="G62" s="304">
        <f>_xlfn.IFNA(VLOOKUP(A62,ANALISI!A:O,5,FALSE),0)</f>
        <v>0</v>
      </c>
      <c r="H62" s="305">
        <f>_xlfn.IFNA(VLOOKUP(A62,[1]Foglio1!$A:$Y,6,FALSE),0)</f>
        <v>1</v>
      </c>
      <c r="I62" s="304">
        <f>_xlfn.IFNA(VLOOKUP(A62,ANALISI!A:O,8,FALSE),0)</f>
        <v>6</v>
      </c>
      <c r="J62" s="305">
        <f>_xlfn.IFNA(VLOOKUP(A62,[1]Foglio1!$A:$Y,4,FALSE),0)</f>
        <v>15</v>
      </c>
      <c r="K62" s="304">
        <f>_xlfn.IFNA(VLOOKUP(A62,ANALISI!A:O,11,FALSE),0)</f>
        <v>0</v>
      </c>
      <c r="L62" s="305">
        <f>_xlfn.IFNA(VLOOKUP(A62,[1]Foglio1!$A:$Y,5,FALSE),0)</f>
        <v>0</v>
      </c>
      <c r="M62" s="405"/>
      <c r="N62" s="405"/>
      <c r="O62" s="529"/>
      <c r="P62" s="529"/>
      <c r="Q62" s="191"/>
      <c r="R62" s="191"/>
      <c r="S62" s="191"/>
      <c r="T62" s="403" t="str">
        <f>_xlfn.IFNA(VLOOKUP(A62,[1]Foglio1!$A:$K,10,FALSE),"")</f>
        <v/>
      </c>
    </row>
    <row r="63" spans="1:20" ht="29.25" customHeight="1" x14ac:dyDescent="0.25">
      <c r="A63" s="64">
        <f>'SPUNTA ARRIVI '!A63</f>
        <v>0</v>
      </c>
      <c r="B63" s="406"/>
      <c r="C63" s="406"/>
      <c r="D63" s="407"/>
      <c r="E63" s="304">
        <f>_xlfn.IFNA(VLOOKUP(A63,ANALISI!A:O,4,FALSE),0)</f>
        <v>0</v>
      </c>
      <c r="F63" s="305">
        <f>_xlfn.IFNA(VLOOKUP(A63,[1]Foglio1!$A:$Y,3,FALSE),0)</f>
        <v>0</v>
      </c>
      <c r="G63" s="304">
        <f>_xlfn.IFNA(VLOOKUP(A63,ANALISI!A:O,5,FALSE),0)</f>
        <v>0</v>
      </c>
      <c r="H63" s="305">
        <f>_xlfn.IFNA(VLOOKUP(A63,[1]Foglio1!$A:$Y,6,FALSE),0)</f>
        <v>0</v>
      </c>
      <c r="I63" s="304">
        <f>_xlfn.IFNA(VLOOKUP(A63,ANALISI!A:O,8,FALSE),0)</f>
        <v>0</v>
      </c>
      <c r="J63" s="305">
        <f>_xlfn.IFNA(VLOOKUP(A63,[1]Foglio1!$A:$Y,4,FALSE),0)</f>
        <v>0</v>
      </c>
      <c r="K63" s="304">
        <f>_xlfn.IFNA(VLOOKUP(A63,ANALISI!A:O,11,FALSE),0)</f>
        <v>0</v>
      </c>
      <c r="L63" s="305">
        <f>_xlfn.IFNA(VLOOKUP(A63,[1]Foglio1!$A:$Y,5,FALSE),0)</f>
        <v>0</v>
      </c>
      <c r="M63" s="416"/>
      <c r="N63" s="416"/>
      <c r="O63" s="402"/>
      <c r="P63" s="408"/>
      <c r="Q63" s="191"/>
      <c r="R63" s="191"/>
      <c r="S63" s="191"/>
      <c r="T63" s="403" t="str">
        <f>_xlfn.IFNA(VLOOKUP(A63,[1]Foglio1!$A:$K,10,FALSE),"")</f>
        <v/>
      </c>
    </row>
    <row r="64" spans="1:20" ht="29.25" customHeight="1" x14ac:dyDescent="0.25">
      <c r="A64" s="64" t="str">
        <f>'SPUNTA ARRIVI '!A64</f>
        <v>Store ID</v>
      </c>
      <c r="B64" s="413"/>
      <c r="C64" s="66"/>
      <c r="D64" s="139"/>
      <c r="E64" s="304">
        <f>_xlfn.IFNA(VLOOKUP(A64,ANALISI!A:O,4,FALSE),0)</f>
        <v>0</v>
      </c>
      <c r="F64" s="305">
        <f>_xlfn.IFNA(VLOOKUP(A64,[1]Foglio1!$A:$Y,3,FALSE),0)</f>
        <v>0</v>
      </c>
      <c r="G64" s="304">
        <f>_xlfn.IFNA(VLOOKUP(A64,ANALISI!A:O,5,FALSE),0)</f>
        <v>0</v>
      </c>
      <c r="H64" s="305">
        <f>_xlfn.IFNA(VLOOKUP(A64,[1]Foglio1!$A:$Y,6,FALSE),0)</f>
        <v>0</v>
      </c>
      <c r="I64" s="304">
        <f>_xlfn.IFNA(VLOOKUP(A64,ANALISI!A:O,8,FALSE),0)</f>
        <v>0</v>
      </c>
      <c r="J64" s="305">
        <f>_xlfn.IFNA(VLOOKUP(A64,[1]Foglio1!$A:$Y,4,FALSE),0)</f>
        <v>0</v>
      </c>
      <c r="K64" s="304">
        <f>_xlfn.IFNA(VLOOKUP(A64,ANALISI!A:O,11,FALSE),0)</f>
        <v>0</v>
      </c>
      <c r="L64" s="305">
        <f>_xlfn.IFNA(VLOOKUP(A64,[1]Foglio1!$A:$Y,5,FALSE),0)</f>
        <v>0</v>
      </c>
      <c r="M64" s="401"/>
      <c r="N64" s="409"/>
      <c r="O64" s="402"/>
      <c r="P64" s="191"/>
      <c r="Q64" s="191"/>
      <c r="R64" s="191"/>
      <c r="S64" s="191"/>
      <c r="T64" s="403" t="str">
        <f>_xlfn.IFNA(VLOOKUP(A64,[1]Foglio1!$A:$K,10,FALSE),"")</f>
        <v/>
      </c>
    </row>
    <row r="65" spans="1:20" ht="29.25" customHeight="1" x14ac:dyDescent="0.25">
      <c r="A65" s="64">
        <f>'SPUNTA ARRIVI '!A65</f>
        <v>9226</v>
      </c>
      <c r="B65" s="413"/>
      <c r="C65" s="66"/>
      <c r="D65" s="139"/>
      <c r="E65" s="304">
        <f>_xlfn.IFNA(VLOOKUP(A65,ANALISI!A:O,4,FALSE),0)</f>
        <v>280</v>
      </c>
      <c r="F65" s="305">
        <f>_xlfn.IFNA(VLOOKUP(A65,[1]Foglio1!$A:$Y,3,FALSE),0)</f>
        <v>0</v>
      </c>
      <c r="G65" s="304">
        <f>_xlfn.IFNA(VLOOKUP(A65,ANALISI!A:O,5,FALSE),0)</f>
        <v>61</v>
      </c>
      <c r="H65" s="305">
        <f>_xlfn.IFNA(VLOOKUP(A65,[1]Foglio1!$A:$Y,6,FALSE),0)</f>
        <v>0</v>
      </c>
      <c r="I65" s="304">
        <f>_xlfn.IFNA(VLOOKUP(A65,ANALISI!A:O,8,FALSE),0)</f>
        <v>74</v>
      </c>
      <c r="J65" s="305">
        <f>_xlfn.IFNA(VLOOKUP(A65,[1]Foglio1!$A:$Y,4,FALSE),0)</f>
        <v>0</v>
      </c>
      <c r="K65" s="304">
        <f>_xlfn.IFNA(VLOOKUP(A65,ANALISI!A:O,11,FALSE),0)</f>
        <v>0</v>
      </c>
      <c r="L65" s="305">
        <f>_xlfn.IFNA(VLOOKUP(A65,[1]Foglio1!$A:$Y,5,FALSE),0)</f>
        <v>0</v>
      </c>
      <c r="M65" s="401"/>
      <c r="N65" s="409"/>
      <c r="O65" s="402"/>
      <c r="P65" s="397"/>
      <c r="Q65" s="191"/>
      <c r="R65" s="191"/>
      <c r="S65" s="191"/>
      <c r="T65" s="403" t="str">
        <f>_xlfn.IFNA(VLOOKUP(A65,[1]Foglio1!$A:$K,10,FALSE),"")</f>
        <v/>
      </c>
    </row>
    <row r="66" spans="1:20" ht="29.25" customHeight="1" x14ac:dyDescent="0.25">
      <c r="A66" s="64">
        <f>'SPUNTA ARRIVI '!A66</f>
        <v>0</v>
      </c>
      <c r="B66" s="413"/>
      <c r="C66" s="66"/>
      <c r="D66" s="139"/>
      <c r="E66" s="304">
        <f>_xlfn.IFNA(VLOOKUP(A66,ANALISI!A:O,4,FALSE),0)</f>
        <v>0</v>
      </c>
      <c r="F66" s="305">
        <f>_xlfn.IFNA(VLOOKUP(A66,[1]Foglio1!$A:$Y,3,FALSE),0)</f>
        <v>0</v>
      </c>
      <c r="G66" s="304">
        <f>_xlfn.IFNA(VLOOKUP(A66,ANALISI!A:O,5,FALSE),0)</f>
        <v>0</v>
      </c>
      <c r="H66" s="305">
        <f>_xlfn.IFNA(VLOOKUP(A66,[1]Foglio1!$A:$Y,6,FALSE),0)</f>
        <v>0</v>
      </c>
      <c r="I66" s="304">
        <f>_xlfn.IFNA(VLOOKUP(A66,ANALISI!A:O,8,FALSE),0)</f>
        <v>0</v>
      </c>
      <c r="J66" s="305">
        <f>_xlfn.IFNA(VLOOKUP(A66,[1]Foglio1!$A:$Y,4,FALSE),0)</f>
        <v>0</v>
      </c>
      <c r="K66" s="304">
        <f>_xlfn.IFNA(VLOOKUP(A66,ANALISI!A:O,11,FALSE),0)</f>
        <v>0</v>
      </c>
      <c r="L66" s="305">
        <f>_xlfn.IFNA(VLOOKUP(A66,[1]Foglio1!$A:$Y,5,FALSE),0)</f>
        <v>0</v>
      </c>
      <c r="M66" s="401"/>
      <c r="N66" s="409"/>
      <c r="O66" s="402"/>
      <c r="P66" s="191"/>
      <c r="Q66" s="191"/>
      <c r="R66" s="191"/>
      <c r="S66" s="191"/>
      <c r="T66" s="403" t="str">
        <f>_xlfn.IFNA(VLOOKUP(A66,[1]Foglio1!$A:$K,10,FALSE),"")</f>
        <v/>
      </c>
    </row>
    <row r="67" spans="1:20" ht="29.25" customHeight="1" x14ac:dyDescent="0.25">
      <c r="A67" s="64" t="str">
        <f>'SPUNTA ARRIVI '!A67</f>
        <v>Store ID</v>
      </c>
      <c r="B67" s="413"/>
      <c r="C67" s="66"/>
      <c r="D67" s="139"/>
      <c r="E67" s="304">
        <f>_xlfn.IFNA(VLOOKUP(A67,ANALISI!A:O,4,FALSE),0)</f>
        <v>0</v>
      </c>
      <c r="F67" s="305">
        <f>_xlfn.IFNA(VLOOKUP(A67,[1]Foglio1!$A:$Y,3,FALSE),0)</f>
        <v>0</v>
      </c>
      <c r="G67" s="304">
        <f>_xlfn.IFNA(VLOOKUP(A67,ANALISI!A:O,5,FALSE),0)</f>
        <v>0</v>
      </c>
      <c r="H67" s="305">
        <f>_xlfn.IFNA(VLOOKUP(A67,[1]Foglio1!$A:$Y,6,FALSE),0)</f>
        <v>0</v>
      </c>
      <c r="I67" s="304">
        <f>_xlfn.IFNA(VLOOKUP(A67,ANALISI!A:O,8,FALSE),0)</f>
        <v>0</v>
      </c>
      <c r="J67" s="305">
        <f>_xlfn.IFNA(VLOOKUP(A67,[1]Foglio1!$A:$Y,4,FALSE),0)</f>
        <v>0</v>
      </c>
      <c r="K67" s="304">
        <f>_xlfn.IFNA(VLOOKUP(A67,ANALISI!A:O,11,FALSE),0)</f>
        <v>0</v>
      </c>
      <c r="L67" s="305">
        <f>_xlfn.IFNA(VLOOKUP(A67,[1]Foglio1!$A:$Y,5,FALSE),0)</f>
        <v>0</v>
      </c>
      <c r="M67" s="401"/>
      <c r="N67" s="409"/>
      <c r="O67" s="402"/>
      <c r="P67" s="398"/>
      <c r="Q67" s="191"/>
      <c r="R67" s="191"/>
      <c r="S67" s="191"/>
      <c r="T67" s="403" t="str">
        <f>_xlfn.IFNA(VLOOKUP(A67,[1]Foglio1!$A:$K,10,FALSE),"")</f>
        <v/>
      </c>
    </row>
    <row r="68" spans="1:20" ht="29.25" customHeight="1" x14ac:dyDescent="0.25">
      <c r="A68" s="64">
        <f>'SPUNTA ARRIVI '!A68</f>
        <v>15733</v>
      </c>
      <c r="B68" s="413"/>
      <c r="C68" s="413"/>
      <c r="D68" s="139"/>
      <c r="E68" s="304">
        <f>_xlfn.IFNA(VLOOKUP(A68,ANALISI!A:O,4,FALSE),0)</f>
        <v>1959</v>
      </c>
      <c r="F68" s="305">
        <f>_xlfn.IFNA(VLOOKUP(A68,[1]Foglio1!$A:$Y,3,FALSE),0)</f>
        <v>854</v>
      </c>
      <c r="G68" s="304">
        <f>_xlfn.IFNA(VLOOKUP(A68,ANALISI!A:O,5,FALSE),0)</f>
        <v>34</v>
      </c>
      <c r="H68" s="305">
        <f>_xlfn.IFNA(VLOOKUP(A68,[1]Foglio1!$A:$Y,6,FALSE),0)</f>
        <v>0</v>
      </c>
      <c r="I68" s="304">
        <f>_xlfn.IFNA(VLOOKUP(A68,ANALISI!A:O,8,FALSE),0)</f>
        <v>162</v>
      </c>
      <c r="J68" s="305">
        <f>_xlfn.IFNA(VLOOKUP(A68,[1]Foglio1!$A:$Y,4,FALSE),0)</f>
        <v>56</v>
      </c>
      <c r="K68" s="304">
        <f>_xlfn.IFNA(VLOOKUP(A68,ANALISI!A:O,11,FALSE),0)</f>
        <v>0</v>
      </c>
      <c r="L68" s="305">
        <f>_xlfn.IFNA(VLOOKUP(A68,[1]Foglio1!$A:$Y,5,FALSE),0)</f>
        <v>0</v>
      </c>
      <c r="M68" s="401"/>
      <c r="N68" s="409"/>
      <c r="O68" s="402"/>
      <c r="P68" s="191"/>
      <c r="Q68" s="191"/>
      <c r="R68" s="191"/>
      <c r="S68" s="191"/>
      <c r="T68" s="403" t="str">
        <f>_xlfn.IFNA(VLOOKUP(A68,[1]Foglio1!$A:$K,10,FALSE),"")</f>
        <v/>
      </c>
    </row>
    <row r="69" spans="1:20" ht="29.25" customHeight="1" x14ac:dyDescent="0.25">
      <c r="A69" s="64">
        <f>'SPUNTA ARRIVI '!A69</f>
        <v>15733</v>
      </c>
      <c r="B69" s="413"/>
      <c r="C69" s="413"/>
      <c r="D69" s="139"/>
      <c r="E69" s="304">
        <f>_xlfn.IFNA(VLOOKUP(A69,ANALISI!A:O,4,FALSE),0)</f>
        <v>1959</v>
      </c>
      <c r="F69" s="305">
        <f>_xlfn.IFNA(VLOOKUP(A69,[1]Foglio1!$A:$Y,3,FALSE),0)</f>
        <v>854</v>
      </c>
      <c r="G69" s="304">
        <f>_xlfn.IFNA(VLOOKUP(A69,ANALISI!A:O,5,FALSE),0)</f>
        <v>34</v>
      </c>
      <c r="H69" s="305">
        <f>_xlfn.IFNA(VLOOKUP(A69,[1]Foglio1!$A:$Y,6,FALSE),0)</f>
        <v>0</v>
      </c>
      <c r="I69" s="304">
        <f>_xlfn.IFNA(VLOOKUP(A69,ANALISI!A:O,8,FALSE),0)</f>
        <v>162</v>
      </c>
      <c r="J69" s="305">
        <f>_xlfn.IFNA(VLOOKUP(A69,[1]Foglio1!$A:$Y,4,FALSE),0)</f>
        <v>56</v>
      </c>
      <c r="K69" s="304">
        <f>_xlfn.IFNA(VLOOKUP(A69,ANALISI!A:O,11,FALSE),0)</f>
        <v>0</v>
      </c>
      <c r="L69" s="305">
        <f>_xlfn.IFNA(VLOOKUP(A69,[1]Foglio1!$A:$Y,5,FALSE),0)</f>
        <v>0</v>
      </c>
      <c r="M69" s="401"/>
      <c r="N69" s="409"/>
      <c r="O69" s="402"/>
      <c r="P69" s="191"/>
      <c r="Q69" s="191"/>
      <c r="R69" s="191"/>
      <c r="S69" s="191"/>
      <c r="T69" s="403" t="str">
        <f>_xlfn.IFNA(VLOOKUP(A69,[1]Foglio1!$A:$K,10,FALSE),"")</f>
        <v/>
      </c>
    </row>
    <row r="70" spans="1:20" ht="29.25" customHeight="1" x14ac:dyDescent="0.25">
      <c r="A70" s="64">
        <f>'SPUNTA ARRIVI '!A70</f>
        <v>15733</v>
      </c>
      <c r="B70" s="413"/>
      <c r="C70" s="413"/>
      <c r="D70" s="139"/>
      <c r="E70" s="304">
        <f>_xlfn.IFNA(VLOOKUP(A70,ANALISI!A:O,4,FALSE),0)</f>
        <v>1959</v>
      </c>
      <c r="F70" s="305">
        <f>_xlfn.IFNA(VLOOKUP(A70,[1]Foglio1!$A:$Y,3,FALSE),0)</f>
        <v>854</v>
      </c>
      <c r="G70" s="304">
        <f>_xlfn.IFNA(VLOOKUP(A70,ANALISI!A:O,5,FALSE),0)</f>
        <v>34</v>
      </c>
      <c r="H70" s="305">
        <f>_xlfn.IFNA(VLOOKUP(A70,[1]Foglio1!$A:$Y,6,FALSE),0)</f>
        <v>0</v>
      </c>
      <c r="I70" s="304">
        <f>_xlfn.IFNA(VLOOKUP(A70,ANALISI!A:O,8,FALSE),0)</f>
        <v>162</v>
      </c>
      <c r="J70" s="305">
        <f>_xlfn.IFNA(VLOOKUP(A70,[1]Foglio1!$A:$Y,4,FALSE),0)</f>
        <v>56</v>
      </c>
      <c r="K70" s="304">
        <f>_xlfn.IFNA(VLOOKUP(A70,ANALISI!A:O,11,FALSE),0)</f>
        <v>0</v>
      </c>
      <c r="L70" s="305">
        <f>_xlfn.IFNA(VLOOKUP(A70,[1]Foglio1!$A:$Y,5,FALSE),0)</f>
        <v>0</v>
      </c>
      <c r="M70" s="401"/>
      <c r="N70" s="409"/>
      <c r="O70" s="405"/>
      <c r="P70" s="191"/>
      <c r="Q70" s="191"/>
      <c r="R70" s="191"/>
      <c r="S70" s="191"/>
      <c r="T70" s="403" t="str">
        <f>_xlfn.IFNA(VLOOKUP(A70,[1]Foglio1!$A:$K,10,FALSE),"")</f>
        <v/>
      </c>
    </row>
    <row r="71" spans="1:20" ht="29.25" customHeight="1" x14ac:dyDescent="0.25">
      <c r="A71" s="64">
        <f>'SPUNTA ARRIVI '!A71</f>
        <v>0</v>
      </c>
      <c r="B71" s="405"/>
      <c r="C71" s="405"/>
      <c r="D71" s="405"/>
      <c r="E71" s="304">
        <f>_xlfn.IFNA(VLOOKUP(A71,ANALISI!A:O,4,FALSE),0)</f>
        <v>0</v>
      </c>
      <c r="F71" s="305">
        <f>_xlfn.IFNA(VLOOKUP(A71,[1]Foglio1!$A:$Y,3,FALSE),0)</f>
        <v>0</v>
      </c>
      <c r="G71" s="304">
        <f>_xlfn.IFNA(VLOOKUP(A71,ANALISI!A:O,5,FALSE),0)</f>
        <v>0</v>
      </c>
      <c r="H71" s="305">
        <f>_xlfn.IFNA(VLOOKUP(A71,[1]Foglio1!$A:$Y,6,FALSE),0)</f>
        <v>0</v>
      </c>
      <c r="I71" s="304">
        <f>_xlfn.IFNA(VLOOKUP(A71,ANALISI!A:O,8,FALSE),0)</f>
        <v>0</v>
      </c>
      <c r="J71" s="305">
        <f>_xlfn.IFNA(VLOOKUP(A71,[1]Foglio1!$A:$Y,4,FALSE),0)</f>
        <v>0</v>
      </c>
      <c r="K71" s="304">
        <f>_xlfn.IFNA(VLOOKUP(A71,ANALISI!A:O,11,FALSE),0)</f>
        <v>0</v>
      </c>
      <c r="L71" s="305">
        <f>_xlfn.IFNA(VLOOKUP(A71,[1]Foglio1!$A:$Y,5,FALSE),0)</f>
        <v>0</v>
      </c>
      <c r="M71" s="405"/>
      <c r="N71" s="405"/>
      <c r="O71" s="529"/>
      <c r="P71" s="529"/>
      <c r="Q71" s="191"/>
      <c r="R71" s="191"/>
      <c r="S71" s="191"/>
      <c r="T71" s="403" t="str">
        <f>_xlfn.IFNA(VLOOKUP(A71,[1]Foglio1!$A:$K,10,FALSE),"")</f>
        <v/>
      </c>
    </row>
    <row r="72" spans="1:20" ht="29.25" customHeight="1" x14ac:dyDescent="0.25">
      <c r="A72" s="64" t="str">
        <f>'SPUNTA ARRIVI '!A72</f>
        <v>Store ID</v>
      </c>
      <c r="B72" s="406"/>
      <c r="C72" s="406"/>
      <c r="D72" s="407"/>
      <c r="E72" s="304">
        <f>_xlfn.IFNA(VLOOKUP(A72,ANALISI!A:O,4,FALSE),0)</f>
        <v>0</v>
      </c>
      <c r="F72" s="305">
        <f>_xlfn.IFNA(VLOOKUP(A72,[1]Foglio1!$A:$Y,3,FALSE),0)</f>
        <v>0</v>
      </c>
      <c r="G72" s="304">
        <f>_xlfn.IFNA(VLOOKUP(A72,ANALISI!A:O,5,FALSE),0)</f>
        <v>0</v>
      </c>
      <c r="H72" s="305">
        <f>_xlfn.IFNA(VLOOKUP(A72,[1]Foglio1!$A:$Y,6,FALSE),0)</f>
        <v>0</v>
      </c>
      <c r="I72" s="304">
        <f>_xlfn.IFNA(VLOOKUP(A72,ANALISI!A:O,8,FALSE),0)</f>
        <v>0</v>
      </c>
      <c r="J72" s="305">
        <f>_xlfn.IFNA(VLOOKUP(A72,[1]Foglio1!$A:$Y,4,FALSE),0)</f>
        <v>0</v>
      </c>
      <c r="K72" s="304">
        <f>_xlfn.IFNA(VLOOKUP(A72,ANALISI!A:O,11,FALSE),0)</f>
        <v>0</v>
      </c>
      <c r="L72" s="305">
        <f>_xlfn.IFNA(VLOOKUP(A72,[1]Foglio1!$A:$Y,5,FALSE),0)</f>
        <v>0</v>
      </c>
      <c r="M72" s="416"/>
      <c r="N72" s="416"/>
      <c r="O72" s="405"/>
      <c r="P72" s="408"/>
      <c r="Q72" s="191"/>
      <c r="R72" s="191"/>
      <c r="S72" s="191"/>
      <c r="T72" s="403" t="str">
        <f>_xlfn.IFNA(VLOOKUP(A72,[1]Foglio1!$A:$K,10,FALSE),"")</f>
        <v/>
      </c>
    </row>
    <row r="73" spans="1:20" ht="29.25" customHeight="1" x14ac:dyDescent="0.25">
      <c r="A73" s="64">
        <f>'SPUNTA ARRIVI '!A73</f>
        <v>3534</v>
      </c>
      <c r="B73" s="413"/>
      <c r="C73" s="413"/>
      <c r="D73" s="139"/>
      <c r="E73" s="304">
        <f>_xlfn.IFNA(VLOOKUP(A73,ANALISI!A:O,4,FALSE),0)</f>
        <v>370</v>
      </c>
      <c r="F73" s="305">
        <f>_xlfn.IFNA(VLOOKUP(A73,[1]Foglio1!$A:$Y,3,FALSE),0)</f>
        <v>294</v>
      </c>
      <c r="G73" s="304">
        <f>_xlfn.IFNA(VLOOKUP(A73,ANALISI!A:O,5,FALSE),0)</f>
        <v>28</v>
      </c>
      <c r="H73" s="305">
        <f>_xlfn.IFNA(VLOOKUP(A73,[1]Foglio1!$A:$Y,6,FALSE),0)</f>
        <v>0</v>
      </c>
      <c r="I73" s="304">
        <f>_xlfn.IFNA(VLOOKUP(A73,ANALISI!A:O,8,FALSE),0)</f>
        <v>31</v>
      </c>
      <c r="J73" s="305">
        <f>_xlfn.IFNA(VLOOKUP(A73,[1]Foglio1!$A:$Y,4,FALSE),0)</f>
        <v>17</v>
      </c>
      <c r="K73" s="304">
        <f>_xlfn.IFNA(VLOOKUP(A73,ANALISI!A:O,11,FALSE),0)</f>
        <v>0</v>
      </c>
      <c r="L73" s="305">
        <f>_xlfn.IFNA(VLOOKUP(A73,[1]Foglio1!$A:$Y,5,FALSE),0)</f>
        <v>0</v>
      </c>
      <c r="M73" s="401"/>
      <c r="N73" s="405"/>
      <c r="O73" s="405"/>
      <c r="P73" s="191"/>
      <c r="Q73" s="191"/>
      <c r="R73" s="191"/>
      <c r="S73" s="191"/>
      <c r="T73" s="403" t="str">
        <f>_xlfn.IFNA(VLOOKUP(A73,[1]Foglio1!$A:$K,10,FALSE),"")</f>
        <v/>
      </c>
    </row>
    <row r="74" spans="1:20" ht="29.25" customHeight="1" x14ac:dyDescent="0.25">
      <c r="A74" s="64">
        <f>'SPUNTA ARRIVI '!A74</f>
        <v>5306</v>
      </c>
      <c r="B74" s="405"/>
      <c r="C74" s="405"/>
      <c r="D74" s="405"/>
      <c r="E74" s="304">
        <f>_xlfn.IFNA(VLOOKUP(A74,ANALISI!A:O,4,FALSE),0)</f>
        <v>139</v>
      </c>
      <c r="F74" s="305">
        <f>_xlfn.IFNA(VLOOKUP(A74,[1]Foglio1!$A:$Y,3,FALSE),0)</f>
        <v>92</v>
      </c>
      <c r="G74" s="304">
        <f>_xlfn.IFNA(VLOOKUP(A74,ANALISI!A:O,5,FALSE),0)</f>
        <v>0</v>
      </c>
      <c r="H74" s="305">
        <f>_xlfn.IFNA(VLOOKUP(A74,[1]Foglio1!$A:$Y,6,FALSE),0)</f>
        <v>0</v>
      </c>
      <c r="I74" s="304">
        <f>_xlfn.IFNA(VLOOKUP(A74,ANALISI!A:O,8,FALSE),0)</f>
        <v>7</v>
      </c>
      <c r="J74" s="305">
        <f>_xlfn.IFNA(VLOOKUP(A74,[1]Foglio1!$A:$Y,4,FALSE),0)</f>
        <v>6</v>
      </c>
      <c r="K74" s="304">
        <f>_xlfn.IFNA(VLOOKUP(A74,ANALISI!A:O,11,FALSE),0)</f>
        <v>1</v>
      </c>
      <c r="L74" s="305">
        <f>_xlfn.IFNA(VLOOKUP(A74,[1]Foglio1!$A:$Y,5,FALSE),0)</f>
        <v>2</v>
      </c>
      <c r="M74" s="405"/>
      <c r="N74" s="405"/>
      <c r="O74" s="529"/>
      <c r="P74" s="529"/>
      <c r="Q74" s="191"/>
      <c r="R74" s="191"/>
      <c r="S74" s="191"/>
      <c r="T74" s="403" t="str">
        <f>_xlfn.IFNA(VLOOKUP(A74,[1]Foglio1!$A:$K,10,FALSE),"")</f>
        <v/>
      </c>
    </row>
    <row r="75" spans="1:20" ht="29.25" customHeight="1" x14ac:dyDescent="0.25">
      <c r="A75" s="64">
        <f>'SPUNTA ARRIVI '!A75</f>
        <v>8364</v>
      </c>
      <c r="B75" s="406"/>
      <c r="C75" s="406"/>
      <c r="D75" s="407"/>
      <c r="E75" s="304">
        <f>_xlfn.IFNA(VLOOKUP(A75,ANALISI!A:O,4,FALSE),0)</f>
        <v>136</v>
      </c>
      <c r="F75" s="305">
        <f>_xlfn.IFNA(VLOOKUP(A75,[1]Foglio1!$A:$Y,3,FALSE),0)</f>
        <v>94</v>
      </c>
      <c r="G75" s="304">
        <f>_xlfn.IFNA(VLOOKUP(A75,ANALISI!A:O,5,FALSE),0)</f>
        <v>2</v>
      </c>
      <c r="H75" s="305">
        <f>_xlfn.IFNA(VLOOKUP(A75,[1]Foglio1!$A:$Y,6,FALSE),0)</f>
        <v>6</v>
      </c>
      <c r="I75" s="304">
        <f>_xlfn.IFNA(VLOOKUP(A75,ANALISI!A:O,8,FALSE),0)</f>
        <v>11</v>
      </c>
      <c r="J75" s="305">
        <f>_xlfn.IFNA(VLOOKUP(A75,[1]Foglio1!$A:$Y,4,FALSE),0)</f>
        <v>10</v>
      </c>
      <c r="K75" s="304">
        <f>_xlfn.IFNA(VLOOKUP(A75,ANALISI!A:O,11,FALSE),0)</f>
        <v>0</v>
      </c>
      <c r="L75" s="305">
        <f>_xlfn.IFNA(VLOOKUP(A75,[1]Foglio1!$A:$Y,5,FALSE),0)</f>
        <v>0</v>
      </c>
      <c r="M75" s="416"/>
      <c r="N75" s="416"/>
      <c r="O75" s="402"/>
      <c r="P75" s="408"/>
      <c r="Q75" s="191"/>
      <c r="R75" s="191"/>
      <c r="S75" s="191"/>
      <c r="T75" s="403" t="str">
        <f>_xlfn.IFNA(VLOOKUP(A75,[1]Foglio1!$A:$K,10,FALSE),"")</f>
        <v/>
      </c>
    </row>
    <row r="76" spans="1:20" ht="29.25" customHeight="1" x14ac:dyDescent="0.25">
      <c r="A76" s="64">
        <f>'SPUNTA ARRIVI '!A76</f>
        <v>2898</v>
      </c>
      <c r="B76" s="413"/>
      <c r="C76" s="413"/>
      <c r="D76" s="139"/>
      <c r="E76" s="304">
        <f>_xlfn.IFNA(VLOOKUP(A76,ANALISI!A:O,4,FALSE),0)</f>
        <v>126</v>
      </c>
      <c r="F76" s="305">
        <f>_xlfn.IFNA(VLOOKUP(A76,[1]Foglio1!$A:$Y,3,FALSE),0)</f>
        <v>90</v>
      </c>
      <c r="G76" s="304">
        <f>_xlfn.IFNA(VLOOKUP(A76,ANALISI!A:O,5,FALSE),0)</f>
        <v>0</v>
      </c>
      <c r="H76" s="305">
        <f>_xlfn.IFNA(VLOOKUP(A76,[1]Foglio1!$A:$Y,6,FALSE),0)</f>
        <v>0</v>
      </c>
      <c r="I76" s="304">
        <f>_xlfn.IFNA(VLOOKUP(A76,ANALISI!A:O,8,FALSE),0)</f>
        <v>4</v>
      </c>
      <c r="J76" s="305">
        <f>_xlfn.IFNA(VLOOKUP(A76,[1]Foglio1!$A:$Y,4,FALSE),0)</f>
        <v>9</v>
      </c>
      <c r="K76" s="304">
        <f>_xlfn.IFNA(VLOOKUP(A76,ANALISI!A:O,11,FALSE),0)</f>
        <v>0</v>
      </c>
      <c r="L76" s="305">
        <f>_xlfn.IFNA(VLOOKUP(A76,[1]Foglio1!$A:$Y,5,FALSE),0)</f>
        <v>0</v>
      </c>
      <c r="M76" s="401"/>
      <c r="N76" s="409"/>
      <c r="O76" s="404"/>
      <c r="P76" s="191"/>
      <c r="Q76" s="191"/>
      <c r="R76" s="191"/>
      <c r="S76" s="191"/>
      <c r="T76" s="403" t="str">
        <f>_xlfn.IFNA(VLOOKUP(A76,[1]Foglio1!$A:$K,10,FALSE),"")</f>
        <v/>
      </c>
    </row>
    <row r="77" spans="1:20" ht="29.25" customHeight="1" x14ac:dyDescent="0.25">
      <c r="A77" s="64" t="str">
        <f>'SPUNTA ARRIVI '!A77</f>
        <v>Store ID</v>
      </c>
      <c r="B77" s="413"/>
      <c r="C77" s="413"/>
      <c r="D77" s="139"/>
      <c r="E77" s="304">
        <f>_xlfn.IFNA(VLOOKUP(A77,ANALISI!A:O,4,FALSE),0)</f>
        <v>0</v>
      </c>
      <c r="F77" s="305">
        <f>_xlfn.IFNA(VLOOKUP(A77,[1]Foglio1!$A:$Y,3,FALSE),0)</f>
        <v>0</v>
      </c>
      <c r="G77" s="304">
        <f>_xlfn.IFNA(VLOOKUP(A77,ANALISI!A:O,5,FALSE),0)</f>
        <v>0</v>
      </c>
      <c r="H77" s="305">
        <f>_xlfn.IFNA(VLOOKUP(A77,[1]Foglio1!$A:$Y,6,FALSE),0)</f>
        <v>0</v>
      </c>
      <c r="I77" s="304">
        <f>_xlfn.IFNA(VLOOKUP(A77,ANALISI!A:O,8,FALSE),0)</f>
        <v>0</v>
      </c>
      <c r="J77" s="305">
        <f>_xlfn.IFNA(VLOOKUP(A77,[1]Foglio1!$A:$Y,4,FALSE),0)</f>
        <v>0</v>
      </c>
      <c r="K77" s="304">
        <f>_xlfn.IFNA(VLOOKUP(A77,ANALISI!A:O,11,FALSE),0)</f>
        <v>0</v>
      </c>
      <c r="L77" s="305">
        <f>_xlfn.IFNA(VLOOKUP(A77,[1]Foglio1!$A:$Y,5,FALSE),0)</f>
        <v>0</v>
      </c>
      <c r="M77" s="401"/>
      <c r="N77" s="410"/>
      <c r="O77" s="405"/>
      <c r="P77" s="397"/>
      <c r="Q77" s="191"/>
      <c r="R77" s="191"/>
      <c r="S77" s="191"/>
      <c r="T77" s="403" t="str">
        <f>_xlfn.IFNA(VLOOKUP(A77,[1]Foglio1!$A:$K,10,FALSE),"")</f>
        <v/>
      </c>
    </row>
    <row r="78" spans="1:20" ht="29.25" customHeight="1" x14ac:dyDescent="0.25">
      <c r="A78" s="64">
        <f>'SPUNTA ARRIVI '!A78</f>
        <v>17019</v>
      </c>
      <c r="B78" s="405"/>
      <c r="C78" s="405"/>
      <c r="D78" s="405"/>
      <c r="E78" s="304">
        <f>_xlfn.IFNA(VLOOKUP(A78,ANALISI!A:O,4,FALSE),0)</f>
        <v>45</v>
      </c>
      <c r="F78" s="305">
        <f>_xlfn.IFNA(VLOOKUP(A78,[1]Foglio1!$A:$Y,3,FALSE),0)</f>
        <v>44</v>
      </c>
      <c r="G78" s="304">
        <f>_xlfn.IFNA(VLOOKUP(A78,ANALISI!A:O,5,FALSE),0)</f>
        <v>3</v>
      </c>
      <c r="H78" s="305">
        <f>_xlfn.IFNA(VLOOKUP(A78,[1]Foglio1!$A:$Y,6,FALSE),0)</f>
        <v>32</v>
      </c>
      <c r="I78" s="304">
        <f>_xlfn.IFNA(VLOOKUP(A78,ANALISI!A:O,8,FALSE),0)</f>
        <v>17</v>
      </c>
      <c r="J78" s="305">
        <f>_xlfn.IFNA(VLOOKUP(A78,[1]Foglio1!$A:$Y,4,FALSE),0)</f>
        <v>25</v>
      </c>
      <c r="K78" s="304">
        <f>_xlfn.IFNA(VLOOKUP(A78,ANALISI!A:O,11,FALSE),0)</f>
        <v>0</v>
      </c>
      <c r="L78" s="305">
        <f>_xlfn.IFNA(VLOOKUP(A78,[1]Foglio1!$A:$Y,5,FALSE),0)</f>
        <v>0</v>
      </c>
      <c r="M78" s="405"/>
      <c r="N78" s="405"/>
      <c r="O78" s="529"/>
      <c r="P78" s="529"/>
      <c r="Q78" s="191"/>
      <c r="R78" s="191"/>
      <c r="S78" s="191"/>
      <c r="T78" s="403" t="str">
        <f>_xlfn.IFNA(VLOOKUP(A78,[1]Foglio1!$A:$K,10,FALSE),"")</f>
        <v/>
      </c>
    </row>
    <row r="79" spans="1:20" ht="29.25" customHeight="1" x14ac:dyDescent="0.25">
      <c r="A79" s="64">
        <f>'SPUNTA ARRIVI '!A79</f>
        <v>0</v>
      </c>
      <c r="B79" s="406"/>
      <c r="C79" s="406"/>
      <c r="D79" s="407"/>
      <c r="E79" s="304">
        <f>_xlfn.IFNA(VLOOKUP(A79,ANALISI!A:O,4,FALSE),0)</f>
        <v>0</v>
      </c>
      <c r="F79" s="305">
        <f>_xlfn.IFNA(VLOOKUP(A79,[1]Foglio1!$A:$Y,3,FALSE),0)</f>
        <v>0</v>
      </c>
      <c r="G79" s="304">
        <f>_xlfn.IFNA(VLOOKUP(A79,ANALISI!A:O,5,FALSE),0)</f>
        <v>0</v>
      </c>
      <c r="H79" s="305">
        <f>_xlfn.IFNA(VLOOKUP(A79,[1]Foglio1!$A:$Y,6,FALSE),0)</f>
        <v>0</v>
      </c>
      <c r="I79" s="304">
        <f>_xlfn.IFNA(VLOOKUP(A79,ANALISI!A:O,8,FALSE),0)</f>
        <v>0</v>
      </c>
      <c r="J79" s="305">
        <f>_xlfn.IFNA(VLOOKUP(A79,[1]Foglio1!$A:$Y,4,FALSE),0)</f>
        <v>0</v>
      </c>
      <c r="K79" s="304">
        <f>_xlfn.IFNA(VLOOKUP(A79,ANALISI!A:O,11,FALSE),0)</f>
        <v>0</v>
      </c>
      <c r="L79" s="305">
        <f>_xlfn.IFNA(VLOOKUP(A79,[1]Foglio1!$A:$Y,5,FALSE),0)</f>
        <v>0</v>
      </c>
      <c r="M79" s="416"/>
      <c r="N79" s="416"/>
      <c r="O79" s="402"/>
      <c r="P79" s="408"/>
      <c r="Q79" s="191"/>
      <c r="R79" s="191"/>
      <c r="S79" s="191"/>
      <c r="T79" s="403" t="str">
        <f>_xlfn.IFNA(VLOOKUP(A79,[1]Foglio1!$A:$K,10,FALSE),"")</f>
        <v/>
      </c>
    </row>
    <row r="80" spans="1:20" ht="29.25" customHeight="1" x14ac:dyDescent="0.25">
      <c r="A80" s="64" t="str">
        <f>'SPUNTA ARRIVI '!A80</f>
        <v>NEGOZIO</v>
      </c>
      <c r="B80" s="66"/>
      <c r="C80" s="66"/>
      <c r="D80" s="139"/>
      <c r="E80" s="304">
        <f>_xlfn.IFNA(VLOOKUP(A80,ANALISI!A:O,4,FALSE),0)</f>
        <v>0</v>
      </c>
      <c r="F80" s="305">
        <f>_xlfn.IFNA(VLOOKUP(A80,[1]Foglio1!$A:$Y,3,FALSE),0)</f>
        <v>0</v>
      </c>
      <c r="G80" s="304">
        <f>_xlfn.IFNA(VLOOKUP(A80,ANALISI!A:O,5,FALSE),0)</f>
        <v>0</v>
      </c>
      <c r="H80" s="305">
        <f>_xlfn.IFNA(VLOOKUP(A80,[1]Foglio1!$A:$Y,6,FALSE),0)</f>
        <v>0</v>
      </c>
      <c r="I80" s="304">
        <f>_xlfn.IFNA(VLOOKUP(A80,ANALISI!A:O,8,FALSE),0)</f>
        <v>0</v>
      </c>
      <c r="J80" s="305">
        <f>_xlfn.IFNA(VLOOKUP(A80,[1]Foglio1!$A:$Y,4,FALSE),0)</f>
        <v>0</v>
      </c>
      <c r="K80" s="304">
        <f>_xlfn.IFNA(VLOOKUP(A80,ANALISI!A:O,11,FALSE),0)</f>
        <v>0</v>
      </c>
      <c r="L80" s="305">
        <f>_xlfn.IFNA(VLOOKUP(A80,[1]Foglio1!$A:$Y,5,FALSE),0)</f>
        <v>0</v>
      </c>
      <c r="M80" s="401"/>
      <c r="N80" s="409"/>
      <c r="O80" s="404"/>
      <c r="P80" s="191"/>
      <c r="Q80" s="191"/>
      <c r="R80" s="191"/>
      <c r="S80" s="191"/>
      <c r="T80" s="403" t="str">
        <f>_xlfn.IFNA(VLOOKUP(A80,[1]Foglio1!$A:$K,10,FALSE),"")</f>
        <v/>
      </c>
    </row>
    <row r="81" spans="1:20" ht="29.25" customHeight="1" x14ac:dyDescent="0.25">
      <c r="A81" s="64" t="str">
        <f>'SPUNTA ARRIVI '!A81</f>
        <v>5349B</v>
      </c>
      <c r="B81" s="66"/>
      <c r="C81" s="66"/>
      <c r="D81" s="139"/>
      <c r="E81" s="304">
        <f>_xlfn.IFNA(VLOOKUP(A81,ANALISI!A:O,4,FALSE),0)</f>
        <v>0</v>
      </c>
      <c r="F81" s="305">
        <f>_xlfn.IFNA(VLOOKUP(A81,[1]Foglio1!$A:$Y,3,FALSE),0)</f>
        <v>0</v>
      </c>
      <c r="G81" s="304">
        <f>_xlfn.IFNA(VLOOKUP(A81,ANALISI!A:O,5,FALSE),0)</f>
        <v>0</v>
      </c>
      <c r="H81" s="305">
        <f>_xlfn.IFNA(VLOOKUP(A81,[1]Foglio1!$A:$Y,6,FALSE),0)</f>
        <v>0</v>
      </c>
      <c r="I81" s="304">
        <f>_xlfn.IFNA(VLOOKUP(A81,ANALISI!A:O,8,FALSE),0)</f>
        <v>0</v>
      </c>
      <c r="J81" s="305">
        <f>_xlfn.IFNA(VLOOKUP(A81,[1]Foglio1!$A:$Y,4,FALSE),0)</f>
        <v>0</v>
      </c>
      <c r="K81" s="304">
        <f>_xlfn.IFNA(VLOOKUP(A81,ANALISI!A:O,11,FALSE),0)</f>
        <v>0</v>
      </c>
      <c r="L81" s="305">
        <f>_xlfn.IFNA(VLOOKUP(A81,[1]Foglio1!$A:$Y,5,FALSE),0)</f>
        <v>0</v>
      </c>
      <c r="M81" s="401"/>
      <c r="N81" s="410"/>
      <c r="O81" s="404"/>
      <c r="P81" s="397"/>
      <c r="Q81" s="191"/>
      <c r="R81" s="191"/>
      <c r="S81" s="191"/>
      <c r="T81" s="403" t="str">
        <f>_xlfn.IFNA(VLOOKUP(A81,[1]Foglio1!$A:$K,10,FALSE),"")</f>
        <v/>
      </c>
    </row>
    <row r="82" spans="1:20" ht="29.25" customHeight="1" x14ac:dyDescent="0.25">
      <c r="A82" s="64" t="str">
        <f>'SPUNTA ARRIVI '!A82</f>
        <v>8428B</v>
      </c>
      <c r="B82" s="66"/>
      <c r="C82" s="66"/>
      <c r="D82" s="139"/>
      <c r="E82" s="304">
        <f>_xlfn.IFNA(VLOOKUP(A82,ANALISI!A:O,4,FALSE),0)</f>
        <v>0</v>
      </c>
      <c r="F82" s="305">
        <f>_xlfn.IFNA(VLOOKUP(A82,[1]Foglio1!$A:$Y,3,FALSE),0)</f>
        <v>0</v>
      </c>
      <c r="G82" s="304">
        <f>_xlfn.IFNA(VLOOKUP(A82,ANALISI!A:O,5,FALSE),0)</f>
        <v>0</v>
      </c>
      <c r="H82" s="305">
        <f>_xlfn.IFNA(VLOOKUP(A82,[1]Foglio1!$A:$Y,6,FALSE),0)</f>
        <v>0</v>
      </c>
      <c r="I82" s="304">
        <f>_xlfn.IFNA(VLOOKUP(A82,ANALISI!A:O,8,FALSE),0)</f>
        <v>0</v>
      </c>
      <c r="J82" s="305">
        <f>_xlfn.IFNA(VLOOKUP(A82,[1]Foglio1!$A:$Y,4,FALSE),0)</f>
        <v>0</v>
      </c>
      <c r="K82" s="304">
        <f>_xlfn.IFNA(VLOOKUP(A82,ANALISI!A:O,11,FALSE),0)</f>
        <v>0</v>
      </c>
      <c r="L82" s="305">
        <f>_xlfn.IFNA(VLOOKUP(A82,[1]Foglio1!$A:$Y,5,FALSE),0)</f>
        <v>0</v>
      </c>
      <c r="M82" s="401"/>
      <c r="N82" s="410"/>
      <c r="O82" s="404"/>
      <c r="P82" s="191"/>
      <c r="Q82" s="191"/>
      <c r="R82" s="191"/>
      <c r="S82" s="191"/>
      <c r="T82" s="403" t="str">
        <f>_xlfn.IFNA(VLOOKUP(A82,[1]Foglio1!$A:$K,10,FALSE),"")</f>
        <v/>
      </c>
    </row>
    <row r="83" spans="1:20" ht="29.25" customHeight="1" x14ac:dyDescent="0.25">
      <c r="A83" s="64" t="str">
        <f>'SPUNTA ARRIVI '!A83</f>
        <v>NEGOZIO</v>
      </c>
      <c r="B83" s="66"/>
      <c r="C83" s="66"/>
      <c r="D83" s="139"/>
      <c r="E83" s="304">
        <f>_xlfn.IFNA(VLOOKUP(A83,ANALISI!A:O,4,FALSE),0)</f>
        <v>0</v>
      </c>
      <c r="F83" s="305">
        <f>_xlfn.IFNA(VLOOKUP(A83,[1]Foglio1!$A:$Y,3,FALSE),0)</f>
        <v>0</v>
      </c>
      <c r="G83" s="304">
        <f>_xlfn.IFNA(VLOOKUP(A83,ANALISI!A:O,5,FALSE),0)</f>
        <v>0</v>
      </c>
      <c r="H83" s="305">
        <f>_xlfn.IFNA(VLOOKUP(A83,[1]Foglio1!$A:$Y,6,FALSE),0)</f>
        <v>0</v>
      </c>
      <c r="I83" s="304">
        <f>_xlfn.IFNA(VLOOKUP(A83,ANALISI!A:O,8,FALSE),0)</f>
        <v>0</v>
      </c>
      <c r="J83" s="305">
        <f>_xlfn.IFNA(VLOOKUP(A83,[1]Foglio1!$A:$Y,4,FALSE),0)</f>
        <v>0</v>
      </c>
      <c r="K83" s="304">
        <f>_xlfn.IFNA(VLOOKUP(A83,ANALISI!A:O,11,FALSE),0)</f>
        <v>0</v>
      </c>
      <c r="L83" s="305">
        <f>_xlfn.IFNA(VLOOKUP(A83,[1]Foglio1!$A:$Y,5,FALSE),0)</f>
        <v>0</v>
      </c>
      <c r="M83" s="401"/>
      <c r="N83" s="410"/>
      <c r="O83" s="405"/>
      <c r="P83" s="191"/>
      <c r="Q83" s="191"/>
      <c r="R83" s="191"/>
      <c r="S83" s="191"/>
      <c r="T83" s="403" t="str">
        <f>_xlfn.IFNA(VLOOKUP(A83,[1]Foglio1!$A:$K,10,FALSE),"")</f>
        <v/>
      </c>
    </row>
    <row r="84" spans="1:20" ht="29.25" customHeight="1" x14ac:dyDescent="0.25">
      <c r="A84" s="64" t="str">
        <f>'SPUNTA ARRIVI '!A84</f>
        <v>3503B</v>
      </c>
      <c r="B84" s="20"/>
      <c r="C84" s="20"/>
      <c r="D84" s="414"/>
      <c r="E84" s="304">
        <f>_xlfn.IFNA(VLOOKUP(A84,ANALISI!A:O,4,FALSE),0)</f>
        <v>0</v>
      </c>
      <c r="F84" s="305">
        <f>_xlfn.IFNA(VLOOKUP(A84,[1]Foglio1!$A:$Y,3,FALSE),0)</f>
        <v>0</v>
      </c>
      <c r="G84" s="304">
        <f>_xlfn.IFNA(VLOOKUP(A84,ANALISI!A:O,5,FALSE),0)</f>
        <v>0</v>
      </c>
      <c r="H84" s="305">
        <f>_xlfn.IFNA(VLOOKUP(A84,[1]Foglio1!$A:$Y,6,FALSE),0)</f>
        <v>0</v>
      </c>
      <c r="I84" s="304">
        <f>_xlfn.IFNA(VLOOKUP(A84,ANALISI!A:O,8,FALSE),0)</f>
        <v>0</v>
      </c>
      <c r="J84" s="305">
        <f>_xlfn.IFNA(VLOOKUP(A84,[1]Foglio1!$A:$Y,4,FALSE),0)</f>
        <v>0</v>
      </c>
      <c r="K84" s="304">
        <f>_xlfn.IFNA(VLOOKUP(A84,ANALISI!A:O,11,FALSE),0)</f>
        <v>0</v>
      </c>
      <c r="L84" s="305">
        <f>_xlfn.IFNA(VLOOKUP(A84,[1]Foglio1!$A:$Y,5,FALSE),0)</f>
        <v>0</v>
      </c>
      <c r="M84" s="191"/>
      <c r="N84" s="191"/>
      <c r="O84" s="191"/>
      <c r="P84" s="191"/>
      <c r="Q84" s="191"/>
      <c r="R84" s="191"/>
      <c r="S84" s="191"/>
      <c r="T84" s="403" t="str">
        <f>_xlfn.IFNA(VLOOKUP(A84,[1]Foglio1!$A:$K,10,FALSE),"")</f>
        <v/>
      </c>
    </row>
    <row r="85" spans="1:20" ht="29.25" customHeight="1" x14ac:dyDescent="0.25">
      <c r="A85" s="64" t="str">
        <f>'SPUNTA ARRIVI '!A85</f>
        <v>NEGOZIO</v>
      </c>
      <c r="B85" s="20"/>
      <c r="C85" s="20"/>
      <c r="D85" s="414"/>
      <c r="E85" s="304">
        <f>_xlfn.IFNA(VLOOKUP(A85,ANALISI!A:O,4,FALSE),0)</f>
        <v>0</v>
      </c>
      <c r="F85" s="305">
        <f>_xlfn.IFNA(VLOOKUP(A85,[1]Foglio1!$A:$Y,3,FALSE),0)</f>
        <v>0</v>
      </c>
      <c r="G85" s="304">
        <f>_xlfn.IFNA(VLOOKUP(A85,ANALISI!A:O,5,FALSE),0)</f>
        <v>0</v>
      </c>
      <c r="H85" s="305">
        <f>_xlfn.IFNA(VLOOKUP(A85,[1]Foglio1!$A:$Y,6,FALSE),0)</f>
        <v>0</v>
      </c>
      <c r="I85" s="304">
        <f>_xlfn.IFNA(VLOOKUP(A85,ANALISI!A:O,8,FALSE),0)</f>
        <v>0</v>
      </c>
      <c r="J85" s="305">
        <f>_xlfn.IFNA(VLOOKUP(A85,[1]Foglio1!$A:$Y,4,FALSE),0)</f>
        <v>0</v>
      </c>
      <c r="K85" s="304">
        <f>_xlfn.IFNA(VLOOKUP(A85,ANALISI!A:O,11,FALSE),0)</f>
        <v>0</v>
      </c>
      <c r="L85" s="305">
        <f>_xlfn.IFNA(VLOOKUP(A85,[1]Foglio1!$A:$Y,5,FALSE),0)</f>
        <v>0</v>
      </c>
      <c r="M85" s="191"/>
      <c r="N85" s="191"/>
      <c r="O85" s="191"/>
      <c r="P85" s="191"/>
      <c r="Q85" s="191"/>
      <c r="R85" s="191"/>
      <c r="S85" s="191"/>
      <c r="T85" s="403" t="str">
        <f>_xlfn.IFNA(VLOOKUP(A85,[1]Foglio1!$A:$K,10,FALSE),"")</f>
        <v/>
      </c>
    </row>
    <row r="86" spans="1:20" ht="29.25" customHeight="1" x14ac:dyDescent="0.25">
      <c r="A86" s="64" t="str">
        <f>'SPUNTA ARRIVI '!A86</f>
        <v>6525B</v>
      </c>
      <c r="B86" s="20"/>
      <c r="C86" s="20"/>
      <c r="D86" s="414"/>
      <c r="E86" s="304">
        <f>_xlfn.IFNA(VLOOKUP(A86,ANALISI!A:O,4,FALSE),0)</f>
        <v>0</v>
      </c>
      <c r="F86" s="305">
        <f>_xlfn.IFNA(VLOOKUP(A86,[1]Foglio1!$A:$Y,3,FALSE),0)</f>
        <v>0</v>
      </c>
      <c r="G86" s="304">
        <f>_xlfn.IFNA(VLOOKUP(A86,ANALISI!A:O,5,FALSE),0)</f>
        <v>0</v>
      </c>
      <c r="H86" s="305">
        <f>_xlfn.IFNA(VLOOKUP(A86,[1]Foglio1!$A:$Y,6,FALSE),0)</f>
        <v>0</v>
      </c>
      <c r="I86" s="304">
        <f>_xlfn.IFNA(VLOOKUP(A86,ANALISI!A:O,8,FALSE),0)</f>
        <v>0</v>
      </c>
      <c r="J86" s="305">
        <f>_xlfn.IFNA(VLOOKUP(A86,[1]Foglio1!$A:$Y,4,FALSE),0)</f>
        <v>0</v>
      </c>
      <c r="K86" s="304">
        <f>_xlfn.IFNA(VLOOKUP(A86,ANALISI!A:O,11,FALSE),0)</f>
        <v>0</v>
      </c>
      <c r="L86" s="305">
        <f>_xlfn.IFNA(VLOOKUP(A86,[1]Foglio1!$A:$Y,5,FALSE),0)</f>
        <v>0</v>
      </c>
      <c r="M86" s="191"/>
      <c r="N86" s="191"/>
      <c r="O86" s="191"/>
      <c r="P86" s="191"/>
      <c r="Q86" s="191"/>
      <c r="R86" s="191"/>
      <c r="S86" s="191"/>
      <c r="T86" s="403" t="str">
        <f>_xlfn.IFNA(VLOOKUP(A86,[1]Foglio1!$A:$K,10,FALSE),"")</f>
        <v/>
      </c>
    </row>
    <row r="87" spans="1:20" ht="29.25" customHeight="1" x14ac:dyDescent="0.25">
      <c r="A87" s="64" t="str">
        <f>'SPUNTA ARRIVI '!A87</f>
        <v>16723B</v>
      </c>
      <c r="B87" s="20"/>
      <c r="C87" s="20"/>
      <c r="D87" s="414"/>
      <c r="E87" s="304">
        <f>_xlfn.IFNA(VLOOKUP(A87,ANALISI!A:O,4,FALSE),0)</f>
        <v>0</v>
      </c>
      <c r="F87" s="305">
        <f>_xlfn.IFNA(VLOOKUP(A87,[1]Foglio1!$A:$Y,3,FALSE),0)</f>
        <v>0</v>
      </c>
      <c r="G87" s="304">
        <f>_xlfn.IFNA(VLOOKUP(A87,ANALISI!A:O,5,FALSE),0)</f>
        <v>0</v>
      </c>
      <c r="H87" s="305">
        <f>_xlfn.IFNA(VLOOKUP(A87,[1]Foglio1!$A:$Y,6,FALSE),0)</f>
        <v>0</v>
      </c>
      <c r="I87" s="304">
        <f>_xlfn.IFNA(VLOOKUP(A87,ANALISI!A:O,8,FALSE),0)</f>
        <v>0</v>
      </c>
      <c r="J87" s="305">
        <f>_xlfn.IFNA(VLOOKUP(A87,[1]Foglio1!$A:$Y,4,FALSE),0)</f>
        <v>0</v>
      </c>
      <c r="K87" s="304">
        <f>_xlfn.IFNA(VLOOKUP(A87,ANALISI!A:O,11,FALSE),0)</f>
        <v>0</v>
      </c>
      <c r="L87" s="305">
        <f>_xlfn.IFNA(VLOOKUP(A87,[1]Foglio1!$A:$Y,5,FALSE),0)</f>
        <v>0</v>
      </c>
      <c r="M87" s="191"/>
      <c r="N87" s="191"/>
      <c r="O87" s="191"/>
      <c r="P87" s="191"/>
      <c r="Q87" s="191"/>
      <c r="R87" s="191"/>
      <c r="S87" s="191"/>
      <c r="T87" s="403" t="str">
        <f>_xlfn.IFNA(VLOOKUP(A87,[1]Foglio1!$A:$K,10,FALSE),"")</f>
        <v/>
      </c>
    </row>
    <row r="88" spans="1:20" ht="29.25" customHeight="1" x14ac:dyDescent="0.25">
      <c r="A88" s="64" t="str">
        <f>'SPUNTA ARRIVI '!A88</f>
        <v>NEGOZIO</v>
      </c>
      <c r="B88" s="20"/>
      <c r="C88" s="20"/>
      <c r="D88" s="414"/>
      <c r="E88" s="304">
        <f>_xlfn.IFNA(VLOOKUP(A88,ANALISI!A:O,4,FALSE),0)</f>
        <v>0</v>
      </c>
      <c r="F88" s="305">
        <f>_xlfn.IFNA(VLOOKUP(A88,[1]Foglio1!$A:$Y,3,FALSE),0)</f>
        <v>0</v>
      </c>
      <c r="G88" s="304">
        <f>_xlfn.IFNA(VLOOKUP(A88,ANALISI!A:O,5,FALSE),0)</f>
        <v>0</v>
      </c>
      <c r="H88" s="305">
        <f>_xlfn.IFNA(VLOOKUP(A88,[1]Foglio1!$A:$Y,6,FALSE),0)</f>
        <v>0</v>
      </c>
      <c r="I88" s="304">
        <f>_xlfn.IFNA(VLOOKUP(A88,ANALISI!A:O,8,FALSE),0)</f>
        <v>0</v>
      </c>
      <c r="J88" s="305">
        <f>_xlfn.IFNA(VLOOKUP(A88,[1]Foglio1!$A:$Y,4,FALSE),0)</f>
        <v>0</v>
      </c>
      <c r="K88" s="304">
        <f>_xlfn.IFNA(VLOOKUP(A88,ANALISI!A:O,11,FALSE),0)</f>
        <v>0</v>
      </c>
      <c r="L88" s="305">
        <f>_xlfn.IFNA(VLOOKUP(A88,[1]Foglio1!$A:$Y,5,FALSE),0)</f>
        <v>0</v>
      </c>
      <c r="M88" s="191"/>
      <c r="N88" s="191"/>
      <c r="O88" s="191"/>
      <c r="P88" s="191"/>
      <c r="Q88" s="191"/>
      <c r="R88" s="191"/>
      <c r="S88" s="191"/>
      <c r="T88" s="403" t="str">
        <f>_xlfn.IFNA(VLOOKUP(A88,[1]Foglio1!$A:$K,10,FALSE),"")</f>
        <v/>
      </c>
    </row>
    <row r="89" spans="1:20" ht="29.25" customHeight="1" x14ac:dyDescent="0.25">
      <c r="A89" s="64" t="str">
        <f>'SPUNTA ARRIVI '!A90</f>
        <v>1984B</v>
      </c>
      <c r="B89" s="20"/>
      <c r="C89" s="20"/>
      <c r="D89" s="414"/>
      <c r="E89" s="304">
        <f>_xlfn.IFNA(VLOOKUP(A89,ANALISI!A:O,4,FALSE),0)</f>
        <v>0</v>
      </c>
      <c r="F89" s="305">
        <f>_xlfn.IFNA(VLOOKUP(A89,[1]Foglio1!$A:$Y,3,FALSE),0)</f>
        <v>0</v>
      </c>
      <c r="G89" s="304">
        <f>_xlfn.IFNA(VLOOKUP(A89,ANALISI!A:O,5,FALSE),0)</f>
        <v>0</v>
      </c>
      <c r="H89" s="305">
        <f>_xlfn.IFNA(VLOOKUP(A89,[1]Foglio1!$A:$Y,6,FALSE),0)</f>
        <v>0</v>
      </c>
      <c r="I89" s="304">
        <f>_xlfn.IFNA(VLOOKUP(A89,ANALISI!A:O,8,FALSE),0)</f>
        <v>0</v>
      </c>
      <c r="J89" s="305">
        <f>_xlfn.IFNA(VLOOKUP(A89,[1]Foglio1!$A:$Y,4,FALSE),0)</f>
        <v>0</v>
      </c>
      <c r="K89" s="304">
        <f>_xlfn.IFNA(VLOOKUP(A89,ANALISI!A:O,11,FALSE),0)</f>
        <v>0</v>
      </c>
      <c r="L89" s="305">
        <f>_xlfn.IFNA(VLOOKUP(A89,[1]Foglio1!$A:$Y,5,FALSE),0)</f>
        <v>0</v>
      </c>
      <c r="M89" s="191"/>
      <c r="N89" s="191"/>
      <c r="O89" s="191"/>
      <c r="P89" s="191"/>
      <c r="Q89" s="191"/>
      <c r="R89" s="191"/>
      <c r="S89" s="191"/>
      <c r="T89" s="403" t="str">
        <f>_xlfn.IFNA(VLOOKUP(A89,[1]Foglio1!$A:$K,10,FALSE),"")</f>
        <v/>
      </c>
    </row>
    <row r="90" spans="1:20" ht="29.25" customHeight="1" x14ac:dyDescent="0.25">
      <c r="A90" s="64" t="str">
        <f>'SPUNTA ARRIVI '!A91</f>
        <v>NEGOZIO</v>
      </c>
      <c r="B90" s="20"/>
      <c r="C90" s="20"/>
      <c r="D90" s="414"/>
      <c r="E90" s="304">
        <f>_xlfn.IFNA(VLOOKUP(A90,ANALISI!A:O,4,FALSE),0)</f>
        <v>0</v>
      </c>
      <c r="F90" s="305">
        <f>_xlfn.IFNA(VLOOKUP(A90,[1]Foglio1!$A:$Y,3,FALSE),0)</f>
        <v>0</v>
      </c>
      <c r="G90" s="304">
        <f>_xlfn.IFNA(VLOOKUP(A90,ANALISI!A:O,5,FALSE),0)</f>
        <v>0</v>
      </c>
      <c r="H90" s="305">
        <f>_xlfn.IFNA(VLOOKUP(A90,[1]Foglio1!$A:$Y,6,FALSE),0)</f>
        <v>0</v>
      </c>
      <c r="I90" s="304">
        <f>_xlfn.IFNA(VLOOKUP(A90,ANALISI!A:O,8,FALSE),0)</f>
        <v>0</v>
      </c>
      <c r="J90" s="305">
        <f>_xlfn.IFNA(VLOOKUP(A90,[1]Foglio1!$A:$Y,4,FALSE),0)</f>
        <v>0</v>
      </c>
      <c r="K90" s="304">
        <f>_xlfn.IFNA(VLOOKUP(A90,ANALISI!A:O,11,FALSE),0)</f>
        <v>0</v>
      </c>
      <c r="L90" s="305">
        <f>_xlfn.IFNA(VLOOKUP(A90,[1]Foglio1!$A:$Y,5,FALSE),0)</f>
        <v>0</v>
      </c>
      <c r="M90" s="191"/>
      <c r="N90" s="191"/>
      <c r="O90" s="191"/>
      <c r="P90" s="191"/>
      <c r="Q90" s="191"/>
      <c r="R90" s="191"/>
      <c r="S90" s="191"/>
      <c r="T90" s="403" t="str">
        <f>_xlfn.IFNA(VLOOKUP(A90,[1]Foglio1!$A:$K,10,FALSE),"")</f>
        <v/>
      </c>
    </row>
    <row r="91" spans="1:20" ht="29.25" customHeight="1" x14ac:dyDescent="0.25">
      <c r="A91" s="64" t="str">
        <f>'SPUNTA ARRIVI '!A92</f>
        <v>3680B</v>
      </c>
      <c r="B91" s="20"/>
      <c r="C91" s="20"/>
      <c r="D91" s="414"/>
      <c r="E91" s="304">
        <f>_xlfn.IFNA(VLOOKUP(A91,ANALISI!A:O,4,FALSE),0)</f>
        <v>0</v>
      </c>
      <c r="F91" s="305">
        <f>_xlfn.IFNA(VLOOKUP(A91,[1]Foglio1!$A:$Y,3,FALSE),0)</f>
        <v>0</v>
      </c>
      <c r="G91" s="304">
        <f>_xlfn.IFNA(VLOOKUP(A91,ANALISI!A:O,5,FALSE),0)</f>
        <v>0</v>
      </c>
      <c r="H91" s="305">
        <f>_xlfn.IFNA(VLOOKUP(A91,[1]Foglio1!$A:$Y,6,FALSE),0)</f>
        <v>0</v>
      </c>
      <c r="I91" s="304">
        <f>_xlfn.IFNA(VLOOKUP(A91,ANALISI!A:O,8,FALSE),0)</f>
        <v>0</v>
      </c>
      <c r="J91" s="305">
        <f>_xlfn.IFNA(VLOOKUP(A91,[1]Foglio1!$A:$Y,4,FALSE),0)</f>
        <v>0</v>
      </c>
      <c r="K91" s="304">
        <f>_xlfn.IFNA(VLOOKUP(A91,ANALISI!A:O,11,FALSE),0)</f>
        <v>0</v>
      </c>
      <c r="L91" s="305">
        <f>_xlfn.IFNA(VLOOKUP(A91,[1]Foglio1!$A:$Y,5,FALSE),0)</f>
        <v>0</v>
      </c>
      <c r="M91" s="191"/>
      <c r="N91" s="191"/>
      <c r="O91" s="191"/>
      <c r="P91" s="191"/>
      <c r="Q91" s="191"/>
      <c r="R91" s="191"/>
      <c r="S91" s="191"/>
      <c r="T91" s="403" t="str">
        <f>_xlfn.IFNA(VLOOKUP(A91,[1]Foglio1!$A:$K,10,FALSE),"")</f>
        <v/>
      </c>
    </row>
    <row r="92" spans="1:20" ht="29.25" customHeight="1" x14ac:dyDescent="0.25">
      <c r="A92" s="64" t="str">
        <f>'SPUNTA ARRIVI '!A93</f>
        <v>5367B</v>
      </c>
      <c r="B92" s="20"/>
      <c r="C92" s="20"/>
      <c r="D92" s="414"/>
      <c r="E92" s="304">
        <f>_xlfn.IFNA(VLOOKUP(A92,ANALISI!A:O,4,FALSE),0)</f>
        <v>0</v>
      </c>
      <c r="F92" s="305">
        <f>_xlfn.IFNA(VLOOKUP(A92,[1]Foglio1!$A:$Y,3,FALSE),0)</f>
        <v>0</v>
      </c>
      <c r="G92" s="304">
        <f>_xlfn.IFNA(VLOOKUP(A92,ANALISI!A:O,5,FALSE),0)</f>
        <v>0</v>
      </c>
      <c r="H92" s="305">
        <f>_xlfn.IFNA(VLOOKUP(A92,[1]Foglio1!$A:$Y,6,FALSE),0)</f>
        <v>0</v>
      </c>
      <c r="I92" s="304">
        <f>_xlfn.IFNA(VLOOKUP(A92,ANALISI!A:O,8,FALSE),0)</f>
        <v>0</v>
      </c>
      <c r="J92" s="305">
        <f>_xlfn.IFNA(VLOOKUP(A92,[1]Foglio1!$A:$Y,4,FALSE),0)</f>
        <v>0</v>
      </c>
      <c r="K92" s="304">
        <f>_xlfn.IFNA(VLOOKUP(A92,ANALISI!A:O,11,FALSE),0)</f>
        <v>0</v>
      </c>
      <c r="L92" s="305">
        <f>_xlfn.IFNA(VLOOKUP(A92,[1]Foglio1!$A:$Y,5,FALSE),0)</f>
        <v>0</v>
      </c>
      <c r="M92" s="191"/>
      <c r="N92" s="191"/>
      <c r="O92" s="191"/>
      <c r="P92" s="191"/>
      <c r="Q92" s="191"/>
      <c r="R92" s="191"/>
      <c r="S92" s="191"/>
      <c r="T92" s="403" t="str">
        <f>_xlfn.IFNA(VLOOKUP(A92,[1]Foglio1!$A:$K,10,FALSE),"")</f>
        <v/>
      </c>
    </row>
    <row r="93" spans="1:20" ht="29.25" customHeight="1" x14ac:dyDescent="0.25">
      <c r="A93" s="64" t="str">
        <f>'SPUNTA ARRIVI '!A94</f>
        <v>14825B</v>
      </c>
      <c r="B93" s="20"/>
      <c r="C93" s="20"/>
      <c r="D93" s="414"/>
      <c r="E93" s="304">
        <f>_xlfn.IFNA(VLOOKUP(A93,ANALISI!A:O,4,FALSE),0)</f>
        <v>0</v>
      </c>
      <c r="F93" s="305">
        <f>_xlfn.IFNA(VLOOKUP(A93,[1]Foglio1!$A:$Y,3,FALSE),0)</f>
        <v>0</v>
      </c>
      <c r="G93" s="304">
        <f>_xlfn.IFNA(VLOOKUP(A93,ANALISI!A:O,5,FALSE),0)</f>
        <v>0</v>
      </c>
      <c r="H93" s="305">
        <f>_xlfn.IFNA(VLOOKUP(A93,[1]Foglio1!$A:$Y,6,FALSE),0)</f>
        <v>0</v>
      </c>
      <c r="I93" s="304">
        <f>_xlfn.IFNA(VLOOKUP(A93,ANALISI!A:O,8,FALSE),0)</f>
        <v>0</v>
      </c>
      <c r="J93" s="305">
        <f>_xlfn.IFNA(VLOOKUP(A93,[1]Foglio1!$A:$Y,4,FALSE),0)</f>
        <v>0</v>
      </c>
      <c r="K93" s="304">
        <f>_xlfn.IFNA(VLOOKUP(A93,ANALISI!A:O,11,FALSE),0)</f>
        <v>0</v>
      </c>
      <c r="L93" s="305">
        <f>_xlfn.IFNA(VLOOKUP(A93,[1]Foglio1!$A:$Y,5,FALSE),0)</f>
        <v>0</v>
      </c>
      <c r="M93" s="191"/>
      <c r="N93" s="191"/>
      <c r="O93" s="191"/>
      <c r="P93" s="191"/>
      <c r="Q93" s="191"/>
      <c r="R93" s="191"/>
      <c r="S93" s="191"/>
      <c r="T93" s="403" t="str">
        <f>_xlfn.IFNA(VLOOKUP(A93,[1]Foglio1!$A:$K,10,FALSE),"")</f>
        <v/>
      </c>
    </row>
    <row r="94" spans="1:20" ht="29.25" customHeight="1" x14ac:dyDescent="0.25">
      <c r="A94" s="64">
        <f>'SPUNTA ARRIVI '!A95</f>
        <v>0</v>
      </c>
      <c r="B94" s="20"/>
      <c r="C94" s="20"/>
      <c r="D94" s="414"/>
      <c r="E94" s="304">
        <f>_xlfn.IFNA(VLOOKUP(A94,ANALISI!A:O,4,FALSE),0)</f>
        <v>0</v>
      </c>
      <c r="F94" s="305">
        <f>_xlfn.IFNA(VLOOKUP(A94,[1]Foglio1!$A:$Y,3,FALSE),0)</f>
        <v>0</v>
      </c>
      <c r="G94" s="304">
        <f>_xlfn.IFNA(VLOOKUP(A94,ANALISI!A:O,5,FALSE),0)</f>
        <v>0</v>
      </c>
      <c r="H94" s="305">
        <f>_xlfn.IFNA(VLOOKUP(A94,[1]Foglio1!$A:$Y,6,FALSE),0)</f>
        <v>0</v>
      </c>
      <c r="I94" s="304">
        <f>_xlfn.IFNA(VLOOKUP(A94,ANALISI!A:O,8,FALSE),0)</f>
        <v>0</v>
      </c>
      <c r="J94" s="305">
        <f>_xlfn.IFNA(VLOOKUP(A94,[1]Foglio1!$A:$Y,4,FALSE),0)</f>
        <v>0</v>
      </c>
      <c r="K94" s="304">
        <f>_xlfn.IFNA(VLOOKUP(A94,ANALISI!A:O,11,FALSE),0)</f>
        <v>0</v>
      </c>
      <c r="L94" s="305">
        <f>_xlfn.IFNA(VLOOKUP(A94,[1]Foglio1!$A:$Y,5,FALSE),0)</f>
        <v>0</v>
      </c>
      <c r="M94" s="191"/>
      <c r="N94" s="191"/>
      <c r="O94" s="191"/>
      <c r="P94" s="191"/>
      <c r="Q94" s="191"/>
      <c r="R94" s="191"/>
      <c r="S94" s="191"/>
      <c r="T94" s="403" t="str">
        <f>_xlfn.IFNA(VLOOKUP(A94,[1]Foglio1!$A:$K,10,FALSE),"")</f>
        <v/>
      </c>
    </row>
    <row r="95" spans="1:20" ht="29.25" customHeight="1" x14ac:dyDescent="0.25">
      <c r="A95" s="64" t="str">
        <f>'SPUNTA ARRIVI '!A96</f>
        <v xml:space="preserve">TOTALI </v>
      </c>
      <c r="B95" s="20"/>
      <c r="C95" s="20"/>
      <c r="D95" s="414"/>
      <c r="E95" s="304">
        <f>_xlfn.IFNA(VLOOKUP(A95,ANALISI!A:O,4,FALSE),0)</f>
        <v>0</v>
      </c>
      <c r="F95" s="305">
        <f>_xlfn.IFNA(VLOOKUP(A95,[1]Foglio1!$A:$Y,3,FALSE),0)</f>
        <v>0</v>
      </c>
      <c r="G95" s="304">
        <f>_xlfn.IFNA(VLOOKUP(A95,ANALISI!A:O,5,FALSE),0)</f>
        <v>0</v>
      </c>
      <c r="H95" s="305">
        <f>_xlfn.IFNA(VLOOKUP(A95,[1]Foglio1!$A:$Y,6,FALSE),0)</f>
        <v>0</v>
      </c>
      <c r="I95" s="304">
        <f>_xlfn.IFNA(VLOOKUP(A95,ANALISI!A:O,8,FALSE),0)</f>
        <v>0</v>
      </c>
      <c r="J95" s="305">
        <f>_xlfn.IFNA(VLOOKUP(A95,[1]Foglio1!$A:$Y,4,FALSE),0)</f>
        <v>0</v>
      </c>
      <c r="K95" s="304">
        <f>_xlfn.IFNA(VLOOKUP(A95,ANALISI!A:O,11,FALSE),0)</f>
        <v>0</v>
      </c>
      <c r="L95" s="305">
        <f>_xlfn.IFNA(VLOOKUP(A95,[1]Foglio1!$A:$Y,5,FALSE),0)</f>
        <v>0</v>
      </c>
      <c r="M95" s="191"/>
      <c r="N95" s="191"/>
      <c r="O95" s="191"/>
      <c r="P95" s="191"/>
      <c r="Q95" s="191"/>
      <c r="R95" s="191"/>
      <c r="S95" s="191"/>
      <c r="T95" s="403" t="str">
        <f>_xlfn.IFNA(VLOOKUP(A95,[1]Foglio1!$A:$K,10,FALSE),"")</f>
        <v/>
      </c>
    </row>
    <row r="96" spans="1:20" ht="29.25" customHeight="1" x14ac:dyDescent="0.25">
      <c r="A96" s="64" t="str">
        <f>'SPUNTA ARRIVI '!A97</f>
        <v>TOTALI TEORICI</v>
      </c>
      <c r="B96" s="20"/>
      <c r="C96" s="20"/>
      <c r="D96" s="414"/>
      <c r="E96" s="304">
        <f>_xlfn.IFNA(VLOOKUP(A96,ANALISI!A:O,4,FALSE),0)</f>
        <v>0</v>
      </c>
      <c r="F96" s="305">
        <f>_xlfn.IFNA(VLOOKUP(A96,[1]Foglio1!$A:$Y,3,FALSE),0)</f>
        <v>0</v>
      </c>
      <c r="G96" s="304">
        <f>_xlfn.IFNA(VLOOKUP(A96,ANALISI!A:O,5,FALSE),0)</f>
        <v>0</v>
      </c>
      <c r="H96" s="305">
        <f>_xlfn.IFNA(VLOOKUP(A96,[1]Foglio1!$A:$Y,6,FALSE),0)</f>
        <v>0</v>
      </c>
      <c r="I96" s="304">
        <f>_xlfn.IFNA(VLOOKUP(A96,ANALISI!A:O,8,FALSE),0)</f>
        <v>0</v>
      </c>
      <c r="J96" s="305">
        <f>_xlfn.IFNA(VLOOKUP(A96,[1]Foglio1!$A:$Y,4,FALSE),0)</f>
        <v>0</v>
      </c>
      <c r="K96" s="304">
        <f>_xlfn.IFNA(VLOOKUP(A96,ANALISI!A:O,11,FALSE),0)</f>
        <v>0</v>
      </c>
      <c r="L96" s="305">
        <f>_xlfn.IFNA(VLOOKUP(A96,[1]Foglio1!$A:$Y,5,FALSE),0)</f>
        <v>0</v>
      </c>
      <c r="M96" s="191"/>
      <c r="N96" s="191"/>
      <c r="O96" s="191"/>
      <c r="P96" s="191"/>
      <c r="Q96" s="191"/>
      <c r="R96" s="191"/>
      <c r="S96" s="191"/>
      <c r="T96" s="403" t="str">
        <f>_xlfn.IFNA(VLOOKUP(A96,[1]Foglio1!$A:$K,10,FALSE),"")</f>
        <v/>
      </c>
    </row>
    <row r="97" spans="1:20" ht="29.25" customHeight="1" x14ac:dyDescent="0.25">
      <c r="A97" s="64" t="str">
        <f>'SPUNTA ARRIVI '!A98</f>
        <v>TOTALI MC</v>
      </c>
      <c r="B97" s="20"/>
      <c r="C97" s="20"/>
      <c r="D97" s="414"/>
      <c r="E97" s="304">
        <f>_xlfn.IFNA(VLOOKUP(A97,ANALISI!A:O,4,FALSE),0)</f>
        <v>0</v>
      </c>
      <c r="F97" s="305">
        <f>_xlfn.IFNA(VLOOKUP(A97,[1]Foglio1!$A:$Y,3,FALSE),0)</f>
        <v>0</v>
      </c>
      <c r="G97" s="304">
        <f>_xlfn.IFNA(VLOOKUP(A97,ANALISI!A:O,5,FALSE),0)</f>
        <v>0</v>
      </c>
      <c r="H97" s="305">
        <f>_xlfn.IFNA(VLOOKUP(A97,[1]Foglio1!$A:$Y,6,FALSE),0)</f>
        <v>0</v>
      </c>
      <c r="I97" s="304">
        <f>_xlfn.IFNA(VLOOKUP(A97,ANALISI!A:O,8,FALSE),0)</f>
        <v>0</v>
      </c>
      <c r="J97" s="305">
        <f>_xlfn.IFNA(VLOOKUP(A97,[1]Foglio1!$A:$Y,4,FALSE),0)</f>
        <v>0</v>
      </c>
      <c r="K97" s="304">
        <f>_xlfn.IFNA(VLOOKUP(A97,ANALISI!A:O,11,FALSE),0)</f>
        <v>0</v>
      </c>
      <c r="L97" s="305">
        <f>_xlfn.IFNA(VLOOKUP(A97,[1]Foglio1!$A:$Y,5,FALSE),0)</f>
        <v>0</v>
      </c>
      <c r="M97" s="191"/>
      <c r="N97" s="191"/>
      <c r="O97" s="191"/>
      <c r="P97" s="191"/>
      <c r="Q97" s="191"/>
      <c r="R97" s="191"/>
      <c r="S97" s="191"/>
      <c r="T97" s="403" t="str">
        <f>_xlfn.IFNA(VLOOKUP(A97,[1]Foglio1!$A:$K,10,FALSE),"")</f>
        <v/>
      </c>
    </row>
    <row r="98" spans="1:20" ht="29.25" customHeight="1" x14ac:dyDescent="0.25">
      <c r="A98" s="64">
        <f>'SPUNTA ARRIVI '!A99</f>
        <v>0</v>
      </c>
      <c r="B98" s="20"/>
      <c r="C98" s="20"/>
      <c r="D98" s="414"/>
      <c r="E98" s="304">
        <f>_xlfn.IFNA(VLOOKUP(A98,ANALISI!A:O,4,FALSE),0)</f>
        <v>0</v>
      </c>
      <c r="F98" s="305">
        <f>_xlfn.IFNA(VLOOKUP(A98,[1]Foglio1!$A:$Y,3,FALSE),0)</f>
        <v>0</v>
      </c>
      <c r="G98" s="304">
        <f>_xlfn.IFNA(VLOOKUP(A98,ANALISI!A:O,5,FALSE),0)</f>
        <v>0</v>
      </c>
      <c r="H98" s="305">
        <f>_xlfn.IFNA(VLOOKUP(A98,[1]Foglio1!$A:$Y,6,FALSE),0)</f>
        <v>0</v>
      </c>
      <c r="I98" s="304">
        <f>_xlfn.IFNA(VLOOKUP(A98,ANALISI!A:O,8,FALSE),0)</f>
        <v>0</v>
      </c>
      <c r="J98" s="305">
        <f>_xlfn.IFNA(VLOOKUP(A98,[1]Foglio1!$A:$Y,4,FALSE),0)</f>
        <v>0</v>
      </c>
      <c r="K98" s="304">
        <f>_xlfn.IFNA(VLOOKUP(A98,ANALISI!A:O,11,FALSE),0)</f>
        <v>0</v>
      </c>
      <c r="L98" s="305">
        <f>_xlfn.IFNA(VLOOKUP(A98,[1]Foglio1!$A:$Y,5,FALSE),0)</f>
        <v>0</v>
      </c>
      <c r="M98" s="191"/>
      <c r="N98" s="191"/>
      <c r="O98" s="191"/>
      <c r="P98" s="191"/>
      <c r="Q98" s="191"/>
      <c r="R98" s="191"/>
      <c r="S98" s="191"/>
      <c r="T98" s="403" t="str">
        <f>_xlfn.IFNA(VLOOKUP(A98,[1]Foglio1!$A:$K,10,FALSE),"")</f>
        <v/>
      </c>
    </row>
  </sheetData>
  <mergeCells count="15">
    <mergeCell ref="O54:P54"/>
    <mergeCell ref="O62:P62"/>
    <mergeCell ref="O71:P71"/>
    <mergeCell ref="O74:P74"/>
    <mergeCell ref="O78:P78"/>
    <mergeCell ref="O34:P34"/>
    <mergeCell ref="O40:P40"/>
    <mergeCell ref="N42:N43"/>
    <mergeCell ref="O44:P44"/>
    <mergeCell ref="O49:P49"/>
    <mergeCell ref="O14:P14"/>
    <mergeCell ref="M1:N1"/>
    <mergeCell ref="O20:P20"/>
    <mergeCell ref="O25:P25"/>
    <mergeCell ref="O30:P30"/>
  </mergeCells>
  <conditionalFormatting sqref="P2">
    <cfRule type="cellIs" dxfId="5" priority="4" operator="equal">
      <formula>1</formula>
    </cfRule>
  </conditionalFormatting>
  <conditionalFormatting sqref="P12">
    <cfRule type="cellIs" dxfId="4" priority="3" operator="equal">
      <formula>1</formula>
    </cfRule>
  </conditionalFormatting>
  <conditionalFormatting sqref="P22">
    <cfRule type="cellIs" dxfId="3" priority="2" operator="equal">
      <formula>1</formula>
    </cfRule>
  </conditionalFormatting>
  <conditionalFormatting sqref="P67">
    <cfRule type="cellIs" dxfId="2" priority="1" operator="equal">
      <formula>1</formula>
    </cfRule>
  </conditionalFormatting>
  <printOptions gridLines="1"/>
  <pageMargins left="0.25" right="0.25" top="0.75" bottom="0.75" header="0.3" footer="0.3"/>
  <pageSetup paperSize="9" scale="43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39346-C2AF-48FC-80CB-95791060EAF4}">
  <sheetPr codeName="Foglio3">
    <pageSetUpPr fitToPage="1"/>
  </sheetPr>
  <dimension ref="A1:BV113"/>
  <sheetViews>
    <sheetView tabSelected="1" topLeftCell="A83" zoomScale="80" zoomScaleNormal="80" workbookViewId="0">
      <selection activeCell="D56" sqref="D56"/>
    </sheetView>
  </sheetViews>
  <sheetFormatPr defaultColWidth="9.140625" defaultRowHeight="29.25" customHeight="1" x14ac:dyDescent="0.25"/>
  <cols>
    <col min="1" max="1" width="17.42578125" style="27" customWidth="1"/>
    <col min="2" max="2" width="27.28515625" style="19" bestFit="1" customWidth="1"/>
    <col min="3" max="3" width="17.28515625" style="19" bestFit="1" customWidth="1"/>
    <col min="4" max="4" width="17.7109375" style="141" bestFit="1" customWidth="1"/>
    <col min="5" max="5" width="26.7109375" style="3" bestFit="1" customWidth="1"/>
    <col min="6" max="6" width="11.28515625" style="211" customWidth="1"/>
    <col min="7" max="7" width="10.7109375" style="3" customWidth="1"/>
    <col min="8" max="8" width="11.28515625" style="211" customWidth="1"/>
    <col min="9" max="9" width="10.7109375" style="3" customWidth="1"/>
    <col min="10" max="10" width="11.28515625" style="211" customWidth="1"/>
    <col min="11" max="11" width="10.7109375" style="3" customWidth="1"/>
    <col min="12" max="12" width="11.28515625" style="211" customWidth="1"/>
    <col min="13" max="13" width="20.140625" style="18" bestFit="1" customWidth="1"/>
    <col min="14" max="14" width="10" style="18" bestFit="1" customWidth="1"/>
    <col min="15" max="16" width="29.140625" style="18" customWidth="1"/>
    <col min="17" max="17" width="14.85546875" style="18" customWidth="1"/>
    <col min="18" max="18" width="20.5703125" style="18" customWidth="1"/>
    <col min="19" max="19" width="19" style="18" customWidth="1"/>
    <col min="20" max="25" width="0.7109375" style="18" customWidth="1"/>
    <col min="26" max="26" width="9.140625" style="18"/>
    <col min="27" max="65" width="0.42578125" style="18" customWidth="1"/>
    <col min="66" max="16384" width="9.140625" style="18"/>
  </cols>
  <sheetData>
    <row r="1" spans="1:59" s="19" customFormat="1" ht="29.25" customHeight="1" x14ac:dyDescent="0.25">
      <c r="A1" s="24" t="s">
        <v>206</v>
      </c>
      <c r="B1" s="10" t="s">
        <v>15</v>
      </c>
      <c r="C1" s="10" t="s">
        <v>76</v>
      </c>
      <c r="D1" s="209" t="s">
        <v>145</v>
      </c>
      <c r="E1" s="256" t="s">
        <v>91</v>
      </c>
      <c r="F1" s="266"/>
      <c r="G1" s="256" t="s">
        <v>92</v>
      </c>
      <c r="H1" s="266"/>
      <c r="I1" s="256" t="s">
        <v>93</v>
      </c>
      <c r="J1" s="266"/>
      <c r="K1" s="256" t="s">
        <v>94</v>
      </c>
      <c r="L1" s="266"/>
      <c r="M1" s="257" t="s">
        <v>111</v>
      </c>
      <c r="N1" s="256" t="s">
        <v>231</v>
      </c>
      <c r="O1" s="267" t="s">
        <v>232</v>
      </c>
      <c r="P1" s="267" t="s">
        <v>216</v>
      </c>
      <c r="Q1" s="256" t="s">
        <v>10</v>
      </c>
      <c r="R1" s="256" t="s">
        <v>233</v>
      </c>
      <c r="S1" s="268" t="s">
        <v>234</v>
      </c>
      <c r="BG1" s="19" t="s">
        <v>242</v>
      </c>
    </row>
    <row r="2" spans="1:59" ht="29.25" customHeight="1" x14ac:dyDescent="0.25">
      <c r="A2" s="26">
        <v>16647</v>
      </c>
      <c r="B2" s="7" t="s">
        <v>77</v>
      </c>
      <c r="C2" s="7" t="s">
        <v>56</v>
      </c>
      <c r="D2" s="139">
        <f>VLOOKUP(A2,ANALISI!A:O,14,FALSE)</f>
        <v>7.4900000691413879</v>
      </c>
      <c r="E2" s="2">
        <f>_xlfn.IFNA(VLOOKUP(A2,ANALISI!A:O,4,FALSE),0)</f>
        <v>67</v>
      </c>
      <c r="F2" s="213"/>
      <c r="G2" s="2">
        <f>_xlfn.IFNA(VLOOKUP(A2,ANALISI!A:O,5,FALSE),0)</f>
        <v>0</v>
      </c>
      <c r="H2" s="213"/>
      <c r="I2" s="2">
        <f>_xlfn.IFNA(VLOOKUP(A2,ANALISI!A:O,8,FALSE),0)</f>
        <v>3</v>
      </c>
      <c r="J2" s="213"/>
      <c r="K2" s="2">
        <f>_xlfn.IFNA(VLOOKUP(A2,ANALISI!A:O,11,FALSE),0)</f>
        <v>0</v>
      </c>
      <c r="L2" s="213"/>
      <c r="M2" s="239">
        <f t="shared" ref="M2:M10" si="0">CEILING(D2/1.9,1)</f>
        <v>4</v>
      </c>
      <c r="N2" s="546">
        <f>SUM(M2:M5)</f>
        <v>59.3</v>
      </c>
      <c r="O2" s="532" t="s">
        <v>262</v>
      </c>
      <c r="P2" s="532" t="s">
        <v>235</v>
      </c>
      <c r="Q2" s="532"/>
      <c r="R2" s="532" t="s">
        <v>230</v>
      </c>
      <c r="S2" s="555"/>
      <c r="Z2" s="18" t="s">
        <v>267</v>
      </c>
      <c r="BG2" s="18" t="s">
        <v>243</v>
      </c>
    </row>
    <row r="3" spans="1:59" ht="29.25" customHeight="1" x14ac:dyDescent="0.25">
      <c r="A3" s="26">
        <v>3503</v>
      </c>
      <c r="B3" s="7" t="s">
        <v>77</v>
      </c>
      <c r="C3" s="7" t="s">
        <v>62</v>
      </c>
      <c r="D3" s="139">
        <f>VLOOKUP(A3,ANALISI!A:O,14,FALSE)*0.7</f>
        <v>37.821000146865842</v>
      </c>
      <c r="E3" s="2">
        <f>_xlfn.IFNA(VLOOKUP(A3,ANALISI!A:O,4,FALSE),0)</f>
        <v>430</v>
      </c>
      <c r="F3" s="213"/>
      <c r="G3" s="2">
        <f>_xlfn.IFNA(VLOOKUP(A3,ANALISI!A:O,5,FALSE),0)</f>
        <v>16</v>
      </c>
      <c r="H3" s="213"/>
      <c r="I3" s="2">
        <f>_xlfn.IFNA(VLOOKUP(A3,ANALISI!A:O,8,FALSE),0)</f>
        <v>40</v>
      </c>
      <c r="J3" s="213"/>
      <c r="K3" s="2">
        <f>_xlfn.IFNA(VLOOKUP(A3,ANALISI!A:O,11,FALSE),0)</f>
        <v>0</v>
      </c>
      <c r="L3" s="213"/>
      <c r="M3" s="239">
        <f>ROUNDUP(D3*1.5/1.8,1)</f>
        <v>31.6</v>
      </c>
      <c r="N3" s="546"/>
      <c r="O3" s="532"/>
      <c r="P3" s="532"/>
      <c r="Q3" s="532"/>
      <c r="R3" s="532"/>
      <c r="S3" s="555"/>
      <c r="Z3" s="18" t="s">
        <v>267</v>
      </c>
      <c r="AG3" s="67"/>
      <c r="BG3" s="18" t="s">
        <v>284</v>
      </c>
    </row>
    <row r="4" spans="1:59" ht="29.25" customHeight="1" x14ac:dyDescent="0.25">
      <c r="A4" s="26">
        <v>16351</v>
      </c>
      <c r="B4" s="7" t="s">
        <v>77</v>
      </c>
      <c r="C4" s="7" t="s">
        <v>31</v>
      </c>
      <c r="D4" s="139">
        <f>VLOOKUP(A4,ANALISI!A:O,14,FALSE)</f>
        <v>14.35999958217144</v>
      </c>
      <c r="E4" s="2">
        <f>_xlfn.IFNA(VLOOKUP(A4,ANALISI!A:O,4,FALSE),0)</f>
        <v>137</v>
      </c>
      <c r="F4" s="213"/>
      <c r="G4" s="2">
        <f>_xlfn.IFNA(VLOOKUP(A4,ANALISI!A:O,5,FALSE),0)</f>
        <v>0</v>
      </c>
      <c r="H4" s="213"/>
      <c r="I4" s="2">
        <f>_xlfn.IFNA(VLOOKUP(A4,ANALISI!A:O,8,FALSE),0)</f>
        <v>9</v>
      </c>
      <c r="J4" s="213"/>
      <c r="K4" s="2">
        <f>_xlfn.IFNA(VLOOKUP(A4,ANALISI!A:O,11,FALSE),0)</f>
        <v>1</v>
      </c>
      <c r="L4" s="213"/>
      <c r="M4" s="239">
        <f>ROUNDUP(D4*1.5/1.8,1)</f>
        <v>12</v>
      </c>
      <c r="N4" s="546"/>
      <c r="O4" s="532"/>
      <c r="P4" s="532"/>
      <c r="Q4" s="532"/>
      <c r="R4" s="532"/>
      <c r="S4" s="555"/>
      <c r="Z4" s="18" t="s">
        <v>267</v>
      </c>
      <c r="AG4" s="67"/>
    </row>
    <row r="5" spans="1:59" ht="29.25" customHeight="1" thickBot="1" x14ac:dyDescent="0.3">
      <c r="A5" s="26">
        <v>16564</v>
      </c>
      <c r="B5" s="7" t="s">
        <v>77</v>
      </c>
      <c r="C5" s="7" t="s">
        <v>47</v>
      </c>
      <c r="D5" s="139">
        <f>VLOOKUP(A5,ANALISI!A:O,14,FALSE)</f>
        <v>13.920000433921814</v>
      </c>
      <c r="E5" s="2">
        <f>_xlfn.IFNA(VLOOKUP(A5,ANALISI!A:O,4,FALSE),0)</f>
        <v>148</v>
      </c>
      <c r="F5" s="213"/>
      <c r="G5" s="2">
        <f>_xlfn.IFNA(VLOOKUP(A5,ANALISI!A:O,5,FALSE),0)</f>
        <v>0</v>
      </c>
      <c r="H5" s="213"/>
      <c r="I5" s="2">
        <f>_xlfn.IFNA(VLOOKUP(A5,ANALISI!A:O,8,FALSE),0)</f>
        <v>10</v>
      </c>
      <c r="J5" s="213"/>
      <c r="K5" s="2">
        <f>_xlfn.IFNA(VLOOKUP(A5,ANALISI!A:O,11,FALSE),0)</f>
        <v>0</v>
      </c>
      <c r="L5" s="213"/>
      <c r="M5" s="239">
        <f>ROUNDUP(D5*1.5/1.8,1)</f>
        <v>11.7</v>
      </c>
      <c r="N5" s="546"/>
      <c r="O5" s="532"/>
      <c r="P5" s="532"/>
      <c r="Q5" s="532"/>
      <c r="R5" s="532"/>
      <c r="S5" s="555"/>
      <c r="Z5" s="18" t="s">
        <v>267</v>
      </c>
      <c r="AG5" s="67"/>
    </row>
    <row r="6" spans="1:59" ht="29.25" customHeight="1" thickBot="1" x14ac:dyDescent="0.3">
      <c r="A6" s="260"/>
      <c r="B6" s="261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317"/>
      <c r="O6" s="317"/>
      <c r="P6" s="317"/>
      <c r="Q6" s="317"/>
      <c r="R6" s="317"/>
      <c r="S6" s="318"/>
      <c r="AG6" s="67"/>
    </row>
    <row r="7" spans="1:59" ht="29.25" customHeight="1" x14ac:dyDescent="0.25">
      <c r="A7" s="24" t="s">
        <v>74</v>
      </c>
      <c r="B7" s="10" t="s">
        <v>75</v>
      </c>
      <c r="C7" s="10" t="s">
        <v>76</v>
      </c>
      <c r="D7" s="209" t="s">
        <v>145</v>
      </c>
      <c r="E7" s="296" t="s">
        <v>91</v>
      </c>
      <c r="F7" s="297"/>
      <c r="G7" s="296" t="s">
        <v>92</v>
      </c>
      <c r="H7" s="297"/>
      <c r="I7" s="296" t="s">
        <v>93</v>
      </c>
      <c r="J7" s="297"/>
      <c r="K7" s="296" t="s">
        <v>94</v>
      </c>
      <c r="L7" s="297"/>
      <c r="M7" s="541" t="s">
        <v>111</v>
      </c>
      <c r="N7" s="541"/>
      <c r="O7" s="295" t="s">
        <v>229</v>
      </c>
      <c r="P7" s="267" t="s">
        <v>216</v>
      </c>
      <c r="Q7" s="295" t="s">
        <v>10</v>
      </c>
      <c r="R7" s="295" t="s">
        <v>233</v>
      </c>
      <c r="S7" s="268" t="s">
        <v>234</v>
      </c>
      <c r="AG7" s="67"/>
    </row>
    <row r="8" spans="1:59" ht="29.25" customHeight="1" x14ac:dyDescent="0.25">
      <c r="A8" s="33">
        <v>5641</v>
      </c>
      <c r="B8" s="8" t="s">
        <v>81</v>
      </c>
      <c r="C8" s="8" t="s">
        <v>31</v>
      </c>
      <c r="D8" s="139">
        <f>VLOOKUP(A8,ANALISI!A:O,14,FALSE)</f>
        <v>11.63999979197979</v>
      </c>
      <c r="E8" s="2">
        <f>_xlfn.IFNA(VLOOKUP(A8,ANALISI!A:O,4,FALSE),0)</f>
        <v>111</v>
      </c>
      <c r="F8" s="213"/>
      <c r="G8" s="2">
        <f>_xlfn.IFNA(VLOOKUP(A8,ANALISI!A:O,5,FALSE),0)</f>
        <v>0</v>
      </c>
      <c r="H8" s="213"/>
      <c r="I8" s="2">
        <f>_xlfn.IFNA(VLOOKUP(A8,ANALISI!A:O,8,FALSE),0)</f>
        <v>5</v>
      </c>
      <c r="J8" s="213"/>
      <c r="K8" s="2">
        <f>_xlfn.IFNA(VLOOKUP(A8,ANALISI!A:O,11,FALSE),0)</f>
        <v>1</v>
      </c>
      <c r="L8" s="213"/>
      <c r="M8" s="239">
        <f>ROUNDUP(D8*1.5/1.8,1)</f>
        <v>9.6999999999999993</v>
      </c>
      <c r="N8" s="542">
        <f>SUM(M8:M13)</f>
        <v>53.3</v>
      </c>
      <c r="O8" s="536" t="s">
        <v>262</v>
      </c>
      <c r="P8" s="536" t="s">
        <v>235</v>
      </c>
      <c r="Q8" s="536"/>
      <c r="R8" s="536" t="s">
        <v>230</v>
      </c>
      <c r="S8" s="559"/>
      <c r="Z8" s="18" t="s">
        <v>268</v>
      </c>
      <c r="AG8" s="67"/>
    </row>
    <row r="9" spans="1:59" ht="29.25" customHeight="1" x14ac:dyDescent="0.25">
      <c r="A9" s="33">
        <v>5405</v>
      </c>
      <c r="B9" s="8" t="s">
        <v>81</v>
      </c>
      <c r="C9" s="20" t="s">
        <v>47</v>
      </c>
      <c r="D9" s="139">
        <f>VLOOKUP(A9,ANALISI!A:O,14,FALSE)</f>
        <v>11.099999964237213</v>
      </c>
      <c r="E9" s="2">
        <f>_xlfn.IFNA(VLOOKUP(A9,ANALISI!A:O,4,FALSE),0)</f>
        <v>120</v>
      </c>
      <c r="F9" s="213"/>
      <c r="G9" s="2">
        <f>_xlfn.IFNA(VLOOKUP(A9,ANALISI!A:O,5,FALSE),0)</f>
        <v>0</v>
      </c>
      <c r="H9" s="213"/>
      <c r="I9" s="2">
        <f>_xlfn.IFNA(VLOOKUP(A9,ANALISI!A:O,8,FALSE),0)</f>
        <v>4</v>
      </c>
      <c r="J9" s="213"/>
      <c r="K9" s="2">
        <f>_xlfn.IFNA(VLOOKUP(A9,ANALISI!A:O,11,FALSE),0)</f>
        <v>2</v>
      </c>
      <c r="L9" s="213"/>
      <c r="M9" s="239">
        <f t="shared" si="0"/>
        <v>6</v>
      </c>
      <c r="N9" s="556"/>
      <c r="O9" s="550"/>
      <c r="P9" s="550"/>
      <c r="Q9" s="550"/>
      <c r="R9" s="550"/>
      <c r="S9" s="560"/>
      <c r="Z9" s="18" t="s">
        <v>268</v>
      </c>
      <c r="AG9" s="67"/>
    </row>
    <row r="10" spans="1:59" ht="29.25" customHeight="1" x14ac:dyDescent="0.25">
      <c r="A10" s="33">
        <v>2972</v>
      </c>
      <c r="B10" s="8" t="s">
        <v>81</v>
      </c>
      <c r="C10" s="20" t="s">
        <v>56</v>
      </c>
      <c r="D10" s="139">
        <f>VLOOKUP(A10,ANALISI!A:O,14,FALSE)</f>
        <v>8.2199998795986176</v>
      </c>
      <c r="E10" s="2">
        <f>_xlfn.IFNA(VLOOKUP(A10,ANALISI!A:O,4,FALSE),0)</f>
        <v>73</v>
      </c>
      <c r="F10" s="213"/>
      <c r="G10" s="2">
        <f>_xlfn.IFNA(VLOOKUP(A10,ANALISI!A:O,5,FALSE),0)</f>
        <v>0</v>
      </c>
      <c r="H10" s="213"/>
      <c r="I10" s="2">
        <f>_xlfn.IFNA(VLOOKUP(A10,ANALISI!A:O,8,FALSE),0)</f>
        <v>4</v>
      </c>
      <c r="J10" s="213"/>
      <c r="K10" s="2">
        <f>_xlfn.IFNA(VLOOKUP(A10,ANALISI!A:O,11,FALSE),0)</f>
        <v>0</v>
      </c>
      <c r="L10" s="213"/>
      <c r="M10" s="239">
        <f t="shared" si="0"/>
        <v>5</v>
      </c>
      <c r="N10" s="556"/>
      <c r="O10" s="550"/>
      <c r="P10" s="550"/>
      <c r="Q10" s="550"/>
      <c r="R10" s="550"/>
      <c r="S10" s="560"/>
      <c r="Z10" s="18" t="s">
        <v>268</v>
      </c>
      <c r="AG10" s="67"/>
    </row>
    <row r="11" spans="1:59" ht="29.25" customHeight="1" x14ac:dyDescent="0.25">
      <c r="A11" s="30">
        <v>12271</v>
      </c>
      <c r="B11" s="12" t="s">
        <v>88</v>
      </c>
      <c r="C11" s="12" t="s">
        <v>62</v>
      </c>
      <c r="D11" s="139">
        <f>VLOOKUP(A11,ANALISI!A:O,14,FALSE)</f>
        <v>26.87999951839447</v>
      </c>
      <c r="E11" s="2">
        <f>_xlfn.IFNA(VLOOKUP(A11,ANALISI!A:O,4,FALSE),0)</f>
        <v>220</v>
      </c>
      <c r="F11" s="213"/>
      <c r="G11" s="2">
        <f>_xlfn.IFNA(VLOOKUP(A11,ANALISI!A:O,5,FALSE),0)</f>
        <v>10</v>
      </c>
      <c r="H11" s="213"/>
      <c r="I11" s="2">
        <f>_xlfn.IFNA(VLOOKUP(A11,ANALISI!A:O,8,FALSE),0)</f>
        <v>13</v>
      </c>
      <c r="J11" s="213"/>
      <c r="K11" s="2">
        <f>_xlfn.IFNA(VLOOKUP(A11,ANALISI!A:O,11,FALSE),0)</f>
        <v>0</v>
      </c>
      <c r="L11" s="213"/>
      <c r="M11" s="239">
        <f>ROUNDUP(D11*1.5/1.8,1)</f>
        <v>22.400000000000002</v>
      </c>
      <c r="N11" s="556"/>
      <c r="O11" s="550"/>
      <c r="P11" s="550"/>
      <c r="Q11" s="550"/>
      <c r="R11" s="550"/>
      <c r="S11" s="560"/>
      <c r="Z11" s="18" t="s">
        <v>268</v>
      </c>
      <c r="AG11" s="67"/>
    </row>
    <row r="12" spans="1:59" ht="29.25" customHeight="1" x14ac:dyDescent="0.25">
      <c r="A12" s="30">
        <v>12152</v>
      </c>
      <c r="B12" s="12" t="s">
        <v>88</v>
      </c>
      <c r="C12" s="12" t="s">
        <v>47</v>
      </c>
      <c r="D12" s="139">
        <f>VLOOKUP(A12,ANALISI!A:O,14,FALSE)</f>
        <v>5.9300000965595245</v>
      </c>
      <c r="E12" s="2">
        <f>_xlfn.IFNA(VLOOKUP(A12,ANALISI!A:O,4,FALSE),0)</f>
        <v>63</v>
      </c>
      <c r="F12" s="213"/>
      <c r="G12" s="2">
        <f>_xlfn.IFNA(VLOOKUP(A12,ANALISI!A:O,5,FALSE),0)</f>
        <v>0</v>
      </c>
      <c r="H12" s="213"/>
      <c r="I12" s="2">
        <f>_xlfn.IFNA(VLOOKUP(A12,ANALISI!A:O,8,FALSE),0)</f>
        <v>3</v>
      </c>
      <c r="J12" s="213"/>
      <c r="K12" s="2">
        <f>_xlfn.IFNA(VLOOKUP(A12,ANALISI!A:O,11,FALSE),0)</f>
        <v>1</v>
      </c>
      <c r="L12" s="213"/>
      <c r="M12" s="239">
        <f>CEILING(D12/1.9,1)</f>
        <v>4</v>
      </c>
      <c r="N12" s="556"/>
      <c r="O12" s="550"/>
      <c r="P12" s="550"/>
      <c r="Q12" s="550"/>
      <c r="R12" s="550"/>
      <c r="S12" s="560"/>
      <c r="Z12" s="18" t="s">
        <v>268</v>
      </c>
      <c r="AG12" s="67"/>
    </row>
    <row r="13" spans="1:59" ht="29.25" customHeight="1" thickBot="1" x14ac:dyDescent="0.3">
      <c r="A13" s="31">
        <v>8601</v>
      </c>
      <c r="B13" s="15" t="s">
        <v>88</v>
      </c>
      <c r="C13" s="15" t="s">
        <v>31</v>
      </c>
      <c r="D13" s="298">
        <f>VLOOKUP(A13,ANALISI!A:O,14,FALSE)</f>
        <v>7.3299999535083771</v>
      </c>
      <c r="E13" s="5">
        <f>_xlfn.IFNA(VLOOKUP(A13,ANALISI!A:O,4,FALSE),0)</f>
        <v>66</v>
      </c>
      <c r="F13" s="299"/>
      <c r="G13" s="2">
        <f>_xlfn.IFNA(VLOOKUP(A13,ANALISI!A:O,5,FALSE),0)</f>
        <v>0</v>
      </c>
      <c r="H13" s="299"/>
      <c r="I13" s="5">
        <f>_xlfn.IFNA(VLOOKUP(A13,ANALISI!A:O,8,FALSE),0)</f>
        <v>6</v>
      </c>
      <c r="J13" s="299"/>
      <c r="K13" s="5">
        <f>_xlfn.IFNA(VLOOKUP(A13,ANALISI!A:O,11,FALSE),0)</f>
        <v>2</v>
      </c>
      <c r="L13" s="299"/>
      <c r="M13" s="240">
        <f>ROUNDUP(D13*1.5/1.8,1)</f>
        <v>6.1999999999999993</v>
      </c>
      <c r="N13" s="558"/>
      <c r="O13" s="551"/>
      <c r="P13" s="551"/>
      <c r="Q13" s="551"/>
      <c r="R13" s="551"/>
      <c r="S13" s="561"/>
      <c r="Z13" s="18" t="s">
        <v>268</v>
      </c>
      <c r="AG13" s="67"/>
    </row>
    <row r="14" spans="1:59" ht="29.25" customHeight="1" thickBot="1" x14ac:dyDescent="0.3">
      <c r="A14" s="260"/>
      <c r="B14" s="261"/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262"/>
      <c r="AG14" s="67"/>
    </row>
    <row r="15" spans="1:59" ht="29.25" customHeight="1" x14ac:dyDescent="0.25">
      <c r="A15" s="45" t="s">
        <v>74</v>
      </c>
      <c r="B15" s="6" t="s">
        <v>75</v>
      </c>
      <c r="C15" s="6" t="s">
        <v>76</v>
      </c>
      <c r="D15" s="138" t="s">
        <v>145</v>
      </c>
      <c r="E15" s="4" t="s">
        <v>91</v>
      </c>
      <c r="F15" s="210"/>
      <c r="G15" s="4" t="s">
        <v>92</v>
      </c>
      <c r="H15" s="210"/>
      <c r="I15" s="4" t="s">
        <v>93</v>
      </c>
      <c r="J15" s="210"/>
      <c r="K15" s="4" t="s">
        <v>94</v>
      </c>
      <c r="L15" s="210"/>
      <c r="M15" s="530" t="s">
        <v>111</v>
      </c>
      <c r="N15" s="530"/>
      <c r="O15" s="69" t="s">
        <v>229</v>
      </c>
      <c r="P15" s="267" t="s">
        <v>216</v>
      </c>
      <c r="Q15" s="256" t="s">
        <v>10</v>
      </c>
      <c r="R15" s="256" t="s">
        <v>233</v>
      </c>
      <c r="S15" s="268" t="s">
        <v>234</v>
      </c>
      <c r="AG15" s="67"/>
    </row>
    <row r="16" spans="1:59" ht="29.25" customHeight="1" x14ac:dyDescent="0.25">
      <c r="A16" s="30">
        <v>11796</v>
      </c>
      <c r="B16" s="12" t="s">
        <v>86</v>
      </c>
      <c r="C16" s="12" t="s">
        <v>31</v>
      </c>
      <c r="D16" s="139">
        <f>VLOOKUP(A16,ANALISI!A:O,14,FALSE)</f>
        <v>4.5500001311302185</v>
      </c>
      <c r="E16" s="2">
        <f>_xlfn.IFNA(VLOOKUP(A16,ANALISI!A:O,4,FALSE),0)</f>
        <v>42</v>
      </c>
      <c r="F16" s="213"/>
      <c r="G16" s="2">
        <f>_xlfn.IFNA(VLOOKUP(A16,ANALISI!A:O,5,FALSE),0)</f>
        <v>0</v>
      </c>
      <c r="H16" s="213"/>
      <c r="I16" s="2">
        <f>_xlfn.IFNA(VLOOKUP(A16,ANALISI!A:O,8,FALSE),0)</f>
        <v>2</v>
      </c>
      <c r="J16" s="213"/>
      <c r="K16" s="2">
        <f>_xlfn.IFNA(VLOOKUP(A16,ANALISI!A:O,11,FALSE),0)</f>
        <v>2</v>
      </c>
      <c r="L16" s="213"/>
      <c r="M16" s="239">
        <f>ROUNDUP(D16*1.5/1.8,1)</f>
        <v>3.8000000000000003</v>
      </c>
      <c r="N16" s="542">
        <f>SUM(M16:M17)</f>
        <v>6.8000000000000007</v>
      </c>
      <c r="O16" s="536" t="s">
        <v>262</v>
      </c>
      <c r="P16" s="536" t="s">
        <v>240</v>
      </c>
      <c r="Q16" s="536"/>
      <c r="R16" s="536" t="s">
        <v>230</v>
      </c>
      <c r="S16" s="552"/>
      <c r="Z16" s="18" t="s">
        <v>269</v>
      </c>
      <c r="AG16" s="67"/>
    </row>
    <row r="17" spans="1:33" ht="29.25" customHeight="1" thickBot="1" x14ac:dyDescent="0.3">
      <c r="A17" s="30">
        <v>10265</v>
      </c>
      <c r="B17" s="12" t="s">
        <v>87</v>
      </c>
      <c r="C17" s="12" t="s">
        <v>56</v>
      </c>
      <c r="D17" s="139">
        <f>VLOOKUP(A17,ANALISI!A:O,14,FALSE)</f>
        <v>5.0499999225139618</v>
      </c>
      <c r="E17" s="2">
        <f>_xlfn.IFNA(VLOOKUP(A17,ANALISI!A:O,4,FALSE),0)</f>
        <v>48</v>
      </c>
      <c r="F17" s="213"/>
      <c r="G17" s="2">
        <f>_xlfn.IFNA(VLOOKUP(A17,ANALISI!A:O,5,FALSE),0)</f>
        <v>0</v>
      </c>
      <c r="H17" s="213"/>
      <c r="I17" s="2">
        <f>_xlfn.IFNA(VLOOKUP(A17,ANALISI!A:O,8,FALSE),0)</f>
        <v>2</v>
      </c>
      <c r="J17" s="213"/>
      <c r="K17" s="2">
        <f>_xlfn.IFNA(VLOOKUP(A17,ANALISI!A:O,11,FALSE),0)</f>
        <v>0</v>
      </c>
      <c r="L17" s="213"/>
      <c r="M17" s="239">
        <f t="shared" ref="M17" si="1">CEILING(D17/1.9,1)</f>
        <v>3</v>
      </c>
      <c r="N17" s="558"/>
      <c r="O17" s="551"/>
      <c r="P17" s="551"/>
      <c r="Q17" s="551"/>
      <c r="R17" s="551"/>
      <c r="S17" s="554"/>
      <c r="Z17" s="18" t="s">
        <v>269</v>
      </c>
      <c r="AG17" s="67"/>
    </row>
    <row r="18" spans="1:33" ht="29.25" customHeight="1" thickBot="1" x14ac:dyDescent="0.3">
      <c r="A18" s="260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2"/>
      <c r="AG18" s="67"/>
    </row>
    <row r="19" spans="1:33" ht="29.25" customHeight="1" x14ac:dyDescent="0.25">
      <c r="A19" s="45" t="s">
        <v>74</v>
      </c>
      <c r="B19" s="6" t="s">
        <v>75</v>
      </c>
      <c r="C19" s="6" t="s">
        <v>76</v>
      </c>
      <c r="D19" s="138" t="s">
        <v>145</v>
      </c>
      <c r="E19" s="4" t="s">
        <v>91</v>
      </c>
      <c r="F19" s="210"/>
      <c r="G19" s="4" t="s">
        <v>92</v>
      </c>
      <c r="H19" s="210"/>
      <c r="I19" s="4" t="s">
        <v>93</v>
      </c>
      <c r="J19" s="210"/>
      <c r="K19" s="4" t="s">
        <v>94</v>
      </c>
      <c r="L19" s="210"/>
      <c r="M19" s="530" t="s">
        <v>111</v>
      </c>
      <c r="N19" s="530"/>
      <c r="O19" s="69" t="s">
        <v>229</v>
      </c>
      <c r="P19" s="267" t="s">
        <v>216</v>
      </c>
      <c r="Q19" s="256" t="s">
        <v>10</v>
      </c>
      <c r="R19" s="256" t="s">
        <v>233</v>
      </c>
      <c r="S19" s="268" t="s">
        <v>234</v>
      </c>
      <c r="AG19" s="67"/>
    </row>
    <row r="20" spans="1:33" ht="29.25" customHeight="1" x14ac:dyDescent="0.25">
      <c r="A20" s="64">
        <v>5367</v>
      </c>
      <c r="B20" s="7" t="s">
        <v>80</v>
      </c>
      <c r="C20" s="7" t="s">
        <v>47</v>
      </c>
      <c r="D20" s="139">
        <f>VLOOKUP(A20,ANALISI!A:O,14,FALSE)*0.7</f>
        <v>15.827000072598457</v>
      </c>
      <c r="E20" s="2">
        <f>_xlfn.IFNA(VLOOKUP(A20,ANALISI!A:O,4,FALSE),0)</f>
        <v>241</v>
      </c>
      <c r="F20" s="213"/>
      <c r="G20" s="2">
        <f>_xlfn.IFNA(VLOOKUP(A20,ANALISI!A:O,5,FALSE),0)</f>
        <v>0</v>
      </c>
      <c r="H20" s="213"/>
      <c r="I20" s="2">
        <f>_xlfn.IFNA(VLOOKUP(A20,ANALISI!A:O,8,FALSE),0)</f>
        <v>17</v>
      </c>
      <c r="J20" s="213"/>
      <c r="K20" s="2">
        <f>_xlfn.IFNA(VLOOKUP(A20,ANALISI!A:O,11,FALSE),0)</f>
        <v>1</v>
      </c>
      <c r="L20" s="213"/>
      <c r="M20" s="239">
        <f t="shared" ref="M20" si="2">CEILING(D20/1.9,1)</f>
        <v>9</v>
      </c>
      <c r="N20" s="542">
        <f>SUM(M20:M24)+D25*1.2</f>
        <v>76.582399311065672</v>
      </c>
      <c r="O20" s="532" t="s">
        <v>217</v>
      </c>
      <c r="P20" s="532" t="s">
        <v>235</v>
      </c>
      <c r="Q20" s="532"/>
      <c r="R20" s="532" t="s">
        <v>230</v>
      </c>
      <c r="S20" s="557"/>
      <c r="Z20" s="18" t="s">
        <v>270</v>
      </c>
      <c r="AG20" s="67"/>
    </row>
    <row r="21" spans="1:33" ht="29.25" customHeight="1" x14ac:dyDescent="0.25">
      <c r="A21" s="64">
        <v>1971</v>
      </c>
      <c r="B21" s="7" t="s">
        <v>79</v>
      </c>
      <c r="C21" s="7" t="s">
        <v>71</v>
      </c>
      <c r="D21" s="139">
        <f>VLOOKUP(A21,ANALISI!A:O,14,FALSE)</f>
        <v>13.570000171661377</v>
      </c>
      <c r="E21" s="2">
        <f>_xlfn.IFNA(VLOOKUP(A21,ANALISI!A:O,4,FALSE),0)</f>
        <v>140</v>
      </c>
      <c r="F21" s="213"/>
      <c r="G21" s="2">
        <f>_xlfn.IFNA(VLOOKUP(A21,ANALISI!A:O,5,FALSE),0)</f>
        <v>0</v>
      </c>
      <c r="H21" s="213"/>
      <c r="I21" s="2">
        <f>_xlfn.IFNA(VLOOKUP(A21,ANALISI!A:O,8,FALSE),0)</f>
        <v>0</v>
      </c>
      <c r="J21" s="213"/>
      <c r="K21" s="2">
        <f>_xlfn.IFNA(VLOOKUP(A21,ANALISI!A:O,11,FALSE),0)</f>
        <v>11</v>
      </c>
      <c r="L21" s="213"/>
      <c r="M21" s="239">
        <f>CEILING(D21/1.5,1)</f>
        <v>10</v>
      </c>
      <c r="N21" s="556"/>
      <c r="O21" s="532"/>
      <c r="P21" s="532"/>
      <c r="Q21" s="532"/>
      <c r="R21" s="532"/>
      <c r="S21" s="557"/>
      <c r="Z21" s="18" t="s">
        <v>270</v>
      </c>
      <c r="AG21" s="67"/>
    </row>
    <row r="22" spans="1:33" ht="29.25" customHeight="1" x14ac:dyDescent="0.25">
      <c r="A22" s="64">
        <v>14825</v>
      </c>
      <c r="B22" s="7" t="s">
        <v>79</v>
      </c>
      <c r="C22" s="7" t="s">
        <v>31</v>
      </c>
      <c r="D22" s="139">
        <f>VLOOKUP(A22,ANALISI!A:O,14,FALSE)</f>
        <v>18.160000085830688</v>
      </c>
      <c r="E22" s="2">
        <f>_xlfn.IFNA(VLOOKUP(A22,ANALISI!A:O,4,FALSE),0)</f>
        <v>178</v>
      </c>
      <c r="F22" s="213"/>
      <c r="G22" s="2">
        <f>_xlfn.IFNA(VLOOKUP(A22,ANALISI!A:O,5,FALSE),0)</f>
        <v>2</v>
      </c>
      <c r="H22" s="213"/>
      <c r="I22" s="2">
        <f>_xlfn.IFNA(VLOOKUP(A22,ANALISI!A:O,8,FALSE),0)</f>
        <v>12</v>
      </c>
      <c r="J22" s="213"/>
      <c r="K22" s="2">
        <f>_xlfn.IFNA(VLOOKUP(A22,ANALISI!A:O,11,FALSE),0)</f>
        <v>0</v>
      </c>
      <c r="L22" s="213"/>
      <c r="M22" s="239">
        <f>ROUNDUP(D22*1.5/1.8,1)</f>
        <v>15.2</v>
      </c>
      <c r="N22" s="556"/>
      <c r="O22" s="532"/>
      <c r="P22" s="532"/>
      <c r="Q22" s="532"/>
      <c r="R22" s="532"/>
      <c r="S22" s="557"/>
      <c r="Z22" s="18" t="s">
        <v>270</v>
      </c>
      <c r="AG22" s="67"/>
    </row>
    <row r="23" spans="1:33" ht="29.25" customHeight="1" x14ac:dyDescent="0.25">
      <c r="A23" s="64">
        <v>6760</v>
      </c>
      <c r="B23" s="7" t="s">
        <v>79</v>
      </c>
      <c r="C23" s="7" t="s">
        <v>56</v>
      </c>
      <c r="D23" s="139">
        <f>VLOOKUP(A23,ANALISI!A:O,14,FALSE)</f>
        <v>15.559999942779541</v>
      </c>
      <c r="E23" s="2">
        <f>_xlfn.IFNA(VLOOKUP(A23,ANALISI!A:O,4,FALSE),0)</f>
        <v>137</v>
      </c>
      <c r="F23" s="213"/>
      <c r="G23" s="2">
        <f>_xlfn.IFNA(VLOOKUP(A23,ANALISI!A:O,5,FALSE),0)</f>
        <v>0</v>
      </c>
      <c r="H23" s="213"/>
      <c r="I23" s="2">
        <f>_xlfn.IFNA(VLOOKUP(A23,ANALISI!A:O,8,FALSE),0)</f>
        <v>11</v>
      </c>
      <c r="J23" s="213"/>
      <c r="K23" s="2">
        <f>_xlfn.IFNA(VLOOKUP(A23,ANALISI!A:O,11,FALSE),0)</f>
        <v>0</v>
      </c>
      <c r="L23" s="213"/>
      <c r="M23" s="239">
        <f t="shared" ref="M23:M24" si="3">CEILING(D23/1.9,1)</f>
        <v>9</v>
      </c>
      <c r="N23" s="556"/>
      <c r="O23" s="532"/>
      <c r="P23" s="532"/>
      <c r="Q23" s="532"/>
      <c r="R23" s="532"/>
      <c r="S23" s="557"/>
      <c r="Z23" s="18" t="s">
        <v>270</v>
      </c>
      <c r="AG23" s="67"/>
    </row>
    <row r="24" spans="1:33" ht="29.25" customHeight="1" x14ac:dyDescent="0.25">
      <c r="A24" s="64">
        <v>2435</v>
      </c>
      <c r="B24" s="7" t="s">
        <v>79</v>
      </c>
      <c r="C24" s="7" t="s">
        <v>78</v>
      </c>
      <c r="D24" s="139">
        <f>VLOOKUP(A24,ANALISI!A:O,14,FALSE)</f>
        <v>2.5600000098347664</v>
      </c>
      <c r="E24" s="2">
        <f>_xlfn.IFNA(VLOOKUP(A24,ANALISI!A:O,4,FALSE),0)</f>
        <v>26</v>
      </c>
      <c r="F24" s="213"/>
      <c r="G24" s="2">
        <f>_xlfn.IFNA(VLOOKUP(A24,ANALISI!A:O,5,FALSE),0)</f>
        <v>0</v>
      </c>
      <c r="H24" s="213"/>
      <c r="I24" s="2">
        <f>_xlfn.IFNA(VLOOKUP(A24,ANALISI!A:O,8,FALSE),0)</f>
        <v>2</v>
      </c>
      <c r="J24" s="213"/>
      <c r="K24" s="2">
        <f>_xlfn.IFNA(VLOOKUP(A24,ANALISI!A:O,11,FALSE),0)</f>
        <v>1</v>
      </c>
      <c r="L24" s="213"/>
      <c r="M24" s="239">
        <f t="shared" si="3"/>
        <v>2</v>
      </c>
      <c r="N24" s="556"/>
      <c r="O24" s="532"/>
      <c r="P24" s="532"/>
      <c r="Q24" s="532"/>
      <c r="R24" s="532"/>
      <c r="S24" s="557"/>
      <c r="Z24" s="18" t="s">
        <v>270</v>
      </c>
      <c r="AG24" s="67"/>
    </row>
    <row r="25" spans="1:33" ht="29.25" customHeight="1" x14ac:dyDescent="0.25">
      <c r="A25" s="26">
        <v>3680</v>
      </c>
      <c r="B25" s="7" t="s">
        <v>79</v>
      </c>
      <c r="C25" s="7" t="s">
        <v>62</v>
      </c>
      <c r="D25" s="139">
        <f>VLOOKUP(A25,ANALISI!A:O,14,FALSE)*0.7</f>
        <v>26.151999425888061</v>
      </c>
      <c r="E25" s="2">
        <f>_xlfn.IFNA(VLOOKUP(A25,ANALISI!A:O,4,FALSE),0)</f>
        <v>273</v>
      </c>
      <c r="F25" s="213"/>
      <c r="G25" s="2">
        <f>_xlfn.IFNA(VLOOKUP(A25,ANALISI!A:O,5,FALSE),0)</f>
        <v>37</v>
      </c>
      <c r="H25" s="213"/>
      <c r="I25" s="2">
        <f>_xlfn.IFNA(VLOOKUP(A25,ANALISI!A:O,8,FALSE),0)</f>
        <v>48</v>
      </c>
      <c r="J25" s="213"/>
      <c r="K25" s="2">
        <f>_xlfn.IFNA(VLOOKUP(A25,ANALISI!A:O,11,FALSE),0)</f>
        <v>0</v>
      </c>
      <c r="L25" s="213"/>
      <c r="M25" s="239" t="str">
        <f>_xlfn.CONCAT(C119," plt"," + ",B119," stdr")</f>
        <v xml:space="preserve"> plt +  stdr</v>
      </c>
      <c r="N25" s="543"/>
      <c r="O25" s="532"/>
      <c r="P25" s="532"/>
      <c r="Q25" s="532"/>
      <c r="R25" s="532"/>
      <c r="S25" s="557"/>
      <c r="Z25" s="18" t="s">
        <v>270</v>
      </c>
      <c r="AG25" s="67"/>
    </row>
    <row r="26" spans="1:33" ht="29.25" customHeight="1" thickBot="1" x14ac:dyDescent="0.3">
      <c r="A26" s="316"/>
      <c r="B26" s="317"/>
      <c r="C26" s="317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8"/>
      <c r="AG26" s="67"/>
    </row>
    <row r="27" spans="1:33" ht="29.25" customHeight="1" x14ac:dyDescent="0.25">
      <c r="A27" s="45" t="s">
        <v>74</v>
      </c>
      <c r="B27" s="6" t="s">
        <v>75</v>
      </c>
      <c r="C27" s="6" t="s">
        <v>76</v>
      </c>
      <c r="D27" s="138" t="s">
        <v>145</v>
      </c>
      <c r="E27" s="4" t="s">
        <v>91</v>
      </c>
      <c r="F27" s="210"/>
      <c r="G27" s="4" t="s">
        <v>92</v>
      </c>
      <c r="H27" s="210"/>
      <c r="I27" s="4" t="s">
        <v>93</v>
      </c>
      <c r="J27" s="210"/>
      <c r="K27" s="4" t="s">
        <v>94</v>
      </c>
      <c r="L27" s="210"/>
      <c r="M27" s="530" t="s">
        <v>111</v>
      </c>
      <c r="N27" s="530"/>
      <c r="O27" s="69" t="s">
        <v>229</v>
      </c>
      <c r="P27" s="267" t="s">
        <v>216</v>
      </c>
      <c r="Q27" s="256" t="s">
        <v>10</v>
      </c>
      <c r="R27" s="256" t="s">
        <v>233</v>
      </c>
      <c r="S27" s="268" t="s">
        <v>234</v>
      </c>
      <c r="AG27" s="67"/>
    </row>
    <row r="28" spans="1:33" ht="29.25" customHeight="1" x14ac:dyDescent="0.25">
      <c r="A28" s="36">
        <v>1984</v>
      </c>
      <c r="B28" s="8" t="s">
        <v>103</v>
      </c>
      <c r="C28" s="8" t="s">
        <v>71</v>
      </c>
      <c r="D28" s="139">
        <f>VLOOKUP(A28,ANALISI!A:O,14,FALSE)*0.7</f>
        <v>12.894000637531279</v>
      </c>
      <c r="E28" s="2">
        <f>_xlfn.IFNA(VLOOKUP(A28,ANALISI!A:O,4,FALSE),0)</f>
        <v>186</v>
      </c>
      <c r="F28" s="213"/>
      <c r="G28" s="2">
        <f>_xlfn.IFNA(VLOOKUP(A28,ANALISI!A:O,5,FALSE),0)</f>
        <v>6</v>
      </c>
      <c r="H28" s="213"/>
      <c r="I28" s="2">
        <f>_xlfn.IFNA(VLOOKUP(A28,ANALISI!A:O,8,FALSE),0)</f>
        <v>0</v>
      </c>
      <c r="J28" s="213"/>
      <c r="K28" s="2">
        <f>_xlfn.IFNA(VLOOKUP(A28,ANALISI!A:O,11,FALSE),0)</f>
        <v>17</v>
      </c>
      <c r="L28" s="213"/>
      <c r="M28" s="239">
        <f>CEILING(D28/1.5,1)</f>
        <v>9</v>
      </c>
      <c r="N28" s="546">
        <f>SUM(M28:M29)</f>
        <v>20</v>
      </c>
      <c r="O28" s="532" t="s">
        <v>226</v>
      </c>
      <c r="P28" s="532" t="s">
        <v>239</v>
      </c>
      <c r="Q28" s="536"/>
      <c r="R28" s="536">
        <v>3097</v>
      </c>
      <c r="S28" s="552"/>
      <c r="Z28" s="18" t="s">
        <v>271</v>
      </c>
      <c r="AG28" s="67"/>
    </row>
    <row r="29" spans="1:33" ht="29.25" customHeight="1" thickBot="1" x14ac:dyDescent="0.3">
      <c r="A29" s="30">
        <v>14010</v>
      </c>
      <c r="B29" s="263" t="s">
        <v>102</v>
      </c>
      <c r="C29" s="264" t="s">
        <v>31</v>
      </c>
      <c r="D29" s="139">
        <f>VLOOKUP(A29,ANALISI!A:O,14,FALSE)</f>
        <v>20.439999759197235</v>
      </c>
      <c r="E29" s="2">
        <f>_xlfn.IFNA(VLOOKUP(A29,ANALISI!A:O,4,FALSE),0)</f>
        <v>206</v>
      </c>
      <c r="F29" s="213"/>
      <c r="G29" s="2">
        <f>_xlfn.IFNA(VLOOKUP(A29,ANALISI!A:O,5,FALSE),0)</f>
        <v>0</v>
      </c>
      <c r="H29" s="213"/>
      <c r="I29" s="2">
        <f>_xlfn.IFNA(VLOOKUP(A29,ANALISI!A:O,8,FALSE),0)</f>
        <v>7</v>
      </c>
      <c r="J29" s="213"/>
      <c r="K29" s="2">
        <f>_xlfn.IFNA(VLOOKUP(A29,ANALISI!A:O,11,FALSE),0)</f>
        <v>0</v>
      </c>
      <c r="L29" s="213"/>
      <c r="M29" s="239">
        <f t="shared" ref="M29" si="4">CEILING(D29/1.9,1)</f>
        <v>11</v>
      </c>
      <c r="N29" s="546"/>
      <c r="O29" s="532"/>
      <c r="P29" s="532"/>
      <c r="Q29" s="551"/>
      <c r="R29" s="551"/>
      <c r="S29" s="554"/>
      <c r="Z29" s="18" t="s">
        <v>271</v>
      </c>
      <c r="AG29" s="67"/>
    </row>
    <row r="30" spans="1:33" ht="29.25" customHeight="1" thickBot="1" x14ac:dyDescent="0.3">
      <c r="A30" s="260"/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2"/>
      <c r="AG30" s="67"/>
    </row>
    <row r="31" spans="1:33" ht="29.25" customHeight="1" x14ac:dyDescent="0.25">
      <c r="A31" s="45" t="s">
        <v>74</v>
      </c>
      <c r="B31" s="6" t="s">
        <v>75</v>
      </c>
      <c r="C31" s="6" t="s">
        <v>76</v>
      </c>
      <c r="D31" s="138" t="s">
        <v>145</v>
      </c>
      <c r="E31" s="4" t="s">
        <v>91</v>
      </c>
      <c r="F31" s="210"/>
      <c r="G31" s="4" t="s">
        <v>92</v>
      </c>
      <c r="H31" s="210"/>
      <c r="I31" s="4" t="s">
        <v>93</v>
      </c>
      <c r="J31" s="210"/>
      <c r="K31" s="4" t="s">
        <v>94</v>
      </c>
      <c r="L31" s="210"/>
      <c r="M31" s="530" t="s">
        <v>111</v>
      </c>
      <c r="N31" s="530"/>
      <c r="O31" s="69" t="s">
        <v>229</v>
      </c>
      <c r="P31" s="267" t="s">
        <v>216</v>
      </c>
      <c r="Q31" s="256" t="s">
        <v>10</v>
      </c>
      <c r="R31" s="256" t="s">
        <v>233</v>
      </c>
      <c r="S31" s="268" t="s">
        <v>234</v>
      </c>
      <c r="AG31" s="67"/>
    </row>
    <row r="32" spans="1:33" ht="29.25" customHeight="1" x14ac:dyDescent="0.25">
      <c r="A32" s="39">
        <v>16037</v>
      </c>
      <c r="B32" s="66" t="s">
        <v>82</v>
      </c>
      <c r="C32" s="66" t="s">
        <v>31</v>
      </c>
      <c r="D32" s="139">
        <f>VLOOKUP(A32,ANALISI!A:O,14,FALSE)</f>
        <v>8.629999965429306</v>
      </c>
      <c r="E32" s="2">
        <f>_xlfn.IFNA(VLOOKUP(A32,ANALISI!A:O,4,FALSE),0)</f>
        <v>83</v>
      </c>
      <c r="F32" s="213"/>
      <c r="G32" s="2">
        <f>_xlfn.IFNA(VLOOKUP(A32,ANALISI!A:O,5,FALSE),0)</f>
        <v>0</v>
      </c>
      <c r="H32" s="213"/>
      <c r="I32" s="2">
        <f>_xlfn.IFNA(VLOOKUP(A32,ANALISI!A:O,8,FALSE),0)</f>
        <v>5</v>
      </c>
      <c r="J32" s="213"/>
      <c r="K32" s="2">
        <f>_xlfn.IFNA(VLOOKUP(A32,ANALISI!A:O,11,FALSE),0)</f>
        <v>3</v>
      </c>
      <c r="L32" s="213"/>
      <c r="M32" s="239">
        <f t="shared" ref="M32:M34" si="5">CEILING(D32/1.9,1)</f>
        <v>5</v>
      </c>
      <c r="N32" s="547">
        <f>SUM(M32:M34)</f>
        <v>19</v>
      </c>
      <c r="O32" s="532" t="s">
        <v>226</v>
      </c>
      <c r="P32" s="532" t="s">
        <v>238</v>
      </c>
      <c r="Q32" s="536"/>
      <c r="R32" s="536">
        <v>3117</v>
      </c>
      <c r="S32" s="552"/>
      <c r="Z32" s="18" t="s">
        <v>272</v>
      </c>
      <c r="AG32" s="67"/>
    </row>
    <row r="33" spans="1:33" ht="29.25" customHeight="1" x14ac:dyDescent="0.25">
      <c r="A33" s="39">
        <v>16060</v>
      </c>
      <c r="B33" s="66" t="s">
        <v>82</v>
      </c>
      <c r="C33" s="66" t="s">
        <v>210</v>
      </c>
      <c r="D33" s="139">
        <f>VLOOKUP(A33,ANALISI!A:O,14,FALSE)</f>
        <v>13.739999681711197</v>
      </c>
      <c r="E33" s="2">
        <f>_xlfn.IFNA(VLOOKUP(A33,ANALISI!A:O,4,FALSE),0)</f>
        <v>145</v>
      </c>
      <c r="F33" s="213"/>
      <c r="G33" s="2">
        <f>_xlfn.IFNA(VLOOKUP(A33,ANALISI!A:O,5,FALSE),0)</f>
        <v>0</v>
      </c>
      <c r="H33" s="213"/>
      <c r="I33" s="2">
        <f>_xlfn.IFNA(VLOOKUP(A33,ANALISI!A:O,8,FALSE),0)</f>
        <v>5</v>
      </c>
      <c r="J33" s="213"/>
      <c r="K33" s="2">
        <f>_xlfn.IFNA(VLOOKUP(A33,ANALISI!A:O,11,FALSE),0)</f>
        <v>1</v>
      </c>
      <c r="L33" s="213"/>
      <c r="M33" s="239">
        <f t="shared" si="5"/>
        <v>8</v>
      </c>
      <c r="N33" s="547"/>
      <c r="O33" s="532"/>
      <c r="P33" s="532"/>
      <c r="Q33" s="550"/>
      <c r="R33" s="550"/>
      <c r="S33" s="553"/>
      <c r="Z33" s="18" t="s">
        <v>272</v>
      </c>
      <c r="AG33" s="67"/>
    </row>
    <row r="34" spans="1:33" ht="29.25" customHeight="1" thickBot="1" x14ac:dyDescent="0.3">
      <c r="A34" s="39">
        <v>16269</v>
      </c>
      <c r="B34" s="66" t="s">
        <v>82</v>
      </c>
      <c r="C34" s="265" t="s">
        <v>56</v>
      </c>
      <c r="D34" s="139">
        <f>VLOOKUP(A34,ANALISI!A:O,14,FALSE)</f>
        <v>10.209999859333038</v>
      </c>
      <c r="E34" s="2">
        <f>_xlfn.IFNA(VLOOKUP(A34,ANALISI!A:O,4,FALSE),0)</f>
        <v>93</v>
      </c>
      <c r="F34" s="213"/>
      <c r="G34" s="2">
        <f>_xlfn.IFNA(VLOOKUP(A34,ANALISI!A:O,5,FALSE),0)</f>
        <v>0</v>
      </c>
      <c r="H34" s="213"/>
      <c r="I34" s="2">
        <f>_xlfn.IFNA(VLOOKUP(A34,ANALISI!A:O,8,FALSE),0)</f>
        <v>6</v>
      </c>
      <c r="J34" s="213"/>
      <c r="K34" s="2">
        <f>_xlfn.IFNA(VLOOKUP(A34,ANALISI!A:O,11,FALSE),0)</f>
        <v>0</v>
      </c>
      <c r="L34" s="213"/>
      <c r="M34" s="239">
        <f t="shared" si="5"/>
        <v>6</v>
      </c>
      <c r="N34" s="547"/>
      <c r="O34" s="532"/>
      <c r="P34" s="532"/>
      <c r="Q34" s="550"/>
      <c r="R34" s="550"/>
      <c r="S34" s="553"/>
      <c r="Z34" s="18" t="s">
        <v>272</v>
      </c>
      <c r="AG34" s="67"/>
    </row>
    <row r="35" spans="1:33" ht="29.25" customHeight="1" thickBot="1" x14ac:dyDescent="0.3">
      <c r="A35" s="260"/>
      <c r="B35" s="261"/>
      <c r="C35" s="261"/>
      <c r="D35" s="261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2"/>
      <c r="AG35" s="67"/>
    </row>
    <row r="36" spans="1:33" ht="29.25" customHeight="1" x14ac:dyDescent="0.25">
      <c r="A36" s="45" t="s">
        <v>74</v>
      </c>
      <c r="B36" s="6" t="s">
        <v>75</v>
      </c>
      <c r="C36" s="6" t="s">
        <v>76</v>
      </c>
      <c r="D36" s="138" t="s">
        <v>145</v>
      </c>
      <c r="E36" s="4" t="s">
        <v>91</v>
      </c>
      <c r="F36" s="210"/>
      <c r="G36" s="4" t="s">
        <v>92</v>
      </c>
      <c r="H36" s="210"/>
      <c r="I36" s="4" t="s">
        <v>93</v>
      </c>
      <c r="J36" s="210"/>
      <c r="K36" s="4" t="s">
        <v>94</v>
      </c>
      <c r="L36" s="210"/>
      <c r="M36" s="530" t="s">
        <v>111</v>
      </c>
      <c r="N36" s="530"/>
      <c r="O36" s="69" t="s">
        <v>229</v>
      </c>
      <c r="P36" s="267" t="s">
        <v>216</v>
      </c>
      <c r="Q36" s="256" t="s">
        <v>10</v>
      </c>
      <c r="R36" s="256" t="s">
        <v>233</v>
      </c>
      <c r="S36" s="268" t="s">
        <v>234</v>
      </c>
      <c r="AG36" s="67"/>
    </row>
    <row r="37" spans="1:33" ht="29.25" customHeight="1" thickBot="1" x14ac:dyDescent="0.3">
      <c r="A37" s="427">
        <v>1265</v>
      </c>
      <c r="B37" s="8" t="s">
        <v>100</v>
      </c>
      <c r="C37" s="8" t="s">
        <v>62</v>
      </c>
      <c r="D37" s="139">
        <f>VLOOKUP(A37,ANALISI!A:O,14,FALSE)</f>
        <v>39.96999979019165</v>
      </c>
      <c r="E37" s="2">
        <f>_xlfn.IFNA(VLOOKUP(A37,ANALISI!A:O,4,FALSE),0)</f>
        <v>299</v>
      </c>
      <c r="F37" s="213"/>
      <c r="G37" s="2">
        <f>_xlfn.IFNA(VLOOKUP(A37,ANALISI!A:O,5,FALSE),0)</f>
        <v>24</v>
      </c>
      <c r="H37" s="213"/>
      <c r="I37" s="2">
        <f>_xlfn.IFNA(VLOOKUP(A37,ANALISI!A:O,8,FALSE),0)</f>
        <v>36</v>
      </c>
      <c r="J37" s="213"/>
      <c r="K37" s="2">
        <f>_xlfn.IFNA(VLOOKUP(A37,ANALISI!A:O,11,FALSE),0)</f>
        <v>0</v>
      </c>
      <c r="L37" s="213"/>
      <c r="M37" s="239">
        <f>ROUNDUP(D37*1.5/1.8,1)</f>
        <v>33.4</v>
      </c>
      <c r="N37" s="184"/>
      <c r="O37" s="63" t="s">
        <v>226</v>
      </c>
      <c r="P37" s="63" t="s">
        <v>239</v>
      </c>
      <c r="Q37" s="63"/>
      <c r="R37" s="63">
        <v>3097</v>
      </c>
      <c r="S37" s="269"/>
      <c r="Z37" s="18" t="s">
        <v>273</v>
      </c>
      <c r="AG37" s="67"/>
    </row>
    <row r="38" spans="1:33" ht="29.25" customHeight="1" thickBot="1" x14ac:dyDescent="0.3">
      <c r="A38" s="260"/>
      <c r="B38" s="261"/>
      <c r="C38" s="261"/>
      <c r="D38" s="261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2"/>
      <c r="AG38" s="67"/>
    </row>
    <row r="39" spans="1:33" ht="29.25" customHeight="1" x14ac:dyDescent="0.25">
      <c r="A39" s="45" t="s">
        <v>74</v>
      </c>
      <c r="B39" s="6" t="s">
        <v>75</v>
      </c>
      <c r="C39" s="6" t="s">
        <v>76</v>
      </c>
      <c r="D39" s="138" t="s">
        <v>145</v>
      </c>
      <c r="E39" s="4" t="s">
        <v>91</v>
      </c>
      <c r="F39" s="210"/>
      <c r="G39" s="4" t="s">
        <v>92</v>
      </c>
      <c r="H39" s="210"/>
      <c r="I39" s="4" t="s">
        <v>93</v>
      </c>
      <c r="J39" s="210"/>
      <c r="K39" s="4" t="s">
        <v>94</v>
      </c>
      <c r="L39" s="210"/>
      <c r="M39" s="530" t="s">
        <v>111</v>
      </c>
      <c r="N39" s="530"/>
      <c r="O39" s="69" t="s">
        <v>229</v>
      </c>
      <c r="P39" s="267" t="s">
        <v>216</v>
      </c>
      <c r="Q39" s="256" t="s">
        <v>10</v>
      </c>
      <c r="R39" s="256" t="s">
        <v>233</v>
      </c>
      <c r="S39" s="268" t="s">
        <v>234</v>
      </c>
      <c r="AG39" s="67"/>
    </row>
    <row r="40" spans="1:33" ht="29.25" customHeight="1" x14ac:dyDescent="0.25">
      <c r="A40" s="36">
        <v>12059</v>
      </c>
      <c r="B40" s="8" t="s">
        <v>83</v>
      </c>
      <c r="C40" s="8" t="s">
        <v>62</v>
      </c>
      <c r="D40" s="139">
        <f>VLOOKUP(A40,ANALISI!A:O,14,FALSE)</f>
        <v>36.930001735687256</v>
      </c>
      <c r="E40" s="2">
        <f>_xlfn.IFNA(VLOOKUP(A40,ANALISI!A:O,4,FALSE),0)</f>
        <v>306</v>
      </c>
      <c r="F40" s="213"/>
      <c r="G40" s="2">
        <f>_xlfn.IFNA(VLOOKUP(A40,ANALISI!A:O,5,FALSE),0)</f>
        <v>13</v>
      </c>
      <c r="H40" s="213"/>
      <c r="I40" s="2">
        <f>_xlfn.IFNA(VLOOKUP(A40,ANALISI!A:O,8,FALSE),0)</f>
        <v>20</v>
      </c>
      <c r="J40" s="213"/>
      <c r="K40" s="2">
        <f>_xlfn.IFNA(VLOOKUP(A40,ANALISI!A:O,11,FALSE),0)</f>
        <v>0</v>
      </c>
      <c r="L40" s="213"/>
      <c r="M40" s="239">
        <f>ROUNDUP(D40*1.5/1.8,1)</f>
        <v>30.8</v>
      </c>
      <c r="N40" s="546">
        <f>SUM(M40:M44)</f>
        <v>49.4</v>
      </c>
      <c r="O40" s="532" t="s">
        <v>316</v>
      </c>
      <c r="P40" s="532" t="s">
        <v>235</v>
      </c>
      <c r="Q40" s="536"/>
      <c r="R40" s="536" t="s">
        <v>244</v>
      </c>
      <c r="S40" s="552"/>
      <c r="Z40" s="18" t="s">
        <v>274</v>
      </c>
      <c r="AG40" s="67"/>
    </row>
    <row r="41" spans="1:33" ht="29.25" customHeight="1" x14ac:dyDescent="0.25">
      <c r="A41" s="36">
        <v>12899</v>
      </c>
      <c r="B41" s="8" t="s">
        <v>83</v>
      </c>
      <c r="C41" s="8" t="s">
        <v>31</v>
      </c>
      <c r="D41" s="139">
        <f>VLOOKUP(A41,ANALISI!A:O,14,FALSE)</f>
        <v>5.4600001275539398</v>
      </c>
      <c r="E41" s="2">
        <f>_xlfn.IFNA(VLOOKUP(A41,ANALISI!A:O,4,FALSE),0)</f>
        <v>54</v>
      </c>
      <c r="F41" s="213"/>
      <c r="G41" s="2">
        <f>_xlfn.IFNA(VLOOKUP(A41,ANALISI!A:O,5,FALSE),0)</f>
        <v>0</v>
      </c>
      <c r="H41" s="213"/>
      <c r="I41" s="2">
        <f>_xlfn.IFNA(VLOOKUP(A41,ANALISI!A:O,8,FALSE),0)</f>
        <v>4</v>
      </c>
      <c r="J41" s="213"/>
      <c r="K41" s="2">
        <f>_xlfn.IFNA(VLOOKUP(A41,ANALISI!A:O,11,FALSE),0)</f>
        <v>0</v>
      </c>
      <c r="L41" s="213"/>
      <c r="M41" s="239">
        <f>ROUNDUP(D41*1.5/1.8,1)</f>
        <v>4.5999999999999996</v>
      </c>
      <c r="N41" s="546"/>
      <c r="O41" s="532"/>
      <c r="P41" s="532"/>
      <c r="Q41" s="550"/>
      <c r="R41" s="550"/>
      <c r="S41" s="553"/>
      <c r="Z41" s="18" t="s">
        <v>274</v>
      </c>
      <c r="AG41" s="67"/>
    </row>
    <row r="42" spans="1:33" ht="29.25" customHeight="1" x14ac:dyDescent="0.25">
      <c r="A42" s="36">
        <v>12093</v>
      </c>
      <c r="B42" s="8" t="s">
        <v>83</v>
      </c>
      <c r="C42" s="8" t="s">
        <v>56</v>
      </c>
      <c r="D42" s="139">
        <f>VLOOKUP(A42,ANALISI!A:O,14,FALSE)</f>
        <v>6.4599998593330383</v>
      </c>
      <c r="E42" s="2">
        <f>_xlfn.IFNA(VLOOKUP(A42,ANALISI!A:O,4,FALSE),0)</f>
        <v>59</v>
      </c>
      <c r="F42" s="213"/>
      <c r="G42" s="2">
        <f>_xlfn.IFNA(VLOOKUP(A42,ANALISI!A:O,5,FALSE),0)</f>
        <v>0</v>
      </c>
      <c r="H42" s="213"/>
      <c r="I42" s="2">
        <f>_xlfn.IFNA(VLOOKUP(A42,ANALISI!A:O,8,FALSE),0)</f>
        <v>4</v>
      </c>
      <c r="J42" s="213"/>
      <c r="K42" s="2">
        <f>_xlfn.IFNA(VLOOKUP(A42,ANALISI!A:O,11,FALSE),0)</f>
        <v>0</v>
      </c>
      <c r="L42" s="213"/>
      <c r="M42" s="239">
        <f t="shared" ref="M42:M43" si="6">CEILING(D42/1.9,1)</f>
        <v>4</v>
      </c>
      <c r="N42" s="546"/>
      <c r="O42" s="532"/>
      <c r="P42" s="532"/>
      <c r="Q42" s="550"/>
      <c r="R42" s="550"/>
      <c r="S42" s="553"/>
      <c r="Z42" s="18" t="s">
        <v>274</v>
      </c>
      <c r="AG42" s="67"/>
    </row>
    <row r="43" spans="1:33" ht="29.25" customHeight="1" x14ac:dyDescent="0.25">
      <c r="A43" s="39">
        <v>10504</v>
      </c>
      <c r="B43" s="8" t="s">
        <v>83</v>
      </c>
      <c r="C43" s="8" t="s">
        <v>47</v>
      </c>
      <c r="D43" s="139">
        <f>VLOOKUP(A43,ANALISI!A:O,14,FALSE)</f>
        <v>7.4499997943639755</v>
      </c>
      <c r="E43" s="2">
        <f>_xlfn.IFNA(VLOOKUP(A43,ANALISI!A:O,4,FALSE),0)</f>
        <v>79</v>
      </c>
      <c r="F43" s="213"/>
      <c r="G43" s="2">
        <f>_xlfn.IFNA(VLOOKUP(A43,ANALISI!A:O,5,FALSE),0)</f>
        <v>0</v>
      </c>
      <c r="H43" s="213"/>
      <c r="I43" s="2">
        <f>_xlfn.IFNA(VLOOKUP(A43,ANALISI!A:O,8,FALSE),0)</f>
        <v>3</v>
      </c>
      <c r="J43" s="213"/>
      <c r="K43" s="2">
        <f>_xlfn.IFNA(VLOOKUP(A43,ANALISI!A:O,11,FALSE),0)</f>
        <v>3</v>
      </c>
      <c r="L43" s="213"/>
      <c r="M43" s="239">
        <f t="shared" si="6"/>
        <v>4</v>
      </c>
      <c r="N43" s="546"/>
      <c r="O43" s="532"/>
      <c r="P43" s="532"/>
      <c r="Q43" s="550"/>
      <c r="R43" s="550"/>
      <c r="S43" s="553"/>
      <c r="Z43" s="18" t="s">
        <v>274</v>
      </c>
      <c r="AG43" s="67"/>
    </row>
    <row r="44" spans="1:33" ht="29.25" customHeight="1" thickBot="1" x14ac:dyDescent="0.3">
      <c r="A44" s="39">
        <v>7593</v>
      </c>
      <c r="B44" s="8" t="s">
        <v>101</v>
      </c>
      <c r="C44" s="8" t="s">
        <v>56</v>
      </c>
      <c r="D44" s="139">
        <f>VLOOKUP(A44,ANALISI!A:O,14,FALSE)</f>
        <v>9.8299996256828308</v>
      </c>
      <c r="E44" s="2">
        <f>_xlfn.IFNA(VLOOKUP(A44,ANALISI!A:O,4,FALSE),0)</f>
        <v>93</v>
      </c>
      <c r="F44" s="213"/>
      <c r="G44" s="2">
        <f>_xlfn.IFNA(VLOOKUP(A44,ANALISI!A:O,5,FALSE),0)</f>
        <v>0</v>
      </c>
      <c r="H44" s="213"/>
      <c r="I44" s="2">
        <f>_xlfn.IFNA(VLOOKUP(A44,ANALISI!A:O,8,FALSE),0)</f>
        <v>4</v>
      </c>
      <c r="J44" s="213"/>
      <c r="K44" s="2">
        <f>_xlfn.IFNA(VLOOKUP(A44,ANALISI!A:O,11,FALSE),0)</f>
        <v>0</v>
      </c>
      <c r="L44" s="213"/>
      <c r="M44" s="239">
        <f t="shared" ref="M44" si="7">CEILING(D44/1.9,1)</f>
        <v>6</v>
      </c>
      <c r="N44" s="546"/>
      <c r="O44" s="532"/>
      <c r="P44" s="532"/>
      <c r="Q44" s="551"/>
      <c r="R44" s="551"/>
      <c r="S44" s="554"/>
      <c r="Z44" s="18" t="s">
        <v>274</v>
      </c>
      <c r="AG44" s="67"/>
    </row>
    <row r="45" spans="1:33" ht="29.25" customHeight="1" thickBot="1" x14ac:dyDescent="0.3">
      <c r="A45" s="260"/>
      <c r="B45" s="261"/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2"/>
      <c r="AG45" s="67"/>
    </row>
    <row r="46" spans="1:33" ht="29.25" customHeight="1" x14ac:dyDescent="0.25">
      <c r="A46" s="45" t="s">
        <v>74</v>
      </c>
      <c r="B46" s="6" t="s">
        <v>75</v>
      </c>
      <c r="C46" s="6" t="s">
        <v>76</v>
      </c>
      <c r="D46" s="138" t="s">
        <v>145</v>
      </c>
      <c r="E46" s="4" t="s">
        <v>91</v>
      </c>
      <c r="F46" s="210"/>
      <c r="G46" s="4" t="s">
        <v>92</v>
      </c>
      <c r="H46" s="210"/>
      <c r="I46" s="4" t="s">
        <v>93</v>
      </c>
      <c r="J46" s="210"/>
      <c r="K46" s="4" t="s">
        <v>94</v>
      </c>
      <c r="L46" s="210"/>
      <c r="M46" s="530" t="s">
        <v>111</v>
      </c>
      <c r="N46" s="530"/>
      <c r="O46" s="69" t="s">
        <v>229</v>
      </c>
      <c r="P46" s="267" t="s">
        <v>216</v>
      </c>
      <c r="Q46" s="256" t="s">
        <v>10</v>
      </c>
      <c r="R46" s="256" t="s">
        <v>233</v>
      </c>
      <c r="S46" s="268" t="s">
        <v>234</v>
      </c>
      <c r="AG46" s="67"/>
    </row>
    <row r="47" spans="1:33" ht="29.25" customHeight="1" x14ac:dyDescent="0.25">
      <c r="A47" s="41">
        <v>11629</v>
      </c>
      <c r="B47" s="241" t="s">
        <v>84</v>
      </c>
      <c r="C47" s="8" t="s">
        <v>47</v>
      </c>
      <c r="D47" s="139">
        <f>VLOOKUP(A47,ANALISI!A:O,14,FALSE)</f>
        <v>6.4600000381469727</v>
      </c>
      <c r="E47" s="2">
        <f>_xlfn.IFNA(VLOOKUP(A47,ANALISI!A:O,4,FALSE),0)</f>
        <v>71</v>
      </c>
      <c r="F47" s="213"/>
      <c r="G47" s="2">
        <f>_xlfn.IFNA(VLOOKUP(A47,ANALISI!A:O,5,FALSE),0)</f>
        <v>0</v>
      </c>
      <c r="H47" s="213"/>
      <c r="I47" s="2">
        <f>_xlfn.IFNA(VLOOKUP(A47,ANALISI!A:O,8,FALSE),0)</f>
        <v>4</v>
      </c>
      <c r="J47" s="213"/>
      <c r="K47" s="2">
        <f>_xlfn.IFNA(VLOOKUP(A47,ANALISI!A:O,11,FALSE),0)</f>
        <v>2</v>
      </c>
      <c r="L47" s="213"/>
      <c r="M47" s="239">
        <f t="shared" ref="M47:M48" si="8">CEILING(D47/1.9,1)</f>
        <v>4</v>
      </c>
      <c r="N47" s="546">
        <f>SUM(M47:M48)</f>
        <v>6</v>
      </c>
      <c r="O47" s="532" t="s">
        <v>315</v>
      </c>
      <c r="P47" s="532" t="s">
        <v>240</v>
      </c>
      <c r="Q47" s="536"/>
      <c r="R47" s="536">
        <v>4202</v>
      </c>
      <c r="S47" s="552"/>
      <c r="Z47" s="18" t="s">
        <v>275</v>
      </c>
      <c r="AG47" s="67"/>
    </row>
    <row r="48" spans="1:33" ht="29.25" customHeight="1" thickBot="1" x14ac:dyDescent="0.3">
      <c r="A48" s="41">
        <v>12154</v>
      </c>
      <c r="B48" s="241" t="s">
        <v>84</v>
      </c>
      <c r="C48" s="8" t="s">
        <v>56</v>
      </c>
      <c r="D48" s="139">
        <f>VLOOKUP(A48,ANALISI!A:O,14,FALSE)</f>
        <v>2.4399999380111694</v>
      </c>
      <c r="E48" s="2">
        <f>_xlfn.IFNA(VLOOKUP(A48,ANALISI!A:O,4,FALSE),0)</f>
        <v>20</v>
      </c>
      <c r="F48" s="213"/>
      <c r="G48" s="2">
        <f>_xlfn.IFNA(VLOOKUP(A48,ANALISI!A:O,5,FALSE),0)</f>
        <v>0</v>
      </c>
      <c r="H48" s="213"/>
      <c r="I48" s="2">
        <f>_xlfn.IFNA(VLOOKUP(A48,ANALISI!A:O,8,FALSE),0)</f>
        <v>4</v>
      </c>
      <c r="J48" s="213"/>
      <c r="K48" s="2">
        <f>_xlfn.IFNA(VLOOKUP(A48,ANALISI!A:O,11,FALSE),0)</f>
        <v>0</v>
      </c>
      <c r="L48" s="213"/>
      <c r="M48" s="239">
        <f t="shared" si="8"/>
        <v>2</v>
      </c>
      <c r="N48" s="546"/>
      <c r="O48" s="532"/>
      <c r="P48" s="532"/>
      <c r="Q48" s="551"/>
      <c r="R48" s="551"/>
      <c r="S48" s="554"/>
      <c r="Z48" s="18" t="s">
        <v>275</v>
      </c>
      <c r="AG48" s="67"/>
    </row>
    <row r="49" spans="1:26" ht="29.25" customHeight="1" thickBot="1" x14ac:dyDescent="0.3">
      <c r="A49" s="260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2"/>
    </row>
    <row r="50" spans="1:26" ht="29.25" customHeight="1" x14ac:dyDescent="0.25">
      <c r="A50" s="45" t="s">
        <v>74</v>
      </c>
      <c r="B50" s="6" t="s">
        <v>75</v>
      </c>
      <c r="C50" s="6" t="s">
        <v>76</v>
      </c>
      <c r="D50" s="138" t="s">
        <v>145</v>
      </c>
      <c r="E50" s="4" t="s">
        <v>91</v>
      </c>
      <c r="F50" s="210"/>
      <c r="G50" s="4" t="s">
        <v>92</v>
      </c>
      <c r="H50" s="210"/>
      <c r="I50" s="4" t="s">
        <v>93</v>
      </c>
      <c r="J50" s="210"/>
      <c r="K50" s="4" t="s">
        <v>94</v>
      </c>
      <c r="L50" s="210"/>
      <c r="M50" s="530" t="s">
        <v>111</v>
      </c>
      <c r="N50" s="530"/>
      <c r="O50" s="69" t="s">
        <v>229</v>
      </c>
      <c r="P50" s="267" t="s">
        <v>216</v>
      </c>
      <c r="Q50" s="256" t="s">
        <v>10</v>
      </c>
      <c r="R50" s="256" t="s">
        <v>233</v>
      </c>
      <c r="S50" s="268" t="s">
        <v>234</v>
      </c>
    </row>
    <row r="51" spans="1:26" ht="29.25" customHeight="1" x14ac:dyDescent="0.25">
      <c r="A51" s="30">
        <v>16723</v>
      </c>
      <c r="B51" s="22" t="s">
        <v>85</v>
      </c>
      <c r="C51" s="12" t="s">
        <v>62</v>
      </c>
      <c r="D51" s="139">
        <f>VLOOKUP(A51,ANALISI!A:O,14,FALSE)*0.7</f>
        <v>42.846999359130855</v>
      </c>
      <c r="E51" s="2">
        <f>_xlfn.IFNA(VLOOKUP(A51,ANALISI!A:O,4,FALSE),0)</f>
        <v>480</v>
      </c>
      <c r="F51" s="213"/>
      <c r="G51" s="2">
        <f>_xlfn.IFNA(VLOOKUP(A51,ANALISI!A:O,5,FALSE),0)</f>
        <v>24</v>
      </c>
      <c r="H51" s="213"/>
      <c r="I51" s="2">
        <f>_xlfn.IFNA(VLOOKUP(A51,ANALISI!A:O,8,FALSE),0)</f>
        <v>48</v>
      </c>
      <c r="J51" s="213"/>
      <c r="K51" s="2">
        <f>_xlfn.IFNA(VLOOKUP(A51,ANALISI!A:O,11,FALSE),0)</f>
        <v>0</v>
      </c>
      <c r="L51" s="213"/>
      <c r="M51" s="239">
        <f>ROUNDUP(D51*1.5/1.8,1)</f>
        <v>35.800000000000004</v>
      </c>
      <c r="N51" s="546">
        <f>SUM(M51:M53)</f>
        <v>47.400000000000006</v>
      </c>
      <c r="O51" s="532" t="s">
        <v>316</v>
      </c>
      <c r="P51" s="532" t="s">
        <v>236</v>
      </c>
      <c r="Q51" s="536"/>
      <c r="R51" s="536">
        <v>3058</v>
      </c>
      <c r="S51" s="552"/>
      <c r="Z51" s="18" t="s">
        <v>276</v>
      </c>
    </row>
    <row r="52" spans="1:26" ht="29.25" customHeight="1" x14ac:dyDescent="0.25">
      <c r="A52" s="30">
        <v>8453</v>
      </c>
      <c r="B52" s="22" t="s">
        <v>85</v>
      </c>
      <c r="C52" s="12" t="s">
        <v>31</v>
      </c>
      <c r="D52" s="139">
        <f>VLOOKUP(A52,ANALISI!A:O,14,FALSE)</f>
        <v>6.6600000262260437</v>
      </c>
      <c r="E52" s="2">
        <f>_xlfn.IFNA(VLOOKUP(A52,ANALISI!A:O,4,FALSE),0)</f>
        <v>59</v>
      </c>
      <c r="F52" s="213"/>
      <c r="G52" s="2">
        <f>_xlfn.IFNA(VLOOKUP(A52,ANALISI!A:O,5,FALSE),0)</f>
        <v>0</v>
      </c>
      <c r="H52" s="213"/>
      <c r="I52" s="2">
        <f>_xlfn.IFNA(VLOOKUP(A52,ANALISI!A:O,8,FALSE),0)</f>
        <v>4</v>
      </c>
      <c r="J52" s="213"/>
      <c r="K52" s="2">
        <f>_xlfn.IFNA(VLOOKUP(A52,ANALISI!A:O,11,FALSE),0)</f>
        <v>3</v>
      </c>
      <c r="L52" s="213"/>
      <c r="M52" s="239">
        <f>ROUNDUP(D52*1.5/1.8,1)</f>
        <v>5.6</v>
      </c>
      <c r="N52" s="546"/>
      <c r="O52" s="532"/>
      <c r="P52" s="532"/>
      <c r="Q52" s="550"/>
      <c r="R52" s="550"/>
      <c r="S52" s="553"/>
      <c r="Z52" s="18" t="s">
        <v>276</v>
      </c>
    </row>
    <row r="53" spans="1:26" ht="29.25" customHeight="1" thickBot="1" x14ac:dyDescent="0.3">
      <c r="A53" s="30">
        <v>6525</v>
      </c>
      <c r="B53" s="22" t="s">
        <v>85</v>
      </c>
      <c r="C53" s="12" t="s">
        <v>47</v>
      </c>
      <c r="D53" s="139">
        <f>VLOOKUP(A53,ANALISI!A:O,14,FALSE)*0.7</f>
        <v>10.066000142693518</v>
      </c>
      <c r="E53" s="2">
        <f>_xlfn.IFNA(VLOOKUP(A53,ANALISI!A:O,4,FALSE),0)</f>
        <v>155</v>
      </c>
      <c r="F53" s="213"/>
      <c r="G53" s="2">
        <f>_xlfn.IFNA(VLOOKUP(A53,ANALISI!A:O,5,FALSE),0)</f>
        <v>0</v>
      </c>
      <c r="H53" s="213"/>
      <c r="I53" s="2">
        <f>_xlfn.IFNA(VLOOKUP(A53,ANALISI!A:O,8,FALSE),0)</f>
        <v>12</v>
      </c>
      <c r="J53" s="213"/>
      <c r="K53" s="2">
        <f>_xlfn.IFNA(VLOOKUP(A53,ANALISI!A:O,11,FALSE),0)</f>
        <v>1</v>
      </c>
      <c r="L53" s="213"/>
      <c r="M53" s="239">
        <f t="shared" ref="M53" si="9">CEILING(D53/1.9,1)</f>
        <v>6</v>
      </c>
      <c r="N53" s="546"/>
      <c r="O53" s="532"/>
      <c r="P53" s="532"/>
      <c r="Q53" s="551"/>
      <c r="R53" s="551"/>
      <c r="S53" s="554"/>
      <c r="Z53" s="18" t="s">
        <v>276</v>
      </c>
    </row>
    <row r="54" spans="1:26" ht="29.25" customHeight="1" thickBot="1" x14ac:dyDescent="0.3">
      <c r="A54" s="260"/>
      <c r="B54" s="261"/>
      <c r="C54" s="261"/>
      <c r="D54" s="261"/>
      <c r="E54" s="261"/>
      <c r="F54" s="261"/>
      <c r="G54" s="26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2"/>
    </row>
    <row r="55" spans="1:26" ht="29.25" customHeight="1" x14ac:dyDescent="0.25">
      <c r="A55" s="45" t="s">
        <v>74</v>
      </c>
      <c r="B55" s="6" t="s">
        <v>75</v>
      </c>
      <c r="C55" s="6" t="s">
        <v>76</v>
      </c>
      <c r="D55" s="138" t="s">
        <v>145</v>
      </c>
      <c r="E55" s="4" t="s">
        <v>91</v>
      </c>
      <c r="F55" s="210"/>
      <c r="G55" s="4" t="s">
        <v>92</v>
      </c>
      <c r="H55" s="210"/>
      <c r="I55" s="4" t="s">
        <v>93</v>
      </c>
      <c r="J55" s="210"/>
      <c r="K55" s="4" t="s">
        <v>94</v>
      </c>
      <c r="L55" s="210"/>
      <c r="M55" s="544" t="s">
        <v>111</v>
      </c>
      <c r="N55" s="545"/>
      <c r="O55" s="69" t="s">
        <v>229</v>
      </c>
      <c r="P55" s="267" t="s">
        <v>216</v>
      </c>
      <c r="Q55" s="256" t="s">
        <v>10</v>
      </c>
      <c r="R55" s="256" t="s">
        <v>233</v>
      </c>
      <c r="S55" s="268" t="s">
        <v>234</v>
      </c>
    </row>
    <row r="56" spans="1:26" ht="29.25" customHeight="1" x14ac:dyDescent="0.25">
      <c r="A56" s="32">
        <v>5349</v>
      </c>
      <c r="B56" s="14" t="s">
        <v>105</v>
      </c>
      <c r="C56" s="12" t="s">
        <v>47</v>
      </c>
      <c r="D56" s="139">
        <f>VLOOKUP(A56,ANALISI!A:O,14,FALSE)*0.7</f>
        <v>15.176000213623047</v>
      </c>
      <c r="E56" s="2">
        <f>_xlfn.IFNA(VLOOKUP(A56,ANALISI!A:O,4,FALSE),0)</f>
        <v>246</v>
      </c>
      <c r="F56" s="213"/>
      <c r="G56" s="2">
        <f>_xlfn.IFNA(VLOOKUP(A56,ANALISI!A:O,5,FALSE),0)</f>
        <v>0</v>
      </c>
      <c r="H56" s="213"/>
      <c r="I56" s="2">
        <f>_xlfn.IFNA(VLOOKUP(A56,ANALISI!A:O,8,FALSE),0)</f>
        <v>13</v>
      </c>
      <c r="J56" s="213"/>
      <c r="K56" s="2">
        <f>_xlfn.IFNA(VLOOKUP(A56,ANALISI!A:O,11,FALSE),0)</f>
        <v>0</v>
      </c>
      <c r="L56" s="213"/>
      <c r="M56" s="239">
        <f t="shared" ref="M56:M59" si="10">CEILING(D56/1.9,1)</f>
        <v>8</v>
      </c>
      <c r="N56" s="546">
        <f>SUM(M56:M62)</f>
        <v>68.599999999999994</v>
      </c>
      <c r="O56" s="532" t="s">
        <v>264</v>
      </c>
      <c r="P56" s="532" t="s">
        <v>265</v>
      </c>
      <c r="Q56" s="536"/>
      <c r="R56" s="536" t="s">
        <v>230</v>
      </c>
      <c r="S56" s="552"/>
      <c r="Z56" s="18" t="s">
        <v>277</v>
      </c>
    </row>
    <row r="57" spans="1:26" ht="29.25" customHeight="1" x14ac:dyDescent="0.25">
      <c r="A57" s="32">
        <v>8428</v>
      </c>
      <c r="B57" s="14" t="s">
        <v>105</v>
      </c>
      <c r="C57" s="12" t="s">
        <v>31</v>
      </c>
      <c r="D57" s="139">
        <f>VLOOKUP(A57,ANALISI!A:O,14,FALSE)*0.7</f>
        <v>10.604999858140944</v>
      </c>
      <c r="E57" s="2">
        <f>_xlfn.IFNA(VLOOKUP(A57,ANALISI!A:O,4,FALSE),0)</f>
        <v>154</v>
      </c>
      <c r="F57" s="213"/>
      <c r="G57" s="2">
        <f>_xlfn.IFNA(VLOOKUP(A57,ANALISI!A:O,5,FALSE),0)</f>
        <v>0</v>
      </c>
      <c r="H57" s="213"/>
      <c r="I57" s="2">
        <f>_xlfn.IFNA(VLOOKUP(A57,ANALISI!A:O,8,FALSE),0)</f>
        <v>7</v>
      </c>
      <c r="J57" s="213"/>
      <c r="K57" s="2">
        <f>_xlfn.IFNA(VLOOKUP(A57,ANALISI!A:O,11,FALSE),0)</f>
        <v>0</v>
      </c>
      <c r="L57" s="213"/>
      <c r="M57" s="239">
        <f>ROUNDUP(D57*1.5/1.8,1)</f>
        <v>8.9</v>
      </c>
      <c r="N57" s="546"/>
      <c r="O57" s="532"/>
      <c r="P57" s="532"/>
      <c r="Q57" s="550"/>
      <c r="R57" s="550"/>
      <c r="S57" s="553"/>
      <c r="Z57" s="18" t="s">
        <v>277</v>
      </c>
    </row>
    <row r="58" spans="1:26" ht="29.25" customHeight="1" x14ac:dyDescent="0.25">
      <c r="A58" s="32">
        <v>4518</v>
      </c>
      <c r="B58" s="14" t="s">
        <v>105</v>
      </c>
      <c r="C58" s="12" t="s">
        <v>44</v>
      </c>
      <c r="D58" s="139">
        <f>VLOOKUP(A58,ANALISI!A:O,14,FALSE)</f>
        <v>2.9300001263618469</v>
      </c>
      <c r="E58" s="2">
        <f>_xlfn.IFNA(VLOOKUP(A58,ANALISI!A:O,4,FALSE),0)</f>
        <v>23</v>
      </c>
      <c r="F58" s="213"/>
      <c r="G58" s="2">
        <f>_xlfn.IFNA(VLOOKUP(A58,ANALISI!A:O,5,FALSE),0)</f>
        <v>0</v>
      </c>
      <c r="H58" s="213"/>
      <c r="I58" s="2">
        <f>_xlfn.IFNA(VLOOKUP(A58,ANALISI!A:O,8,FALSE),0)</f>
        <v>5</v>
      </c>
      <c r="J58" s="213"/>
      <c r="K58" s="2">
        <f>_xlfn.IFNA(VLOOKUP(A58,ANALISI!A:O,11,FALSE),0)</f>
        <v>0</v>
      </c>
      <c r="L58" s="213"/>
      <c r="M58" s="239">
        <f t="shared" si="10"/>
        <v>2</v>
      </c>
      <c r="N58" s="546"/>
      <c r="O58" s="532"/>
      <c r="P58" s="532"/>
      <c r="Q58" s="550"/>
      <c r="R58" s="550"/>
      <c r="S58" s="553"/>
      <c r="Z58" s="18" t="s">
        <v>277</v>
      </c>
    </row>
    <row r="59" spans="1:26" ht="29.25" customHeight="1" x14ac:dyDescent="0.25">
      <c r="A59" s="32">
        <v>2414</v>
      </c>
      <c r="B59" s="14" t="s">
        <v>105</v>
      </c>
      <c r="C59" s="12" t="s">
        <v>78</v>
      </c>
      <c r="D59" s="139">
        <f>VLOOKUP(A59,ANALISI!A:O,14,FALSE)</f>
        <v>2.6499999240040779</v>
      </c>
      <c r="E59" s="2">
        <f>_xlfn.IFNA(VLOOKUP(A59,ANALISI!A:O,4,FALSE),0)</f>
        <v>27</v>
      </c>
      <c r="F59" s="213"/>
      <c r="G59" s="2">
        <f>_xlfn.IFNA(VLOOKUP(A59,ANALISI!A:O,5,FALSE),0)</f>
        <v>0</v>
      </c>
      <c r="H59" s="213"/>
      <c r="I59" s="2">
        <f>_xlfn.IFNA(VLOOKUP(A59,ANALISI!A:O,8,FALSE),0)</f>
        <v>2</v>
      </c>
      <c r="J59" s="213"/>
      <c r="K59" s="2">
        <f>_xlfn.IFNA(VLOOKUP(A59,ANALISI!A:O,11,FALSE),0)</f>
        <v>1</v>
      </c>
      <c r="L59" s="213"/>
      <c r="M59" s="239">
        <f t="shared" si="10"/>
        <v>2</v>
      </c>
      <c r="N59" s="546"/>
      <c r="O59" s="532"/>
      <c r="P59" s="532"/>
      <c r="Q59" s="550"/>
      <c r="R59" s="550"/>
      <c r="S59" s="553"/>
      <c r="Z59" s="18" t="s">
        <v>277</v>
      </c>
    </row>
    <row r="60" spans="1:26" ht="29.25" customHeight="1" x14ac:dyDescent="0.25">
      <c r="A60" s="32">
        <v>3591</v>
      </c>
      <c r="B60" s="14" t="s">
        <v>106</v>
      </c>
      <c r="C60" s="14" t="s">
        <v>62</v>
      </c>
      <c r="D60" s="139">
        <f>VLOOKUP(A60,ANALISI!A:O,14,FALSE)</f>
        <v>41.56000018119812</v>
      </c>
      <c r="E60" s="2">
        <f>_xlfn.IFNA(VLOOKUP(A60,ANALISI!A:O,4,FALSE),0)</f>
        <v>332</v>
      </c>
      <c r="F60" s="213"/>
      <c r="G60" s="2">
        <f>_xlfn.IFNA(VLOOKUP(A60,ANALISI!A:O,5,FALSE),0)</f>
        <v>36</v>
      </c>
      <c r="H60" s="213"/>
      <c r="I60" s="2">
        <f>_xlfn.IFNA(VLOOKUP(A60,ANALISI!A:O,8,FALSE),0)</f>
        <v>41</v>
      </c>
      <c r="J60" s="213"/>
      <c r="K60" s="2">
        <f>_xlfn.IFNA(VLOOKUP(A60,ANALISI!A:O,11,FALSE),0)</f>
        <v>0</v>
      </c>
      <c r="L60" s="213"/>
      <c r="M60" s="239">
        <f>ROUNDUP(D60*1.5/1.8,1)</f>
        <v>34.700000000000003</v>
      </c>
      <c r="N60" s="546"/>
      <c r="O60" s="532"/>
      <c r="P60" s="532"/>
      <c r="Q60" s="550"/>
      <c r="R60" s="550"/>
      <c r="S60" s="553"/>
      <c r="Z60" s="18" t="s">
        <v>277</v>
      </c>
    </row>
    <row r="61" spans="1:26" ht="29.25" customHeight="1" x14ac:dyDescent="0.25">
      <c r="A61" s="426">
        <v>1755</v>
      </c>
      <c r="B61" s="14" t="s">
        <v>106</v>
      </c>
      <c r="C61" s="14" t="s">
        <v>71</v>
      </c>
      <c r="D61" s="139">
        <f>VLOOKUP(A61,ANALISI!A:O,14,FALSE)</f>
        <v>8.970000147819519</v>
      </c>
      <c r="E61" s="319"/>
      <c r="F61" s="213"/>
      <c r="G61" s="2">
        <f>_xlfn.IFNA(VLOOKUP(A61,ANALISI!A:O,5,FALSE),0)+_xlfn.IFNA(VLOOKUP(A61,ANALISI!A:O,4,FALSE),0)</f>
        <v>88</v>
      </c>
      <c r="H61" s="213"/>
      <c r="I61" s="2">
        <f>_xlfn.IFNA(VLOOKUP(A61,ANALISI!A:O,8,FALSE),0)</f>
        <v>0</v>
      </c>
      <c r="J61" s="213"/>
      <c r="K61" s="2">
        <f>_xlfn.IFNA(VLOOKUP(A61,ANALISI!A:O,11,FALSE),0)</f>
        <v>14</v>
      </c>
      <c r="L61" s="213"/>
      <c r="M61" s="239">
        <f>CEILING(D61/1.5,1)</f>
        <v>6</v>
      </c>
      <c r="N61" s="546"/>
      <c r="O61" s="532"/>
      <c r="P61" s="532"/>
      <c r="Q61" s="550"/>
      <c r="R61" s="550"/>
      <c r="S61" s="553"/>
      <c r="Z61" s="18" t="s">
        <v>277</v>
      </c>
    </row>
    <row r="62" spans="1:26" ht="29.25" customHeight="1" thickBot="1" x14ac:dyDescent="0.3">
      <c r="A62" s="32">
        <v>2917</v>
      </c>
      <c r="B62" s="14" t="s">
        <v>106</v>
      </c>
      <c r="C62" s="14" t="s">
        <v>56</v>
      </c>
      <c r="D62" s="139">
        <f>VLOOKUP(A62,ANALISI!A:O,14,FALSE)</f>
        <v>13.289999783039093</v>
      </c>
      <c r="E62" s="2">
        <f>_xlfn.IFNA(VLOOKUP(A62,ANALISI!A:O,4,FALSE),0)</f>
        <v>119</v>
      </c>
      <c r="F62" s="213"/>
      <c r="G62" s="2">
        <f>_xlfn.IFNA(VLOOKUP(A62,ANALISI!A:O,5,FALSE),0)</f>
        <v>0</v>
      </c>
      <c r="H62" s="213"/>
      <c r="I62" s="2">
        <f>_xlfn.IFNA(VLOOKUP(A62,ANALISI!A:O,8,FALSE),0)</f>
        <v>6</v>
      </c>
      <c r="J62" s="213"/>
      <c r="K62" s="2">
        <f>_xlfn.IFNA(VLOOKUP(A62,ANALISI!A:O,11,FALSE),0)</f>
        <v>0</v>
      </c>
      <c r="L62" s="213"/>
      <c r="M62" s="239">
        <f t="shared" ref="M62" si="11">CEILING(D62/1.9,1)</f>
        <v>7</v>
      </c>
      <c r="N62" s="546"/>
      <c r="O62" s="532"/>
      <c r="P62" s="532"/>
      <c r="Q62" s="551"/>
      <c r="R62" s="551"/>
      <c r="S62" s="554"/>
      <c r="Z62" s="18" t="s">
        <v>277</v>
      </c>
    </row>
    <row r="63" spans="1:26" ht="29.25" customHeight="1" thickBot="1" x14ac:dyDescent="0.3">
      <c r="A63" s="260"/>
      <c r="B63" s="261"/>
      <c r="C63" s="261"/>
      <c r="D63" s="261"/>
      <c r="E63" s="261"/>
      <c r="F63" s="261"/>
      <c r="G63" s="261"/>
      <c r="H63" s="261"/>
      <c r="I63" s="261"/>
      <c r="J63" s="261"/>
      <c r="K63" s="261"/>
      <c r="L63" s="261"/>
      <c r="M63" s="261"/>
      <c r="N63" s="261"/>
      <c r="O63" s="261"/>
      <c r="P63" s="261"/>
      <c r="Q63" s="261"/>
      <c r="R63" s="261"/>
      <c r="S63" s="262"/>
    </row>
    <row r="64" spans="1:26" ht="29.25" customHeight="1" x14ac:dyDescent="0.25">
      <c r="A64" s="45" t="s">
        <v>74</v>
      </c>
      <c r="B64" s="6" t="s">
        <v>75</v>
      </c>
      <c r="C64" s="6" t="s">
        <v>76</v>
      </c>
      <c r="D64" s="138" t="s">
        <v>145</v>
      </c>
      <c r="E64" s="4" t="s">
        <v>91</v>
      </c>
      <c r="F64" s="210"/>
      <c r="G64" s="4" t="s">
        <v>92</v>
      </c>
      <c r="H64" s="210"/>
      <c r="I64" s="4" t="s">
        <v>93</v>
      </c>
      <c r="J64" s="210"/>
      <c r="K64" s="4" t="s">
        <v>94</v>
      </c>
      <c r="L64" s="210"/>
      <c r="M64" s="544" t="s">
        <v>111</v>
      </c>
      <c r="N64" s="545"/>
      <c r="O64" s="69" t="s">
        <v>229</v>
      </c>
      <c r="P64" s="267" t="s">
        <v>216</v>
      </c>
      <c r="Q64" s="256" t="s">
        <v>10</v>
      </c>
      <c r="R64" s="256" t="s">
        <v>233</v>
      </c>
      <c r="S64" s="268" t="s">
        <v>234</v>
      </c>
    </row>
    <row r="65" spans="1:26" ht="29.25" customHeight="1" thickBot="1" x14ac:dyDescent="0.3">
      <c r="A65" s="396">
        <v>9226</v>
      </c>
      <c r="B65" s="14" t="s">
        <v>163</v>
      </c>
      <c r="C65" s="14" t="s">
        <v>62</v>
      </c>
      <c r="D65" s="139">
        <f>VLOOKUP(A65,ANALISI!A:O,14,FALSE)</f>
        <v>42.70999813079834</v>
      </c>
      <c r="E65" s="2">
        <f>_xlfn.IFNA(VLOOKUP(A65,ANALISI!A:O,4,FALSE),0)</f>
        <v>280</v>
      </c>
      <c r="F65" s="213"/>
      <c r="G65" s="2">
        <f>_xlfn.IFNA(VLOOKUP(A65,ANALISI!A:O,5,FALSE),0)</f>
        <v>61</v>
      </c>
      <c r="H65" s="213"/>
      <c r="I65" s="2">
        <f>_xlfn.IFNA(VLOOKUP(A65,ANALISI!A:O,8,FALSE),0)</f>
        <v>74</v>
      </c>
      <c r="J65" s="213"/>
      <c r="K65" s="2">
        <f>_xlfn.IFNA(VLOOKUP(A65,ANALISI!A:O,11,FALSE),0)</f>
        <v>0</v>
      </c>
      <c r="L65" s="213"/>
      <c r="M65" s="239">
        <f>ROUNDUP(D65*1.5/1.8,1)</f>
        <v>35.6</v>
      </c>
      <c r="N65" s="440">
        <f>SUM(M65:M65)</f>
        <v>35.6</v>
      </c>
      <c r="O65" s="439" t="s">
        <v>264</v>
      </c>
      <c r="P65" s="439" t="s">
        <v>241</v>
      </c>
      <c r="Q65" s="439"/>
      <c r="R65" s="439" t="s">
        <v>230</v>
      </c>
      <c r="S65" s="439"/>
      <c r="Z65" s="18" t="s">
        <v>278</v>
      </c>
    </row>
    <row r="66" spans="1:26" ht="29.25" customHeight="1" thickBot="1" x14ac:dyDescent="0.3">
      <c r="A66" s="260"/>
      <c r="B66" s="261"/>
      <c r="C66" s="261"/>
      <c r="D66" s="261"/>
      <c r="E66" s="261"/>
      <c r="F66" s="261"/>
      <c r="G66" s="261"/>
      <c r="H66" s="261"/>
      <c r="I66" s="261"/>
      <c r="J66" s="261"/>
      <c r="K66" s="261"/>
      <c r="L66" s="261"/>
      <c r="M66" s="261"/>
      <c r="N66" s="261"/>
      <c r="O66" s="261"/>
      <c r="P66" s="261"/>
      <c r="Q66" s="261"/>
      <c r="R66" s="261"/>
      <c r="S66" s="262"/>
    </row>
    <row r="67" spans="1:26" ht="29.25" customHeight="1" x14ac:dyDescent="0.25">
      <c r="A67" s="45" t="s">
        <v>74</v>
      </c>
      <c r="B67" s="6" t="s">
        <v>75</v>
      </c>
      <c r="C67" s="6" t="s">
        <v>76</v>
      </c>
      <c r="D67" s="138" t="s">
        <v>145</v>
      </c>
      <c r="E67" s="4" t="s">
        <v>91</v>
      </c>
      <c r="F67" s="210"/>
      <c r="G67" s="4" t="s">
        <v>92</v>
      </c>
      <c r="H67" s="210"/>
      <c r="I67" s="4" t="s">
        <v>93</v>
      </c>
      <c r="J67" s="210"/>
      <c r="K67" s="4" t="s">
        <v>94</v>
      </c>
      <c r="L67" s="210"/>
      <c r="M67" s="544" t="s">
        <v>111</v>
      </c>
      <c r="N67" s="545"/>
      <c r="O67" s="69" t="s">
        <v>229</v>
      </c>
      <c r="P67" s="267" t="s">
        <v>216</v>
      </c>
      <c r="Q67" s="256" t="s">
        <v>10</v>
      </c>
      <c r="R67" s="256" t="s">
        <v>233</v>
      </c>
      <c r="S67" s="268" t="s">
        <v>234</v>
      </c>
    </row>
    <row r="68" spans="1:26" ht="29.25" customHeight="1" x14ac:dyDescent="0.25">
      <c r="A68" s="32">
        <v>15733</v>
      </c>
      <c r="B68" s="14" t="s">
        <v>89</v>
      </c>
      <c r="C68" s="14" t="s">
        <v>97</v>
      </c>
      <c r="D68" s="139">
        <f>VLOOKUP(A68,ANALISI!A:O,14,FALSE)/3</f>
        <v>81.693332036336258</v>
      </c>
      <c r="E68" s="258">
        <f>_xlfn.IFNA(VLOOKUP(A68,ANALISI!A:O,4,FALSE),0)/3</f>
        <v>653</v>
      </c>
      <c r="F68" s="213"/>
      <c r="G68" s="428">
        <f>_xlfn.IFNA(VLOOKUP(A68,ANALISI!A:O,5,FALSE),0)/3</f>
        <v>11.333333333333334</v>
      </c>
      <c r="H68" s="213"/>
      <c r="I68" s="258">
        <f>_xlfn.IFNA(VLOOKUP(A68,ANALISI!A:O,8,FALSE),0)/3</f>
        <v>54</v>
      </c>
      <c r="J68" s="259"/>
      <c r="K68" s="258">
        <f>_xlfn.IFNA(VLOOKUP(A68,ANALISI!A:O,11,FALSE),0)/3</f>
        <v>0</v>
      </c>
      <c r="L68" s="213"/>
      <c r="M68" s="239">
        <f t="shared" ref="M68:M69" si="12">CEILING(D68/1.9,1)</f>
        <v>43</v>
      </c>
      <c r="N68" s="546">
        <f>SUM(M68:M70)</f>
        <v>129</v>
      </c>
      <c r="O68" s="532" t="s">
        <v>230</v>
      </c>
      <c r="P68" s="532" t="s">
        <v>236</v>
      </c>
      <c r="Q68" s="536"/>
      <c r="R68" s="536" t="s">
        <v>230</v>
      </c>
      <c r="S68" s="552"/>
      <c r="Z68" s="18" t="s">
        <v>279</v>
      </c>
    </row>
    <row r="69" spans="1:26" ht="29.25" customHeight="1" x14ac:dyDescent="0.25">
      <c r="A69" s="32">
        <v>15733</v>
      </c>
      <c r="B69" s="14" t="s">
        <v>89</v>
      </c>
      <c r="C69" s="14" t="s">
        <v>99</v>
      </c>
      <c r="D69" s="139">
        <f>+D68</f>
        <v>81.693332036336258</v>
      </c>
      <c r="E69" s="258">
        <f>+E68</f>
        <v>653</v>
      </c>
      <c r="F69" s="213"/>
      <c r="G69" s="428">
        <f>_xlfn.IFNA(VLOOKUP(A69,ANALISI!A:O,5,FALSE),0)/3</f>
        <v>11.333333333333334</v>
      </c>
      <c r="H69" s="213"/>
      <c r="I69" s="258">
        <f>+I68</f>
        <v>54</v>
      </c>
      <c r="J69" s="259"/>
      <c r="K69" s="258">
        <f>+K68</f>
        <v>0</v>
      </c>
      <c r="L69" s="213"/>
      <c r="M69" s="239">
        <f t="shared" si="12"/>
        <v>43</v>
      </c>
      <c r="N69" s="546"/>
      <c r="O69" s="532"/>
      <c r="P69" s="532"/>
      <c r="Q69" s="550"/>
      <c r="R69" s="550"/>
      <c r="S69" s="553"/>
      <c r="Z69" s="18" t="s">
        <v>279</v>
      </c>
    </row>
    <row r="70" spans="1:26" ht="29.25" customHeight="1" thickBot="1" x14ac:dyDescent="0.3">
      <c r="A70" s="32">
        <v>15733</v>
      </c>
      <c r="B70" s="14" t="s">
        <v>89</v>
      </c>
      <c r="C70" s="14" t="s">
        <v>228</v>
      </c>
      <c r="D70" s="139">
        <f>+D69</f>
        <v>81.693332036336258</v>
      </c>
      <c r="E70" s="258">
        <f>+E69</f>
        <v>653</v>
      </c>
      <c r="F70" s="213"/>
      <c r="G70" s="428">
        <f>_xlfn.IFNA(VLOOKUP(A70,ANALISI!A:O,5,FALSE),0)/3</f>
        <v>11.333333333333334</v>
      </c>
      <c r="H70" s="213"/>
      <c r="I70" s="258">
        <f>+I69</f>
        <v>54</v>
      </c>
      <c r="J70" s="259"/>
      <c r="K70" s="258">
        <f>+K69</f>
        <v>0</v>
      </c>
      <c r="L70" s="213"/>
      <c r="M70" s="239">
        <f t="shared" ref="M70" si="13">CEILING(D70/1.9,1)</f>
        <v>43</v>
      </c>
      <c r="N70" s="546"/>
      <c r="O70" s="532"/>
      <c r="P70" s="532"/>
      <c r="Q70" s="551"/>
      <c r="R70" s="551"/>
      <c r="S70" s="554"/>
      <c r="Z70" s="18" t="s">
        <v>279</v>
      </c>
    </row>
    <row r="71" spans="1:26" ht="29.25" customHeight="1" thickBot="1" x14ac:dyDescent="0.3">
      <c r="A71" s="260"/>
      <c r="B71" s="261"/>
      <c r="C71" s="261"/>
      <c r="D71" s="261"/>
      <c r="E71" s="261"/>
      <c r="F71" s="261"/>
      <c r="G71" s="261"/>
      <c r="H71" s="261"/>
      <c r="I71" s="261"/>
      <c r="J71" s="261"/>
      <c r="K71" s="261"/>
      <c r="L71" s="261"/>
      <c r="M71" s="261"/>
      <c r="N71" s="261"/>
      <c r="O71" s="261"/>
      <c r="P71" s="261"/>
      <c r="Q71" s="261"/>
      <c r="R71" s="261"/>
      <c r="S71" s="262"/>
    </row>
    <row r="72" spans="1:26" ht="29.25" customHeight="1" x14ac:dyDescent="0.25">
      <c r="A72" s="45" t="s">
        <v>74</v>
      </c>
      <c r="B72" s="6" t="s">
        <v>75</v>
      </c>
      <c r="C72" s="6" t="s">
        <v>76</v>
      </c>
      <c r="D72" s="138" t="s">
        <v>145</v>
      </c>
      <c r="E72" s="4" t="s">
        <v>91</v>
      </c>
      <c r="F72" s="210"/>
      <c r="G72" s="4" t="s">
        <v>92</v>
      </c>
      <c r="H72" s="210"/>
      <c r="I72" s="4" t="s">
        <v>93</v>
      </c>
      <c r="J72" s="210"/>
      <c r="K72" s="4" t="s">
        <v>94</v>
      </c>
      <c r="L72" s="210"/>
      <c r="M72" s="544" t="s">
        <v>111</v>
      </c>
      <c r="N72" s="545"/>
      <c r="O72" s="69" t="s">
        <v>229</v>
      </c>
      <c r="P72" s="267" t="s">
        <v>216</v>
      </c>
      <c r="Q72" s="256" t="s">
        <v>10</v>
      </c>
      <c r="R72" s="256" t="s">
        <v>233</v>
      </c>
      <c r="S72" s="268" t="s">
        <v>234</v>
      </c>
    </row>
    <row r="73" spans="1:26" ht="29.25" customHeight="1" x14ac:dyDescent="0.25">
      <c r="A73" s="30">
        <v>3534</v>
      </c>
      <c r="B73" s="12" t="s">
        <v>90</v>
      </c>
      <c r="C73" s="12" t="s">
        <v>62</v>
      </c>
      <c r="D73" s="139">
        <f>VLOOKUP(A73,ANALISI!A:O,14,FALSE)</f>
        <v>46.270001411437988</v>
      </c>
      <c r="E73" s="2">
        <f>_xlfn.IFNA(VLOOKUP(A73,ANALISI!A:O,4,FALSE),0)</f>
        <v>370</v>
      </c>
      <c r="F73" s="213"/>
      <c r="G73" s="2">
        <f>_xlfn.IFNA(VLOOKUP(A73,ANALISI!A:O,5,FALSE),0)</f>
        <v>28</v>
      </c>
      <c r="H73" s="213"/>
      <c r="I73" s="2">
        <f>_xlfn.IFNA(VLOOKUP(A73,ANALISI!A:O,8,FALSE),0)</f>
        <v>31</v>
      </c>
      <c r="J73" s="213"/>
      <c r="K73" s="2">
        <f>_xlfn.IFNA(VLOOKUP(A73,ANALISI!A:O,11,FALSE),0)</f>
        <v>0</v>
      </c>
      <c r="L73" s="213"/>
      <c r="M73" s="239">
        <f>ROUNDUP(D73*1.5/1.8,1)</f>
        <v>38.6</v>
      </c>
      <c r="N73" s="546">
        <f>SUM(M73:M76)</f>
        <v>65.5</v>
      </c>
      <c r="O73" s="532" t="s">
        <v>218</v>
      </c>
      <c r="P73" s="532" t="s">
        <v>235</v>
      </c>
      <c r="Q73" s="536"/>
      <c r="R73" s="536">
        <v>2154</v>
      </c>
      <c r="S73" s="552"/>
      <c r="Z73" s="18" t="s">
        <v>280</v>
      </c>
    </row>
    <row r="74" spans="1:26" ht="29.25" customHeight="1" x14ac:dyDescent="0.25">
      <c r="A74" s="30">
        <v>5306</v>
      </c>
      <c r="B74" s="12" t="s">
        <v>90</v>
      </c>
      <c r="C74" s="12" t="s">
        <v>47</v>
      </c>
      <c r="D74" s="139">
        <f>VLOOKUP(A74,ANALISI!A:O,14,FALSE)</f>
        <v>12.979999631643295</v>
      </c>
      <c r="E74" s="2">
        <f>_xlfn.IFNA(VLOOKUP(A74,ANALISI!A:O,4,FALSE),0)</f>
        <v>139</v>
      </c>
      <c r="F74" s="213"/>
      <c r="G74" s="2">
        <f>_xlfn.IFNA(VLOOKUP(A74,ANALISI!A:O,5,FALSE),0)</f>
        <v>0</v>
      </c>
      <c r="H74" s="213"/>
      <c r="I74" s="2">
        <f>_xlfn.IFNA(VLOOKUP(A74,ANALISI!A:O,8,FALSE),0)</f>
        <v>7</v>
      </c>
      <c r="J74" s="213"/>
      <c r="K74" s="2">
        <f>_xlfn.IFNA(VLOOKUP(A74,ANALISI!A:O,11,FALSE),0)</f>
        <v>1</v>
      </c>
      <c r="L74" s="213"/>
      <c r="M74" s="239">
        <f t="shared" ref="M74:M76" si="14">CEILING(D74/1.9,1)</f>
        <v>7</v>
      </c>
      <c r="N74" s="548"/>
      <c r="O74" s="532"/>
      <c r="P74" s="532"/>
      <c r="Q74" s="550"/>
      <c r="R74" s="550"/>
      <c r="S74" s="553"/>
      <c r="Z74" s="18" t="s">
        <v>280</v>
      </c>
    </row>
    <row r="75" spans="1:26" ht="29.25" customHeight="1" x14ac:dyDescent="0.25">
      <c r="A75" s="30">
        <v>8364</v>
      </c>
      <c r="B75" s="12" t="s">
        <v>90</v>
      </c>
      <c r="C75" s="12" t="s">
        <v>31</v>
      </c>
      <c r="D75" s="139">
        <f>VLOOKUP(A75,ANALISI!A:O,14,FALSE)</f>
        <v>14.239999711513519</v>
      </c>
      <c r="E75" s="2">
        <f>_xlfn.IFNA(VLOOKUP(A75,ANALISI!A:O,4,FALSE),0)</f>
        <v>136</v>
      </c>
      <c r="F75" s="213"/>
      <c r="G75" s="2">
        <f>_xlfn.IFNA(VLOOKUP(A75,ANALISI!A:O,5,FALSE),0)</f>
        <v>2</v>
      </c>
      <c r="H75" s="213"/>
      <c r="I75" s="2">
        <f>_xlfn.IFNA(VLOOKUP(A75,ANALISI!A:O,8,FALSE),0)</f>
        <v>11</v>
      </c>
      <c r="J75" s="213"/>
      <c r="K75" s="2">
        <f>_xlfn.IFNA(VLOOKUP(A75,ANALISI!A:O,11,FALSE),0)</f>
        <v>0</v>
      </c>
      <c r="L75" s="213"/>
      <c r="M75" s="239">
        <f>ROUNDUP(D75*1.5/1.8,1)</f>
        <v>11.9</v>
      </c>
      <c r="N75" s="548"/>
      <c r="O75" s="532"/>
      <c r="P75" s="532"/>
      <c r="Q75" s="550"/>
      <c r="R75" s="550"/>
      <c r="S75" s="553"/>
      <c r="Z75" s="18" t="s">
        <v>280</v>
      </c>
    </row>
    <row r="76" spans="1:26" ht="29.25" customHeight="1" thickBot="1" x14ac:dyDescent="0.3">
      <c r="A76" s="30">
        <v>2898</v>
      </c>
      <c r="B76" s="12" t="s">
        <v>90</v>
      </c>
      <c r="C76" s="12" t="s">
        <v>56</v>
      </c>
      <c r="D76" s="139">
        <f>VLOOKUP(A76,ANALISI!A:O,14,FALSE)</f>
        <v>13.560000121593475</v>
      </c>
      <c r="E76" s="2">
        <f>_xlfn.IFNA(VLOOKUP(A76,ANALISI!A:O,4,FALSE),0)</f>
        <v>126</v>
      </c>
      <c r="F76" s="213"/>
      <c r="G76" s="2">
        <f>_xlfn.IFNA(VLOOKUP(A76,ANALISI!A:O,5,FALSE),0)</f>
        <v>0</v>
      </c>
      <c r="H76" s="213"/>
      <c r="I76" s="2">
        <f>_xlfn.IFNA(VLOOKUP(A76,ANALISI!A:O,8,FALSE),0)</f>
        <v>4</v>
      </c>
      <c r="J76" s="213"/>
      <c r="K76" s="2">
        <f>_xlfn.IFNA(VLOOKUP(A76,ANALISI!A:O,11,FALSE),0)</f>
        <v>0</v>
      </c>
      <c r="L76" s="213"/>
      <c r="M76" s="239">
        <f t="shared" si="14"/>
        <v>8</v>
      </c>
      <c r="N76" s="548"/>
      <c r="O76" s="532"/>
      <c r="P76" s="532"/>
      <c r="Q76" s="551"/>
      <c r="R76" s="551"/>
      <c r="S76" s="554"/>
      <c r="Z76" s="18" t="s">
        <v>280</v>
      </c>
    </row>
    <row r="77" spans="1:26" ht="29.25" customHeight="1" thickBot="1" x14ac:dyDescent="0.3">
      <c r="A77" s="45" t="s">
        <v>74</v>
      </c>
      <c r="B77" s="6" t="s">
        <v>75</v>
      </c>
      <c r="C77" s="6" t="s">
        <v>76</v>
      </c>
      <c r="D77" s="138" t="s">
        <v>145</v>
      </c>
      <c r="E77" s="4" t="s">
        <v>91</v>
      </c>
      <c r="F77" s="210"/>
      <c r="G77" s="4" t="s">
        <v>92</v>
      </c>
      <c r="H77" s="210"/>
      <c r="I77" s="4" t="s">
        <v>93</v>
      </c>
      <c r="J77" s="210"/>
      <c r="K77" s="4" t="s">
        <v>94</v>
      </c>
      <c r="L77" s="210"/>
      <c r="M77" s="544" t="s">
        <v>111</v>
      </c>
      <c r="N77" s="545"/>
      <c r="O77" s="429" t="s">
        <v>229</v>
      </c>
      <c r="P77" s="267" t="s">
        <v>216</v>
      </c>
      <c r="Q77" s="430" t="s">
        <v>10</v>
      </c>
      <c r="R77" s="430" t="s">
        <v>233</v>
      </c>
      <c r="S77" s="268" t="s">
        <v>234</v>
      </c>
    </row>
    <row r="78" spans="1:26" ht="29.25" customHeight="1" thickBot="1" x14ac:dyDescent="0.3">
      <c r="A78" s="30">
        <v>17019</v>
      </c>
      <c r="B78" s="12" t="s">
        <v>309</v>
      </c>
      <c r="C78" s="12" t="s">
        <v>44</v>
      </c>
      <c r="D78" s="139">
        <f>VLOOKUP(A78,ANALISI!A:O,14,FALSE)</f>
        <v>9.2600002288818359</v>
      </c>
      <c r="E78" s="2">
        <f>_xlfn.IFNA(VLOOKUP(A78,ANALISI!A:O,4,FALSE),0)</f>
        <v>45</v>
      </c>
      <c r="F78" s="213"/>
      <c r="G78" s="2">
        <f>_xlfn.IFNA(VLOOKUP(A78,ANALISI!A:O,5,FALSE),0)</f>
        <v>3</v>
      </c>
      <c r="H78" s="213"/>
      <c r="I78" s="2">
        <f>_xlfn.IFNA(VLOOKUP(A78,ANALISI!A:O,8,FALSE),0)</f>
        <v>17</v>
      </c>
      <c r="J78" s="213"/>
      <c r="K78" s="2">
        <f>_xlfn.IFNA(VLOOKUP(A78,ANALISI!A:O,11,FALSE),0)</f>
        <v>0</v>
      </c>
      <c r="L78" s="213"/>
      <c r="M78" s="239">
        <f t="shared" ref="M78" si="15">CEILING(D78/1.9,1)</f>
        <v>5</v>
      </c>
      <c r="N78" s="239">
        <f>+M78</f>
        <v>5</v>
      </c>
      <c r="O78" s="515"/>
      <c r="P78" s="516"/>
      <c r="Q78" s="517"/>
      <c r="R78" s="517"/>
      <c r="S78" s="518"/>
      <c r="Z78" s="18" t="s">
        <v>313</v>
      </c>
    </row>
    <row r="79" spans="1:26" ht="29.25" customHeight="1" thickBot="1" x14ac:dyDescent="0.3">
      <c r="A79" s="260"/>
      <c r="B79" s="261"/>
      <c r="C79" s="261"/>
      <c r="D79" s="261"/>
      <c r="E79" s="261"/>
      <c r="F79" s="261"/>
      <c r="G79" s="261"/>
      <c r="H79" s="261"/>
      <c r="I79" s="261"/>
      <c r="J79" s="261"/>
      <c r="K79" s="261"/>
      <c r="L79" s="261"/>
      <c r="M79" s="261"/>
      <c r="N79" s="261"/>
      <c r="O79" s="261"/>
      <c r="P79" s="261"/>
      <c r="Q79" s="261"/>
      <c r="R79" s="261"/>
      <c r="S79" s="262"/>
    </row>
    <row r="80" spans="1:26" ht="29.25" customHeight="1" x14ac:dyDescent="0.25">
      <c r="A80" s="24" t="s">
        <v>206</v>
      </c>
      <c r="B80" s="10" t="s">
        <v>15</v>
      </c>
      <c r="C80" s="10" t="s">
        <v>76</v>
      </c>
      <c r="D80" s="209" t="s">
        <v>145</v>
      </c>
      <c r="E80" s="295" t="s">
        <v>91</v>
      </c>
      <c r="F80" s="266"/>
      <c r="G80" s="295" t="s">
        <v>92</v>
      </c>
      <c r="H80" s="266"/>
      <c r="I80" s="295" t="s">
        <v>93</v>
      </c>
      <c r="J80" s="266"/>
      <c r="K80" s="295" t="s">
        <v>94</v>
      </c>
      <c r="L80" s="295" t="s">
        <v>215</v>
      </c>
      <c r="M80" s="541" t="s">
        <v>111</v>
      </c>
      <c r="N80" s="541"/>
      <c r="O80" s="295" t="s">
        <v>229</v>
      </c>
      <c r="P80" s="267" t="s">
        <v>216</v>
      </c>
      <c r="Q80" s="295" t="s">
        <v>10</v>
      </c>
      <c r="R80" s="295" t="s">
        <v>233</v>
      </c>
      <c r="S80" s="268" t="s">
        <v>234</v>
      </c>
    </row>
    <row r="81" spans="1:74" ht="29.25" customHeight="1" x14ac:dyDescent="0.25">
      <c r="A81" s="46" t="s">
        <v>49</v>
      </c>
      <c r="B81" s="23" t="s">
        <v>107</v>
      </c>
      <c r="C81" s="13" t="s">
        <v>47</v>
      </c>
      <c r="D81" s="140">
        <f>VLOOKUP(A56,ANALISI!A:O,14,FALSE)*0.3</f>
        <v>6.5040000915527338</v>
      </c>
      <c r="E81" s="304"/>
      <c r="F81" s="305"/>
      <c r="G81" s="304"/>
      <c r="H81" s="305"/>
      <c r="I81" s="304"/>
      <c r="J81" s="305"/>
      <c r="K81" s="304"/>
      <c r="L81" s="305"/>
      <c r="M81" s="239">
        <f>ROUNDUP(D81*1.5/1.8,1)</f>
        <v>5.5</v>
      </c>
      <c r="N81" s="542">
        <f>SUM(M81:M82)</f>
        <v>9.3000000000000007</v>
      </c>
      <c r="O81" s="293" t="s">
        <v>264</v>
      </c>
      <c r="P81" s="293" t="s">
        <v>240</v>
      </c>
      <c r="Q81" s="293"/>
      <c r="R81" s="293"/>
      <c r="S81" s="294"/>
      <c r="Z81" s="18" t="s">
        <v>288</v>
      </c>
    </row>
    <row r="82" spans="1:74" ht="29.25" customHeight="1" x14ac:dyDescent="0.25">
      <c r="A82" s="46" t="s">
        <v>286</v>
      </c>
      <c r="B82" s="23" t="s">
        <v>105</v>
      </c>
      <c r="C82" s="13" t="s">
        <v>31</v>
      </c>
      <c r="D82" s="140">
        <f>VLOOKUP(A57,ANALISI!A:O,14,FALSE)*0.3</f>
        <v>4.5449999392032625</v>
      </c>
      <c r="E82" s="304"/>
      <c r="F82" s="305"/>
      <c r="G82" s="304"/>
      <c r="H82" s="305"/>
      <c r="I82" s="304"/>
      <c r="J82" s="305"/>
      <c r="K82" s="304"/>
      <c r="L82" s="305"/>
      <c r="M82" s="239">
        <f>ROUNDUP(D82*1.5/1.8,1)</f>
        <v>3.8000000000000003</v>
      </c>
      <c r="N82" s="543"/>
      <c r="O82" s="365" t="s">
        <v>264</v>
      </c>
      <c r="P82" s="365"/>
      <c r="Q82" s="365"/>
      <c r="R82" s="365"/>
      <c r="S82" s="294"/>
      <c r="Z82" s="18" t="s">
        <v>288</v>
      </c>
    </row>
    <row r="83" spans="1:74" ht="29.25" customHeight="1" x14ac:dyDescent="0.25">
      <c r="A83" s="45" t="s">
        <v>206</v>
      </c>
      <c r="B83" s="6" t="s">
        <v>15</v>
      </c>
      <c r="C83" s="6" t="s">
        <v>76</v>
      </c>
      <c r="D83" s="138" t="s">
        <v>145</v>
      </c>
      <c r="E83" s="292" t="s">
        <v>91</v>
      </c>
      <c r="F83" s="212"/>
      <c r="G83" s="292" t="s">
        <v>92</v>
      </c>
      <c r="H83" s="212"/>
      <c r="I83" s="292" t="s">
        <v>93</v>
      </c>
      <c r="J83" s="212"/>
      <c r="K83" s="292" t="s">
        <v>94</v>
      </c>
      <c r="L83" s="292" t="s">
        <v>215</v>
      </c>
      <c r="M83" s="530" t="s">
        <v>111</v>
      </c>
      <c r="N83" s="530"/>
      <c r="O83" s="292" t="s">
        <v>229</v>
      </c>
      <c r="P83" s="303" t="s">
        <v>216</v>
      </c>
      <c r="Q83" s="292" t="s">
        <v>10</v>
      </c>
      <c r="R83" s="292" t="s">
        <v>233</v>
      </c>
      <c r="S83" s="306" t="s">
        <v>234</v>
      </c>
    </row>
    <row r="84" spans="1:74" ht="29.25" customHeight="1" x14ac:dyDescent="0.25">
      <c r="A84" s="48" t="s">
        <v>69</v>
      </c>
      <c r="B84" s="17" t="s">
        <v>211</v>
      </c>
      <c r="C84" s="17" t="s">
        <v>62</v>
      </c>
      <c r="D84" s="140">
        <f>VLOOKUP(A3,ANALISI!A:O,14,FALSE)*0.3</f>
        <v>16.209000062942504</v>
      </c>
      <c r="E84" s="304"/>
      <c r="F84" s="305"/>
      <c r="G84" s="304"/>
      <c r="H84" s="305"/>
      <c r="I84" s="304"/>
      <c r="J84" s="305"/>
      <c r="K84" s="304"/>
      <c r="L84" s="305"/>
      <c r="M84" s="239">
        <f>ROUNDUP(D84*1.5/1.8,1)</f>
        <v>13.6</v>
      </c>
      <c r="N84" s="291">
        <f>+M84</f>
        <v>13.6</v>
      </c>
      <c r="O84" s="293" t="s">
        <v>262</v>
      </c>
      <c r="P84" s="293" t="s">
        <v>237</v>
      </c>
      <c r="Q84" s="293"/>
      <c r="R84" s="293"/>
      <c r="S84" s="294"/>
      <c r="Z84" s="18" t="s">
        <v>289</v>
      </c>
    </row>
    <row r="85" spans="1:74" ht="29.25" customHeight="1" x14ac:dyDescent="0.25">
      <c r="A85" s="45" t="s">
        <v>206</v>
      </c>
      <c r="B85" s="6" t="s">
        <v>15</v>
      </c>
      <c r="C85" s="6" t="s">
        <v>76</v>
      </c>
      <c r="D85" s="138" t="s">
        <v>145</v>
      </c>
      <c r="E85" s="292" t="s">
        <v>91</v>
      </c>
      <c r="F85" s="212"/>
      <c r="G85" s="292" t="s">
        <v>92</v>
      </c>
      <c r="H85" s="212"/>
      <c r="I85" s="292" t="s">
        <v>93</v>
      </c>
      <c r="J85" s="212"/>
      <c r="K85" s="292" t="s">
        <v>94</v>
      </c>
      <c r="L85" s="292" t="s">
        <v>215</v>
      </c>
      <c r="M85" s="530" t="s">
        <v>111</v>
      </c>
      <c r="N85" s="530"/>
      <c r="O85" s="292" t="s">
        <v>229</v>
      </c>
      <c r="P85" s="303" t="s">
        <v>216</v>
      </c>
      <c r="Q85" s="292" t="s">
        <v>10</v>
      </c>
      <c r="R85" s="292" t="s">
        <v>233</v>
      </c>
      <c r="S85" s="306" t="s">
        <v>234</v>
      </c>
    </row>
    <row r="86" spans="1:74" ht="29.25" customHeight="1" x14ac:dyDescent="0.25">
      <c r="A86" s="270" t="s">
        <v>52</v>
      </c>
      <c r="B86" s="238" t="s">
        <v>110</v>
      </c>
      <c r="C86" s="13" t="s">
        <v>47</v>
      </c>
      <c r="D86" s="140">
        <f>VLOOKUP(A53,ANALISI!A:O,14,FALSE)*0.3</f>
        <v>4.3140000611543652</v>
      </c>
      <c r="E86" s="304"/>
      <c r="F86" s="305"/>
      <c r="G86" s="304"/>
      <c r="H86" s="305"/>
      <c r="I86" s="304"/>
      <c r="J86" s="305"/>
      <c r="K86" s="304"/>
      <c r="L86" s="305"/>
      <c r="M86" s="239">
        <f>ROUNDUP(D86*1.5/1.8,1)</f>
        <v>3.6</v>
      </c>
      <c r="N86" s="291">
        <f>+M86</f>
        <v>3.6</v>
      </c>
      <c r="O86" s="293" t="s">
        <v>316</v>
      </c>
      <c r="P86" s="293" t="s">
        <v>240</v>
      </c>
      <c r="Q86" s="293"/>
      <c r="R86" s="293"/>
      <c r="S86" s="294"/>
      <c r="Z86" s="18" t="s">
        <v>290</v>
      </c>
    </row>
    <row r="87" spans="1:74" ht="29.25" customHeight="1" x14ac:dyDescent="0.25">
      <c r="A87" s="270" t="s">
        <v>300</v>
      </c>
      <c r="B87" s="238" t="s">
        <v>85</v>
      </c>
      <c r="C87" s="13" t="s">
        <v>62</v>
      </c>
      <c r="D87" s="140">
        <f>D51/0.7*0.3</f>
        <v>18.362999725341798</v>
      </c>
      <c r="E87" s="304"/>
      <c r="F87" s="305"/>
      <c r="G87" s="304"/>
      <c r="H87" s="305"/>
      <c r="I87" s="304"/>
      <c r="J87" s="305"/>
      <c r="K87" s="304"/>
      <c r="L87" s="305"/>
      <c r="M87" s="239">
        <f>ROUNDUP(D87*1.5/1.8,1)</f>
        <v>15.4</v>
      </c>
      <c r="N87" s="390">
        <f>+M87</f>
        <v>15.4</v>
      </c>
      <c r="O87" s="391" t="s">
        <v>316</v>
      </c>
      <c r="P87" s="391"/>
      <c r="Q87" s="391"/>
      <c r="R87" s="391"/>
      <c r="S87" s="294"/>
      <c r="Z87" s="18" t="s">
        <v>290</v>
      </c>
    </row>
    <row r="88" spans="1:74" ht="29.25" customHeight="1" x14ac:dyDescent="0.25">
      <c r="A88" s="45" t="s">
        <v>206</v>
      </c>
      <c r="B88" s="6" t="s">
        <v>15</v>
      </c>
      <c r="C88" s="6" t="s">
        <v>76</v>
      </c>
      <c r="D88" s="138" t="s">
        <v>145</v>
      </c>
      <c r="E88" s="392" t="s">
        <v>91</v>
      </c>
      <c r="F88" s="212"/>
      <c r="G88" s="392" t="s">
        <v>92</v>
      </c>
      <c r="H88" s="212"/>
      <c r="I88" s="392" t="s">
        <v>93</v>
      </c>
      <c r="J88" s="212"/>
      <c r="K88" s="392" t="s">
        <v>94</v>
      </c>
      <c r="L88" s="392" t="s">
        <v>215</v>
      </c>
      <c r="M88" s="530" t="s">
        <v>111</v>
      </c>
      <c r="N88" s="530"/>
      <c r="O88" s="392" t="s">
        <v>229</v>
      </c>
      <c r="P88" s="303" t="s">
        <v>216</v>
      </c>
      <c r="Q88" s="392" t="s">
        <v>10</v>
      </c>
      <c r="R88" s="392" t="s">
        <v>233</v>
      </c>
      <c r="S88" s="306" t="s">
        <v>234</v>
      </c>
    </row>
    <row r="89" spans="1:74" ht="29.25" customHeight="1" x14ac:dyDescent="0.25">
      <c r="A89" s="368" t="s">
        <v>314</v>
      </c>
      <c r="B89" s="514" t="s">
        <v>102</v>
      </c>
      <c r="C89" s="368" t="s">
        <v>31</v>
      </c>
      <c r="D89" s="140">
        <f>VLOOKUP(A29,ANALISI!A:O,14,FALSE)*0.3</f>
        <v>6.1319999277591704</v>
      </c>
      <c r="E89" s="304"/>
      <c r="F89" s="305"/>
      <c r="G89" s="304"/>
      <c r="H89" s="305"/>
      <c r="I89" s="304"/>
      <c r="J89" s="305"/>
      <c r="K89" s="304"/>
      <c r="L89" s="305"/>
      <c r="M89" s="239">
        <f>ROUNDUP(D89*1.5/1.8,1)</f>
        <v>5.1999999999999993</v>
      </c>
      <c r="N89" s="450">
        <f>+M89</f>
        <v>5.1999999999999993</v>
      </c>
      <c r="O89" s="451" t="s">
        <v>315</v>
      </c>
      <c r="P89" s="451" t="s">
        <v>240</v>
      </c>
      <c r="Q89" s="451"/>
      <c r="R89" s="451"/>
      <c r="S89" s="294"/>
      <c r="Z89" s="18" t="s">
        <v>291</v>
      </c>
    </row>
    <row r="90" spans="1:74" ht="29.25" customHeight="1" x14ac:dyDescent="0.25">
      <c r="A90" s="368" t="s">
        <v>224</v>
      </c>
      <c r="B90" s="23" t="s">
        <v>103</v>
      </c>
      <c r="C90" s="13" t="s">
        <v>71</v>
      </c>
      <c r="D90" s="140">
        <f>VLOOKUP(A28,ANALISI!A:O,14,FALSE)*0.3</f>
        <v>5.5260002732276918</v>
      </c>
      <c r="E90" s="304"/>
      <c r="F90" s="305"/>
      <c r="G90" s="304"/>
      <c r="H90" s="305"/>
      <c r="I90" s="304"/>
      <c r="J90" s="305"/>
      <c r="K90" s="304"/>
      <c r="L90" s="305"/>
      <c r="M90" s="239">
        <f>ROUNDUP(D90*1.5/1.8,1)</f>
        <v>4.6999999999999993</v>
      </c>
      <c r="N90" s="291">
        <f>+M90</f>
        <v>4.6999999999999993</v>
      </c>
      <c r="O90" s="293" t="s">
        <v>315</v>
      </c>
      <c r="P90" s="293" t="s">
        <v>240</v>
      </c>
      <c r="Q90" s="293"/>
      <c r="R90" s="293"/>
      <c r="S90" s="294"/>
      <c r="Z90" s="18" t="s">
        <v>291</v>
      </c>
    </row>
    <row r="91" spans="1:74" ht="29.25" customHeight="1" x14ac:dyDescent="0.25">
      <c r="A91" s="45" t="s">
        <v>206</v>
      </c>
      <c r="B91" s="6" t="s">
        <v>15</v>
      </c>
      <c r="C91" s="6" t="s">
        <v>76</v>
      </c>
      <c r="D91" s="138" t="s">
        <v>145</v>
      </c>
      <c r="E91" s="292" t="s">
        <v>91</v>
      </c>
      <c r="F91" s="212"/>
      <c r="G91" s="292" t="s">
        <v>92</v>
      </c>
      <c r="H91" s="212"/>
      <c r="I91" s="292" t="s">
        <v>93</v>
      </c>
      <c r="J91" s="212"/>
      <c r="K91" s="292" t="s">
        <v>94</v>
      </c>
      <c r="L91" s="292" t="s">
        <v>215</v>
      </c>
      <c r="M91" s="530" t="s">
        <v>111</v>
      </c>
      <c r="N91" s="530"/>
      <c r="O91" s="292" t="s">
        <v>229</v>
      </c>
      <c r="P91" s="303" t="s">
        <v>216</v>
      </c>
      <c r="Q91" s="292" t="s">
        <v>10</v>
      </c>
      <c r="R91" s="292" t="s">
        <v>233</v>
      </c>
      <c r="S91" s="306" t="s">
        <v>234</v>
      </c>
    </row>
    <row r="92" spans="1:74" ht="29.25" customHeight="1" x14ac:dyDescent="0.25">
      <c r="A92" s="368" t="s">
        <v>65</v>
      </c>
      <c r="B92" s="23" t="s">
        <v>79</v>
      </c>
      <c r="C92" s="13" t="s">
        <v>62</v>
      </c>
      <c r="D92" s="140">
        <f>VLOOKUP(A25,ANALISI!A:O,14,FALSE)*0.3</f>
        <v>11.207999753952025</v>
      </c>
      <c r="E92" s="304"/>
      <c r="F92" s="305"/>
      <c r="G92" s="304"/>
      <c r="H92" s="305"/>
      <c r="I92" s="304"/>
      <c r="J92" s="305"/>
      <c r="K92" s="304"/>
      <c r="L92" s="305"/>
      <c r="M92" s="239">
        <f>ROUNDUP(D92*1.5/1.8,1)</f>
        <v>9.4</v>
      </c>
      <c r="N92" s="546">
        <f>SUM(M92:M94)</f>
        <v>19.7</v>
      </c>
      <c r="O92" s="532" t="s">
        <v>217</v>
      </c>
      <c r="P92" s="532" t="s">
        <v>235</v>
      </c>
      <c r="Q92" s="293"/>
      <c r="R92" s="293"/>
      <c r="S92" s="294"/>
      <c r="Z92" s="18" t="s">
        <v>281</v>
      </c>
    </row>
    <row r="93" spans="1:74" ht="29.25" customHeight="1" x14ac:dyDescent="0.25">
      <c r="A93" s="368" t="s">
        <v>225</v>
      </c>
      <c r="B93" s="23" t="s">
        <v>80</v>
      </c>
      <c r="C93" s="13" t="s">
        <v>47</v>
      </c>
      <c r="D93" s="140">
        <f>VLOOKUP(A20,ANALISI!A:O,14,FALSE)*0.3</f>
        <v>6.783000031113624</v>
      </c>
      <c r="E93" s="304"/>
      <c r="F93" s="305"/>
      <c r="G93" s="304"/>
      <c r="H93" s="305"/>
      <c r="I93" s="304"/>
      <c r="J93" s="305"/>
      <c r="K93" s="304"/>
      <c r="L93" s="305"/>
      <c r="M93" s="239">
        <f>ROUNDUP(D93*1.5/1.8,1)</f>
        <v>5.6999999999999993</v>
      </c>
      <c r="N93" s="542"/>
      <c r="O93" s="536"/>
      <c r="P93" s="536"/>
      <c r="Q93" s="366"/>
      <c r="R93" s="366"/>
      <c r="S93" s="367"/>
      <c r="Z93" s="18" t="s">
        <v>281</v>
      </c>
    </row>
    <row r="94" spans="1:74" ht="29.25" customHeight="1" thickBot="1" x14ac:dyDescent="0.3">
      <c r="A94" s="368" t="s">
        <v>287</v>
      </c>
      <c r="B94" s="23" t="s">
        <v>79</v>
      </c>
      <c r="C94" s="13" t="s">
        <v>31</v>
      </c>
      <c r="D94" s="140">
        <f>VLOOKUP(A22,ANALISI!A:O,14,FALSE)*0.3</f>
        <v>5.4480000257492067</v>
      </c>
      <c r="E94" s="304"/>
      <c r="F94" s="305"/>
      <c r="G94" s="304"/>
      <c r="H94" s="305"/>
      <c r="I94" s="304"/>
      <c r="J94" s="305"/>
      <c r="K94" s="304"/>
      <c r="L94" s="305"/>
      <c r="M94" s="239">
        <f>ROUNDUP(D94*1.5/1.8,1)</f>
        <v>4.5999999999999996</v>
      </c>
      <c r="N94" s="549"/>
      <c r="O94" s="537"/>
      <c r="P94" s="537"/>
      <c r="Q94" s="307"/>
      <c r="R94" s="307"/>
      <c r="S94" s="308"/>
      <c r="Z94" s="18" t="s">
        <v>281</v>
      </c>
    </row>
    <row r="95" spans="1:74" ht="29.25" customHeight="1" thickBot="1" x14ac:dyDescent="0.3">
      <c r="A95" s="300"/>
      <c r="B95" s="301"/>
      <c r="C95" s="301"/>
      <c r="D95" s="301"/>
      <c r="E95" s="301"/>
      <c r="F95" s="301"/>
      <c r="G95" s="301"/>
      <c r="H95" s="301"/>
      <c r="I95" s="301"/>
      <c r="J95" s="301"/>
      <c r="K95" s="301"/>
      <c r="L95" s="301"/>
      <c r="M95" s="301"/>
      <c r="N95" s="301"/>
      <c r="O95" s="301"/>
      <c r="P95" s="301"/>
      <c r="Q95" s="301"/>
      <c r="R95" s="301"/>
      <c r="S95" s="302"/>
      <c r="BN95" s="3">
        <f>SUM(E1:E79)</f>
        <v>8864</v>
      </c>
      <c r="BO95" s="3">
        <f>SUM(F1:F91)</f>
        <v>0</v>
      </c>
      <c r="BP95" s="3">
        <f>SUM(G1:G79)</f>
        <v>383.99999999999994</v>
      </c>
      <c r="BQ95" s="3">
        <f>SUM(H1:H91)</f>
        <v>0</v>
      </c>
      <c r="BR95" s="3">
        <f>SUM(I1:I79)</f>
        <v>737</v>
      </c>
      <c r="BS95" s="3">
        <f>SUM(J1:J91)</f>
        <v>0</v>
      </c>
      <c r="BT95" s="3">
        <f>SUM(K1:K79)</f>
        <v>68</v>
      </c>
      <c r="BU95" s="3">
        <f>SUM(L1:L91)</f>
        <v>0</v>
      </c>
    </row>
    <row r="96" spans="1:74" ht="29.25" customHeight="1" x14ac:dyDescent="0.25">
      <c r="A96" s="224" t="s">
        <v>146</v>
      </c>
      <c r="B96" s="225"/>
      <c r="C96" s="206" t="s">
        <v>167</v>
      </c>
      <c r="D96" s="226" t="s">
        <v>167</v>
      </c>
      <c r="E96" s="271"/>
      <c r="F96" s="272"/>
      <c r="G96" s="271"/>
      <c r="H96" s="272"/>
      <c r="I96" s="271"/>
      <c r="J96" s="272"/>
      <c r="K96" s="271"/>
      <c r="L96" s="272"/>
      <c r="M96" s="273"/>
      <c r="N96" s="273"/>
      <c r="O96" s="538"/>
      <c r="P96" s="273"/>
      <c r="Q96" s="273"/>
      <c r="R96" s="273"/>
      <c r="S96" s="253"/>
      <c r="BN96" s="3"/>
      <c r="BO96" s="3">
        <f>+BO95-BN95</f>
        <v>-8864</v>
      </c>
      <c r="BP96" s="3"/>
      <c r="BQ96" s="105"/>
      <c r="BR96" s="3"/>
      <c r="BS96" s="3">
        <f>+BS95-BR95</f>
        <v>-737</v>
      </c>
      <c r="BT96" s="3"/>
      <c r="BU96" s="3">
        <f>+BU95-BT95</f>
        <v>-68</v>
      </c>
      <c r="BV96" s="18">
        <f>SUM(BO96:BU96)</f>
        <v>-9669</v>
      </c>
    </row>
    <row r="97" spans="1:19" ht="29.25" customHeight="1" x14ac:dyDescent="0.25">
      <c r="A97" s="185" t="s">
        <v>147</v>
      </c>
      <c r="B97" s="186">
        <f>VLOOKUP("TOTAL",TOTALI!A:F,6,FALSE)</f>
        <v>8169</v>
      </c>
      <c r="C97" s="186">
        <f>SUM(BN95,BP95,BR95,BT95)</f>
        <v>10053</v>
      </c>
      <c r="D97" s="227"/>
      <c r="E97" s="189"/>
      <c r="F97" s="222"/>
      <c r="G97" s="187"/>
      <c r="H97" s="222"/>
      <c r="I97" s="187"/>
      <c r="J97" s="222"/>
      <c r="K97" s="187"/>
      <c r="L97" s="222"/>
      <c r="M97" s="188"/>
      <c r="N97" s="188"/>
      <c r="O97" s="539"/>
      <c r="P97" s="188"/>
      <c r="Q97" s="188"/>
      <c r="R97" s="188"/>
      <c r="S97" s="254"/>
    </row>
    <row r="98" spans="1:19" ht="29.25" customHeight="1" x14ac:dyDescent="0.25">
      <c r="A98" s="185" t="s">
        <v>148</v>
      </c>
      <c r="B98" s="309">
        <f>VLOOKUP("TOTAL",TOTALI!A:F,5,FALSE)</f>
        <v>834.260009765625</v>
      </c>
      <c r="C98" s="190">
        <f>SUM(D2:D94)</f>
        <v>1050.9199950098994</v>
      </c>
      <c r="D98" s="227"/>
      <c r="E98" s="189"/>
      <c r="F98" s="222"/>
      <c r="G98" s="187"/>
      <c r="H98" s="222"/>
      <c r="I98" s="187"/>
      <c r="J98" s="222"/>
      <c r="K98" s="187"/>
      <c r="L98" s="222"/>
      <c r="M98" s="188"/>
      <c r="N98" s="188"/>
      <c r="O98" s="539"/>
      <c r="P98" s="188"/>
      <c r="Q98" s="188"/>
      <c r="R98" s="188"/>
      <c r="S98" s="254"/>
    </row>
    <row r="99" spans="1:19" ht="29.25" customHeight="1" x14ac:dyDescent="0.25">
      <c r="A99" s="185"/>
      <c r="B99" s="191" t="s">
        <v>157</v>
      </c>
      <c r="C99" s="191" t="s">
        <v>149</v>
      </c>
      <c r="D99" s="228" t="s">
        <v>150</v>
      </c>
      <c r="E99" s="187"/>
      <c r="F99" s="222"/>
      <c r="G99" s="187"/>
      <c r="H99" s="222"/>
      <c r="I99" s="187"/>
      <c r="J99" s="222"/>
      <c r="K99" s="187"/>
      <c r="L99" s="222"/>
      <c r="M99" s="282" t="s">
        <v>261</v>
      </c>
      <c r="N99" s="188"/>
      <c r="O99" s="539"/>
      <c r="P99" s="188"/>
      <c r="Q99" s="188"/>
      <c r="R99" s="188"/>
      <c r="S99" s="254"/>
    </row>
    <row r="100" spans="1:19" ht="29.25" customHeight="1" x14ac:dyDescent="0.25">
      <c r="A100" s="185" t="s">
        <v>151</v>
      </c>
      <c r="B100" s="186">
        <f>C100+D100</f>
        <v>7820</v>
      </c>
      <c r="C100" s="186">
        <f>VLOOKUP("3680-ROM-P.DI ROMA",TOTALI!A:F,2,FALSE)-(+VLOOKUP("3680-ROM-P.DI ROMA",SHOES!A:F,2,FALSE))</f>
        <v>2617</v>
      </c>
      <c r="D100" s="229">
        <f>VLOOKUP("3680-ROM-P.DI ROMA",TOTALI!A:F,3,FALSE)-(+VLOOKUP("3680-ROM-P.DI ROMA",SHOES!A:F,3,FALSE))-M100</f>
        <v>5203</v>
      </c>
      <c r="E100" s="186"/>
      <c r="F100" s="186"/>
      <c r="G100" s="229"/>
      <c r="H100" s="222"/>
      <c r="I100" s="187"/>
      <c r="J100" s="222"/>
      <c r="K100" s="187"/>
      <c r="L100" s="222"/>
      <c r="M100" s="283">
        <v>1085</v>
      </c>
      <c r="N100" s="188"/>
      <c r="O100" s="539"/>
      <c r="P100" s="188"/>
      <c r="Q100" s="188"/>
      <c r="R100" s="188"/>
      <c r="S100" s="254"/>
    </row>
    <row r="101" spans="1:19" ht="29.25" customHeight="1" x14ac:dyDescent="0.25">
      <c r="A101" s="185" t="s">
        <v>159</v>
      </c>
      <c r="B101" s="186">
        <f>C101+D101</f>
        <v>8925</v>
      </c>
      <c r="C101" s="186">
        <f>VLOOKUP("9226-ROM-P BOCCONI",TOTALI!A:F,2,FALSE)-(+VLOOKUP("9226-ROM-P BOCCONI",SHOES!A:F,2,FALSE))</f>
        <v>3319</v>
      </c>
      <c r="D101" s="229">
        <f>VLOOKUP("9226-ROM-P BOCCONI",TOTALI!A:F,3,FALSE)-(+VLOOKUP("9226-ROM-P BOCCONI",SHOES!A:F,3,FALSE))-M101</f>
        <v>5606</v>
      </c>
      <c r="E101" s="187"/>
      <c r="F101" s="222"/>
      <c r="G101" s="222"/>
      <c r="H101" s="222"/>
      <c r="I101" s="187"/>
      <c r="J101" s="222"/>
      <c r="K101" s="187"/>
      <c r="L101" s="222"/>
      <c r="M101" s="283">
        <v>1791</v>
      </c>
      <c r="N101" s="188"/>
      <c r="O101" s="539"/>
      <c r="P101" s="188"/>
      <c r="Q101" s="188"/>
      <c r="R101" s="188"/>
      <c r="S101" s="254"/>
    </row>
    <row r="102" spans="1:19" ht="29.25" customHeight="1" thickBot="1" x14ac:dyDescent="0.3">
      <c r="A102" s="230" t="s">
        <v>258</v>
      </c>
      <c r="B102" s="231">
        <f>C102+D102</f>
        <v>12143</v>
      </c>
      <c r="C102" s="231">
        <f>VLOOKUP("3591-ROM-EUROMA2",TOTALI!A:F,2,FALSE)-(+VLOOKUP("3591-ROM-EUROMA2",SHOES!A:F,2,FALSE))</f>
        <v>3531</v>
      </c>
      <c r="D102" s="232">
        <f>VLOOKUP("3591-ROM-EUROMA2",TOTALI!A:F,3,FALSE)-(+VLOOKUP("3591-ROM-EUROMA2",SHOES!A:F,3,FALSE))-M102</f>
        <v>8612</v>
      </c>
      <c r="E102" s="187"/>
      <c r="F102" s="222"/>
      <c r="G102" s="222"/>
      <c r="H102" s="222"/>
      <c r="I102" s="187"/>
      <c r="J102" s="222"/>
      <c r="K102" s="187"/>
      <c r="L102" s="222"/>
      <c r="M102" s="283">
        <v>1030</v>
      </c>
      <c r="N102" s="281"/>
      <c r="O102" s="539"/>
      <c r="P102" s="281"/>
      <c r="Q102" s="281"/>
      <c r="R102" s="281"/>
      <c r="S102" s="254"/>
    </row>
    <row r="103" spans="1:19" ht="29.25" customHeight="1" x14ac:dyDescent="0.25">
      <c r="A103" s="219"/>
      <c r="B103" s="215"/>
      <c r="C103" s="215"/>
      <c r="D103" s="339"/>
      <c r="E103" s="187"/>
      <c r="F103" s="222"/>
      <c r="G103" s="222"/>
      <c r="H103" s="222"/>
      <c r="I103" s="187"/>
      <c r="J103" s="222"/>
      <c r="K103" s="187"/>
      <c r="L103" s="222"/>
      <c r="M103" s="222"/>
      <c r="N103" s="338"/>
      <c r="O103" s="539"/>
      <c r="P103" s="338"/>
      <c r="Q103" s="338"/>
      <c r="R103" s="338"/>
      <c r="S103" s="254"/>
    </row>
    <row r="104" spans="1:19" ht="29.25" customHeight="1" thickBot="1" x14ac:dyDescent="0.3">
      <c r="A104" s="192"/>
      <c r="B104" s="193"/>
      <c r="C104" s="193"/>
      <c r="D104" s="194"/>
      <c r="E104" s="187"/>
      <c r="F104" s="222"/>
      <c r="G104" s="187"/>
      <c r="H104" s="222"/>
      <c r="I104" s="187"/>
      <c r="J104" s="222"/>
      <c r="K104" s="187"/>
      <c r="L104" s="222"/>
      <c r="M104" s="222"/>
      <c r="N104" s="188"/>
      <c r="O104" s="539"/>
      <c r="P104" s="188"/>
      <c r="Q104" s="188"/>
      <c r="R104" s="188"/>
      <c r="S104" s="254"/>
    </row>
    <row r="105" spans="1:19" ht="29.25" customHeight="1" thickBot="1" x14ac:dyDescent="0.3">
      <c r="A105" s="251" t="s">
        <v>71</v>
      </c>
      <c r="B105" s="342"/>
      <c r="C105" s="343" t="s">
        <v>220</v>
      </c>
      <c r="D105" s="344" t="s">
        <v>221</v>
      </c>
      <c r="E105" s="187"/>
      <c r="F105" s="222"/>
      <c r="G105" s="187"/>
      <c r="H105" s="222"/>
      <c r="I105" s="187"/>
      <c r="J105" s="222"/>
      <c r="K105" s="187"/>
      <c r="L105" s="222"/>
      <c r="M105" s="188"/>
      <c r="N105" s="188"/>
      <c r="O105" s="539"/>
      <c r="P105" s="188"/>
      <c r="Q105" s="188"/>
      <c r="R105" s="188"/>
      <c r="S105" s="254"/>
    </row>
    <row r="106" spans="1:19" ht="29.25" customHeight="1" x14ac:dyDescent="0.25">
      <c r="A106" s="345">
        <v>1984</v>
      </c>
      <c r="B106" s="225">
        <f>VLOOKUP("1984-ROM-COLA RIENZO",TOTALI!A:F,3,FALSE)</f>
        <v>4528</v>
      </c>
      <c r="C106" s="225">
        <f>+B106/2</f>
        <v>2264</v>
      </c>
      <c r="D106" s="346">
        <f>+B106-C106</f>
        <v>2264</v>
      </c>
      <c r="E106" s="187"/>
      <c r="F106" s="222"/>
      <c r="G106" s="187"/>
      <c r="H106" s="222"/>
      <c r="I106" s="187"/>
      <c r="J106" s="222"/>
      <c r="K106" s="187"/>
      <c r="L106" s="222"/>
      <c r="M106" s="188"/>
      <c r="N106" s="188"/>
      <c r="O106" s="539"/>
      <c r="P106" s="188"/>
      <c r="Q106" s="188"/>
      <c r="R106" s="188"/>
      <c r="S106" s="254"/>
    </row>
    <row r="107" spans="1:19" ht="29.25" customHeight="1" thickBot="1" x14ac:dyDescent="0.3">
      <c r="A107" s="347">
        <v>1971</v>
      </c>
      <c r="B107" s="231">
        <f>VLOOKUP("1971-ROM-P.DI ROMA",TOTALI!A:F,3,FALSE)</f>
        <v>3521</v>
      </c>
      <c r="C107" s="231">
        <f>+B107/2</f>
        <v>1760.5</v>
      </c>
      <c r="D107" s="252">
        <f>+B107-C107</f>
        <v>1760.5</v>
      </c>
      <c r="E107" s="187"/>
      <c r="F107" s="222"/>
      <c r="G107" s="187"/>
      <c r="H107" s="222"/>
      <c r="I107" s="187"/>
      <c r="J107" s="222"/>
      <c r="K107" s="187"/>
      <c r="L107" s="222"/>
      <c r="M107" s="338"/>
      <c r="N107" s="338"/>
      <c r="O107" s="539"/>
      <c r="P107" s="338"/>
      <c r="Q107" s="338"/>
      <c r="R107" s="338"/>
      <c r="S107" s="254"/>
    </row>
    <row r="108" spans="1:19" ht="29.25" customHeight="1" thickBot="1" x14ac:dyDescent="0.3">
      <c r="A108" s="340" t="s">
        <v>263</v>
      </c>
      <c r="B108" s="341">
        <f>SUM(B100+B101+B102+B106+B107)</f>
        <v>36937</v>
      </c>
      <c r="C108" s="195"/>
      <c r="D108" s="194"/>
      <c r="E108" s="187"/>
      <c r="F108" s="222"/>
      <c r="G108" s="187"/>
      <c r="H108" s="222"/>
      <c r="I108" s="187"/>
      <c r="J108" s="222"/>
      <c r="K108" s="187"/>
      <c r="L108" s="222"/>
      <c r="M108" s="188"/>
      <c r="N108" s="188"/>
      <c r="O108" s="539"/>
      <c r="P108" s="188"/>
      <c r="Q108" s="188"/>
      <c r="R108" s="188"/>
      <c r="S108" s="254"/>
    </row>
    <row r="109" spans="1:19" ht="29.25" customHeight="1" thickBot="1" x14ac:dyDescent="0.3">
      <c r="A109" s="192"/>
      <c r="B109" s="193"/>
      <c r="C109" s="193"/>
      <c r="D109" s="194"/>
      <c r="E109" s="187"/>
      <c r="F109" s="222"/>
      <c r="G109" s="187"/>
      <c r="H109" s="222"/>
      <c r="I109" s="187"/>
      <c r="J109" s="222"/>
      <c r="K109" s="187"/>
      <c r="L109" s="222"/>
      <c r="M109" s="188"/>
      <c r="N109" s="188"/>
      <c r="O109" s="539"/>
      <c r="P109" s="188"/>
      <c r="Q109" s="188"/>
      <c r="R109" s="188"/>
      <c r="S109" s="254"/>
    </row>
    <row r="110" spans="1:19" ht="29.25" customHeight="1" x14ac:dyDescent="0.25">
      <c r="A110" s="196" t="s">
        <v>201</v>
      </c>
      <c r="B110" s="197" t="s">
        <v>205</v>
      </c>
      <c r="C110" s="197" t="s">
        <v>203</v>
      </c>
      <c r="D110" s="533" t="s">
        <v>204</v>
      </c>
      <c r="E110" s="534"/>
      <c r="F110" s="534"/>
      <c r="G110" s="535"/>
      <c r="H110" s="218"/>
      <c r="I110" s="187"/>
      <c r="J110" s="218"/>
      <c r="K110" s="187"/>
      <c r="L110" s="222"/>
      <c r="M110" s="188"/>
      <c r="N110" s="188"/>
      <c r="O110" s="539"/>
      <c r="P110" s="188"/>
      <c r="Q110" s="188"/>
      <c r="R110" s="188"/>
      <c r="S110" s="254"/>
    </row>
    <row r="111" spans="1:19" ht="29.25" customHeight="1" x14ac:dyDescent="0.25">
      <c r="A111" s="198" t="s">
        <v>202</v>
      </c>
      <c r="B111" s="199">
        <f>_xlfn.FLOOR.MATH(C100*0.65/200,1)</f>
        <v>8</v>
      </c>
      <c r="C111" s="199">
        <f>FLOOR(D100*0.65/15/20,1)</f>
        <v>11</v>
      </c>
      <c r="D111" s="216"/>
      <c r="E111" s="200" t="str">
        <f>_xlfn.CONCAT(C111," bancali"," + ",B111," stander")</f>
        <v>11 bancali + 8 stander</v>
      </c>
      <c r="F111" s="217"/>
      <c r="G111" s="207"/>
      <c r="H111" s="222"/>
      <c r="I111" s="187"/>
      <c r="J111" s="222"/>
      <c r="K111" s="187"/>
      <c r="L111" s="222"/>
      <c r="M111" s="188"/>
      <c r="N111" s="188"/>
      <c r="O111" s="539"/>
      <c r="P111" s="188"/>
      <c r="Q111" s="188"/>
      <c r="R111" s="188"/>
      <c r="S111" s="254"/>
    </row>
    <row r="112" spans="1:19" ht="29.25" customHeight="1" x14ac:dyDescent="0.25">
      <c r="A112" s="198">
        <v>9226</v>
      </c>
      <c r="B112" s="199">
        <f>_xlfn.FLOOR.MATH(C101/200,1)</f>
        <v>16</v>
      </c>
      <c r="C112" s="199">
        <f>_xlfn.FLOOR.MATH(D101/15/20,1)</f>
        <v>18</v>
      </c>
      <c r="D112" s="216"/>
      <c r="E112" s="200" t="str">
        <f>_xlfn.CONCAT(C112," bancali"," + ",B112," stander")</f>
        <v>18 bancali + 16 stander</v>
      </c>
      <c r="F112" s="217"/>
      <c r="G112" s="207"/>
      <c r="H112" s="222"/>
      <c r="I112" s="187"/>
      <c r="J112" s="222"/>
      <c r="K112" s="187"/>
      <c r="L112" s="222"/>
      <c r="M112" s="281"/>
      <c r="N112" s="281"/>
      <c r="O112" s="539"/>
      <c r="P112" s="281"/>
      <c r="Q112" s="281"/>
      <c r="R112" s="281"/>
      <c r="S112" s="254"/>
    </row>
    <row r="113" spans="1:19" ht="29.25" customHeight="1" thickBot="1" x14ac:dyDescent="0.3">
      <c r="A113" s="201">
        <v>3591</v>
      </c>
      <c r="B113" s="202">
        <f>_xlfn.FLOOR.MATH(C102/200,1)</f>
        <v>17</v>
      </c>
      <c r="C113" s="202">
        <f>_xlfn.FLOOR.MATH(D102/15/20,1)</f>
        <v>28</v>
      </c>
      <c r="D113" s="220"/>
      <c r="E113" s="203" t="str">
        <f>_xlfn.CONCAT(C113," bancali"," + ",B113," stander")</f>
        <v>28 bancali + 17 stander</v>
      </c>
      <c r="F113" s="221"/>
      <c r="G113" s="208"/>
      <c r="H113" s="223"/>
      <c r="I113" s="204"/>
      <c r="J113" s="223"/>
      <c r="K113" s="204"/>
      <c r="L113" s="223"/>
      <c r="M113" s="205"/>
      <c r="N113" s="205"/>
      <c r="O113" s="540"/>
      <c r="P113" s="205"/>
      <c r="Q113" s="205"/>
      <c r="R113" s="205"/>
      <c r="S113" s="255"/>
    </row>
  </sheetData>
  <autoFilter ref="A1:BV113" xr:uid="{00A39346-C2AF-48FC-80CB-95791060EAF4}"/>
  <mergeCells count="97">
    <mergeCell ref="N16:N17"/>
    <mergeCell ref="M15:N15"/>
    <mergeCell ref="M7:N7"/>
    <mergeCell ref="O2:O5"/>
    <mergeCell ref="S8:S13"/>
    <mergeCell ref="P2:P5"/>
    <mergeCell ref="Q2:Q5"/>
    <mergeCell ref="N2:N5"/>
    <mergeCell ref="N8:N13"/>
    <mergeCell ref="O8:O13"/>
    <mergeCell ref="O16:O17"/>
    <mergeCell ref="P28:P29"/>
    <mergeCell ref="S2:S5"/>
    <mergeCell ref="N20:N25"/>
    <mergeCell ref="O20:O25"/>
    <mergeCell ref="P20:P25"/>
    <mergeCell ref="Q20:Q25"/>
    <mergeCell ref="R20:R25"/>
    <mergeCell ref="S20:S25"/>
    <mergeCell ref="Q16:Q17"/>
    <mergeCell ref="R16:R17"/>
    <mergeCell ref="S16:S17"/>
    <mergeCell ref="R2:R5"/>
    <mergeCell ref="P8:P13"/>
    <mergeCell ref="Q8:Q13"/>
    <mergeCell ref="P16:P17"/>
    <mergeCell ref="R8:R13"/>
    <mergeCell ref="S28:S29"/>
    <mergeCell ref="R28:R29"/>
    <mergeCell ref="Q28:Q29"/>
    <mergeCell ref="S51:S53"/>
    <mergeCell ref="R51:R53"/>
    <mergeCell ref="P51:P53"/>
    <mergeCell ref="Q32:Q34"/>
    <mergeCell ref="R32:R34"/>
    <mergeCell ref="S32:S34"/>
    <mergeCell ref="P32:P34"/>
    <mergeCell ref="P40:P44"/>
    <mergeCell ref="P47:P48"/>
    <mergeCell ref="Q51:Q53"/>
    <mergeCell ref="S40:S44"/>
    <mergeCell ref="R40:R44"/>
    <mergeCell ref="Q40:Q44"/>
    <mergeCell ref="Q47:Q48"/>
    <mergeCell ref="R47:R48"/>
    <mergeCell ref="S47:S48"/>
    <mergeCell ref="S73:S76"/>
    <mergeCell ref="R73:R76"/>
    <mergeCell ref="R56:R62"/>
    <mergeCell ref="Q73:Q76"/>
    <mergeCell ref="Q68:Q70"/>
    <mergeCell ref="S56:S62"/>
    <mergeCell ref="R68:R70"/>
    <mergeCell ref="S68:S70"/>
    <mergeCell ref="P73:P76"/>
    <mergeCell ref="P92:P94"/>
    <mergeCell ref="Q56:Q62"/>
    <mergeCell ref="P56:P62"/>
    <mergeCell ref="P68:P70"/>
    <mergeCell ref="N73:N76"/>
    <mergeCell ref="O51:O53"/>
    <mergeCell ref="N92:N94"/>
    <mergeCell ref="M91:N91"/>
    <mergeCell ref="M83:N83"/>
    <mergeCell ref="N51:N53"/>
    <mergeCell ref="M19:N19"/>
    <mergeCell ref="M27:N27"/>
    <mergeCell ref="N56:N62"/>
    <mergeCell ref="M64:N64"/>
    <mergeCell ref="M72:N72"/>
    <mergeCell ref="M67:N67"/>
    <mergeCell ref="M36:N36"/>
    <mergeCell ref="M39:N39"/>
    <mergeCell ref="M55:N55"/>
    <mergeCell ref="N40:N44"/>
    <mergeCell ref="M31:N31"/>
    <mergeCell ref="N28:N29"/>
    <mergeCell ref="N32:N34"/>
    <mergeCell ref="N68:N70"/>
    <mergeCell ref="M46:N46"/>
    <mergeCell ref="N47:N48"/>
    <mergeCell ref="M50:N50"/>
    <mergeCell ref="O28:O29"/>
    <mergeCell ref="D110:G110"/>
    <mergeCell ref="O92:O94"/>
    <mergeCell ref="M85:N85"/>
    <mergeCell ref="O96:O113"/>
    <mergeCell ref="O32:O34"/>
    <mergeCell ref="O40:O44"/>
    <mergeCell ref="M80:N80"/>
    <mergeCell ref="O47:O48"/>
    <mergeCell ref="O73:O76"/>
    <mergeCell ref="O68:O70"/>
    <mergeCell ref="O56:O62"/>
    <mergeCell ref="N81:N82"/>
    <mergeCell ref="M88:N88"/>
    <mergeCell ref="M77:N77"/>
  </mergeCells>
  <phoneticPr fontId="81" type="noConversion"/>
  <dataValidations disablePrompts="1" count="2">
    <dataValidation type="list" allowBlank="1" showInputMessage="1" showErrorMessage="1" sqref="S91 S19 S27 S31 S36 S39 S46 S50 S15 S55 S64 S67 S72 S80 S83 S85 S7 S77 S87:S88" xr:uid="{9578F00C-8D9A-4F6E-8E73-52BF094F23F8}">
      <formula1>"SI - FURGONE, SI - MOTRICE, SI - BILICO"</formula1>
    </dataValidation>
    <dataValidation type="list" allowBlank="1" showInputMessage="1" showErrorMessage="1" sqref="S20 S92:S93 S89:S90 S86 S84 S81:S82 S65 S68:S70 S8 S56:S62 S51:S53 S47:S48 S40:S44 S37 S32:S34 S16 S2:S5 S73:S76 S78 S28:S29" xr:uid="{46CB153E-1BB9-4C1A-891C-4C7B699A0CF1}">
      <formula1>$BG$1:$BG$3</formula1>
    </dataValidation>
  </dataValidations>
  <printOptions gridLines="1"/>
  <pageMargins left="0.25" right="0.25" top="0.75" bottom="0.75" header="0.3" footer="0.3"/>
  <pageSetup paperSize="9" scale="66" fitToHeight="0" orientation="landscape" r:id="rId1"/>
  <ignoredErrors>
    <ignoredError sqref="G61 M5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13F4D-FAD4-41DD-B0FE-C781F284AF3B}">
  <sheetPr codeName="Foglio2">
    <pageSetUpPr fitToPage="1"/>
  </sheetPr>
  <dimension ref="A1:X54"/>
  <sheetViews>
    <sheetView topLeftCell="A28" zoomScale="130" zoomScaleNormal="130" workbookViewId="0">
      <selection activeCell="B56" sqref="B56"/>
    </sheetView>
  </sheetViews>
  <sheetFormatPr defaultRowHeight="11.25" x14ac:dyDescent="0.2"/>
  <cols>
    <col min="1" max="1" width="12.28515625" style="453" customWidth="1"/>
    <col min="2" max="2" width="11.42578125" style="453" bestFit="1" customWidth="1"/>
    <col min="3" max="3" width="16.5703125" style="453" bestFit="1" customWidth="1"/>
    <col min="4" max="4" width="11.28515625" style="453" bestFit="1" customWidth="1"/>
    <col min="5" max="5" width="7.42578125" style="453" bestFit="1" customWidth="1"/>
    <col min="6" max="6" width="7" style="453" bestFit="1" customWidth="1"/>
    <col min="7" max="7" width="6.7109375" style="453" bestFit="1" customWidth="1"/>
    <col min="8" max="8" width="7.42578125" style="453" bestFit="1" customWidth="1"/>
    <col min="9" max="9" width="7" style="453" bestFit="1" customWidth="1"/>
    <col min="10" max="10" width="6.42578125" style="453" bestFit="1" customWidth="1"/>
    <col min="11" max="11" width="7.42578125" style="453" bestFit="1" customWidth="1"/>
    <col min="12" max="12" width="7.28515625" style="481" bestFit="1" customWidth="1"/>
    <col min="13" max="13" width="6.42578125" style="453" bestFit="1" customWidth="1"/>
    <col min="14" max="14" width="7.7109375" style="453" bestFit="1" customWidth="1"/>
    <col min="15" max="15" width="9.140625" style="453" bestFit="1" customWidth="1"/>
    <col min="16" max="17" width="9.28515625" style="453" bestFit="1" customWidth="1"/>
    <col min="18" max="18" width="8" style="453" bestFit="1" customWidth="1"/>
    <col min="19" max="16384" width="9.140625" style="453"/>
  </cols>
  <sheetData>
    <row r="1" spans="1:24" x14ac:dyDescent="0.2">
      <c r="A1" s="563"/>
      <c r="B1" s="563"/>
      <c r="C1" s="563"/>
      <c r="D1" s="562" t="s">
        <v>2</v>
      </c>
      <c r="E1" s="563"/>
      <c r="F1" s="563"/>
      <c r="G1" s="563"/>
      <c r="H1" s="562" t="s">
        <v>3</v>
      </c>
      <c r="I1" s="563"/>
      <c r="J1" s="563"/>
      <c r="K1" s="562" t="s">
        <v>4</v>
      </c>
      <c r="L1" s="563"/>
      <c r="M1" s="563"/>
      <c r="N1" s="562" t="s">
        <v>5</v>
      </c>
      <c r="O1" s="563"/>
      <c r="P1" s="452"/>
      <c r="Q1" s="452"/>
      <c r="R1" s="452"/>
    </row>
    <row r="2" spans="1:24" ht="33.75" x14ac:dyDescent="0.2">
      <c r="A2" s="454" t="s">
        <v>13</v>
      </c>
      <c r="B2" s="455" t="s">
        <v>14</v>
      </c>
      <c r="C2" s="456" t="s">
        <v>15</v>
      </c>
      <c r="D2" s="457" t="s">
        <v>17</v>
      </c>
      <c r="E2" s="457" t="s">
        <v>19</v>
      </c>
      <c r="F2" s="457" t="s">
        <v>21</v>
      </c>
      <c r="G2" s="457" t="s">
        <v>22</v>
      </c>
      <c r="H2" s="457" t="s">
        <v>23</v>
      </c>
      <c r="I2" s="457" t="s">
        <v>21</v>
      </c>
      <c r="J2" s="457" t="s">
        <v>22</v>
      </c>
      <c r="K2" s="457" t="s">
        <v>25</v>
      </c>
      <c r="L2" s="458" t="s">
        <v>21</v>
      </c>
      <c r="M2" s="457" t="s">
        <v>22</v>
      </c>
      <c r="N2" s="457" t="s">
        <v>26</v>
      </c>
      <c r="O2" s="457" t="s">
        <v>27</v>
      </c>
      <c r="P2" s="452"/>
      <c r="Q2" s="452"/>
      <c r="R2" s="452"/>
    </row>
    <row r="3" spans="1:24" x14ac:dyDescent="0.2">
      <c r="A3" s="459">
        <v>8601</v>
      </c>
      <c r="B3" s="460" t="s">
        <v>31</v>
      </c>
      <c r="C3" s="461" t="s">
        <v>32</v>
      </c>
      <c r="D3" s="462">
        <f>IF(R3&lt;&gt;0,+R3-E3,0)</f>
        <v>66</v>
      </c>
      <c r="E3" s="462">
        <f>_xlfn.IFNA(VLOOKUP(A3,OTHER1!H:I,2,FALSE),0)</f>
        <v>0</v>
      </c>
      <c r="F3" s="463">
        <f>_xlfn.IFNA(VLOOKUP(A3,TEXILE1!A:F,5,FALSE),0)</f>
        <v>6.5199999809265137</v>
      </c>
      <c r="G3" s="462">
        <f>_xlfn.IFNA(VLOOKUP(A3,TEXILE1!A:F,4,FALSE),0)</f>
        <v>1008</v>
      </c>
      <c r="H3" s="462">
        <f>_xlfn.IFNA(VLOOKUP(A3,SHOES1!A:F,6,FALSE),0)</f>
        <v>6</v>
      </c>
      <c r="I3" s="463">
        <f>_xlfn.IFNA(VLOOKUP(A3,SHOES1!A:F,5,FALSE),0)</f>
        <v>0.5899999737739563</v>
      </c>
      <c r="J3" s="462">
        <f>_xlfn.IFNA(VLOOKUP(A3,SHOES1!A:F,4,FALSE),0)</f>
        <v>74</v>
      </c>
      <c r="K3" s="462">
        <f>_xlfn.IFNA(VLOOKUP(A3,ECOM1!A:F,6,FALSE),0)</f>
        <v>2</v>
      </c>
      <c r="L3" s="463">
        <f>_xlfn.IFNA(VLOOKUP(A3,ECOM1!A:F,5,FALSE),0)</f>
        <v>0.2199999988079071</v>
      </c>
      <c r="M3" s="464">
        <f>_xlfn.IFNA(VLOOKUP(A3,ECOM1!A:F,4,FALSE),0)</f>
        <v>14</v>
      </c>
      <c r="N3" s="465">
        <f>+F3+I3+L3</f>
        <v>7.3299999535083771</v>
      </c>
      <c r="O3" s="466">
        <f>+G3+J3+M3</f>
        <v>1096</v>
      </c>
      <c r="P3" s="452">
        <f>VLOOKUP(A3,'SPUNTA ARRIVI '!A:A,1,FALSE)</f>
        <v>8601</v>
      </c>
      <c r="Q3" s="467">
        <f>VLOOKUP(A3,'SPUNTA ARRIVI '!A:D,4,FALSE)-N3</f>
        <v>0</v>
      </c>
      <c r="R3" s="452">
        <f>_xlfn.IFNA(VLOOKUP(A3,TEXILE1!A:F,6,FALSE),0)</f>
        <v>66</v>
      </c>
      <c r="T3" s="468"/>
      <c r="V3" s="468"/>
      <c r="X3" s="469"/>
    </row>
    <row r="4" spans="1:24" x14ac:dyDescent="0.2">
      <c r="A4" s="459">
        <v>8364</v>
      </c>
      <c r="B4" s="460" t="s">
        <v>31</v>
      </c>
      <c r="C4" s="461" t="s">
        <v>34</v>
      </c>
      <c r="D4" s="462">
        <f t="shared" ref="D4:D49" si="0">IF(R4&lt;&gt;0,+R4-E4,0)</f>
        <v>136</v>
      </c>
      <c r="E4" s="462">
        <f>_xlfn.IFNA(VLOOKUP(A4,OTHER1!H:I,2,FALSE),0)</f>
        <v>2</v>
      </c>
      <c r="F4" s="463">
        <f>_xlfn.IFNA(VLOOKUP(A4,TEXILE1!A:F,5,FALSE),0)</f>
        <v>13.319999694824219</v>
      </c>
      <c r="G4" s="462">
        <f>_xlfn.IFNA(VLOOKUP(A4,TEXILE1!A:F,4,FALSE),0)</f>
        <v>2074</v>
      </c>
      <c r="H4" s="462">
        <f>_xlfn.IFNA(VLOOKUP(A4,SHOES1!A:F,6,FALSE),0)</f>
        <v>11</v>
      </c>
      <c r="I4" s="463">
        <f>_xlfn.IFNA(VLOOKUP(A4,SHOES1!A:F,5,FALSE),0)</f>
        <v>0.92000001668930054</v>
      </c>
      <c r="J4" s="462">
        <f>_xlfn.IFNA(VLOOKUP(A4,SHOES1!A:F,4,FALSE),0)</f>
        <v>113</v>
      </c>
      <c r="K4" s="462">
        <f>_xlfn.IFNA(VLOOKUP(A4,ECOM1!A:F,6,FALSE),0)</f>
        <v>0</v>
      </c>
      <c r="L4" s="463">
        <f>_xlfn.IFNA(VLOOKUP(A4,ECOM1!A:F,5,FALSE),0)</f>
        <v>0</v>
      </c>
      <c r="M4" s="464">
        <f>_xlfn.IFNA(VLOOKUP(A4,ECOM1!A:F,4,FALSE),0)</f>
        <v>0</v>
      </c>
      <c r="N4" s="465">
        <f t="shared" ref="N4:N37" si="1">+F4+I4+L4</f>
        <v>14.239999711513519</v>
      </c>
      <c r="O4" s="466">
        <f t="shared" ref="O4:O37" si="2">+G4+J4+M4</f>
        <v>2187</v>
      </c>
      <c r="P4" s="452">
        <f>VLOOKUP(A4,'SPUNTA ARRIVI '!A:A,1,FALSE)</f>
        <v>8364</v>
      </c>
      <c r="Q4" s="467">
        <f>VLOOKUP(A4,'SPUNTA ARRIVI '!A:D,4,FALSE)-N4</f>
        <v>0</v>
      </c>
      <c r="R4" s="452">
        <f>_xlfn.IFNA(VLOOKUP(A4,TEXILE1!A:F,6,FALSE),0)</f>
        <v>138</v>
      </c>
      <c r="T4" s="468"/>
      <c r="V4" s="468"/>
      <c r="X4" s="469"/>
    </row>
    <row r="5" spans="1:24" x14ac:dyDescent="0.2">
      <c r="A5" s="470">
        <v>14825</v>
      </c>
      <c r="B5" s="460" t="s">
        <v>31</v>
      </c>
      <c r="C5" s="461" t="s">
        <v>35</v>
      </c>
      <c r="D5" s="462">
        <f t="shared" si="0"/>
        <v>178</v>
      </c>
      <c r="E5" s="462">
        <f>_xlfn.IFNA(VLOOKUP(A5,OTHER1!H:I,2,FALSE),0)</f>
        <v>2</v>
      </c>
      <c r="F5" s="463">
        <f>_xlfn.IFNA(VLOOKUP(A5,TEXILE1!A:F,5,FALSE),0)</f>
        <v>16.920000076293945</v>
      </c>
      <c r="G5" s="462">
        <f>_xlfn.IFNA(VLOOKUP(A5,TEXILE1!A:F,4,FALSE),0)</f>
        <v>2752</v>
      </c>
      <c r="H5" s="462">
        <f>_xlfn.IFNA(VLOOKUP(A5,SHOES1!A:F,6,FALSE),0)</f>
        <v>12</v>
      </c>
      <c r="I5" s="463">
        <f>_xlfn.IFNA(VLOOKUP(A5,SHOES1!A:F,5,FALSE),0)</f>
        <v>1.2400000095367432</v>
      </c>
      <c r="J5" s="462">
        <f>_xlfn.IFNA(VLOOKUP(A5,SHOES1!A:F,4,FALSE),0)</f>
        <v>147</v>
      </c>
      <c r="K5" s="462">
        <f>_xlfn.IFNA(VLOOKUP(A5,ECOM1!A:F,6,FALSE),0)</f>
        <v>0</v>
      </c>
      <c r="L5" s="463">
        <f>_xlfn.IFNA(VLOOKUP(A5,ECOM1!A:F,5,FALSE),0)</f>
        <v>0</v>
      </c>
      <c r="M5" s="464">
        <f>_xlfn.IFNA(VLOOKUP(A5,ECOM1!A:F,4,FALSE),0)</f>
        <v>0</v>
      </c>
      <c r="N5" s="465">
        <f t="shared" si="1"/>
        <v>18.160000085830688</v>
      </c>
      <c r="O5" s="466">
        <f t="shared" si="2"/>
        <v>2899</v>
      </c>
      <c r="P5" s="452">
        <f>VLOOKUP(A5,'SPUNTA ARRIVI '!A:A,1,FALSE)</f>
        <v>14825</v>
      </c>
      <c r="Q5" s="467">
        <f>VLOOKUP(A5,'SPUNTA ARRIVI '!A:D,4,FALSE)-N5</f>
        <v>0</v>
      </c>
      <c r="R5" s="452">
        <f>_xlfn.IFNA(VLOOKUP(A5,TEXILE1!A:F,6,FALSE),0)</f>
        <v>180</v>
      </c>
      <c r="T5" s="468"/>
      <c r="V5" s="468"/>
      <c r="X5" s="469"/>
    </row>
    <row r="6" spans="1:24" x14ac:dyDescent="0.2">
      <c r="A6" s="459">
        <v>12899</v>
      </c>
      <c r="B6" s="460" t="s">
        <v>31</v>
      </c>
      <c r="C6" s="461" t="s">
        <v>36</v>
      </c>
      <c r="D6" s="462">
        <f t="shared" si="0"/>
        <v>54</v>
      </c>
      <c r="E6" s="462">
        <f>_xlfn.IFNA(VLOOKUP(A6,OTHER1!H:I,2,FALSE),0)</f>
        <v>0</v>
      </c>
      <c r="F6" s="463">
        <f>_xlfn.IFNA(VLOOKUP(A6,TEXILE1!A:F,5,FALSE),0)</f>
        <v>5.1100001335144043</v>
      </c>
      <c r="G6" s="462">
        <f>_xlfn.IFNA(VLOOKUP(A6,TEXILE1!A:F,4,FALSE),0)</f>
        <v>795</v>
      </c>
      <c r="H6" s="462">
        <f>_xlfn.IFNA(VLOOKUP(A6,SHOES1!A:F,6,FALSE),0)</f>
        <v>4</v>
      </c>
      <c r="I6" s="463">
        <f>_xlfn.IFNA(VLOOKUP(A6,SHOES1!A:F,5,FALSE),0)</f>
        <v>0.34999999403953552</v>
      </c>
      <c r="J6" s="462">
        <f>_xlfn.IFNA(VLOOKUP(A6,SHOES1!A:F,4,FALSE),0)</f>
        <v>40</v>
      </c>
      <c r="K6" s="462">
        <f>_xlfn.IFNA(VLOOKUP(A6,ECOM1!A:F,6,FALSE),0)</f>
        <v>0</v>
      </c>
      <c r="L6" s="463">
        <f>_xlfn.IFNA(VLOOKUP(A6,ECOM1!A:F,5,FALSE),0)</f>
        <v>0</v>
      </c>
      <c r="M6" s="464">
        <f>_xlfn.IFNA(VLOOKUP(A6,ECOM1!A:F,4,FALSE),0)</f>
        <v>0</v>
      </c>
      <c r="N6" s="465">
        <f t="shared" si="1"/>
        <v>5.4600001275539398</v>
      </c>
      <c r="O6" s="466">
        <f t="shared" si="2"/>
        <v>835</v>
      </c>
      <c r="P6" s="452">
        <f>VLOOKUP(A6,'SPUNTA ARRIVI '!A:A,1,FALSE)</f>
        <v>12899</v>
      </c>
      <c r="Q6" s="467">
        <f>VLOOKUP(A6,'SPUNTA ARRIVI '!A:D,4,FALSE)-N6</f>
        <v>0</v>
      </c>
      <c r="R6" s="452">
        <f>_xlfn.IFNA(VLOOKUP(A6,TEXILE1!A:F,6,FALSE),0)</f>
        <v>54</v>
      </c>
      <c r="T6" s="468"/>
      <c r="V6" s="468"/>
      <c r="X6" s="469"/>
    </row>
    <row r="7" spans="1:24" x14ac:dyDescent="0.2">
      <c r="A7" s="459">
        <v>8428</v>
      </c>
      <c r="B7" s="460" t="s">
        <v>31</v>
      </c>
      <c r="C7" s="461" t="s">
        <v>38</v>
      </c>
      <c r="D7" s="462">
        <f t="shared" si="0"/>
        <v>154</v>
      </c>
      <c r="E7" s="462">
        <f>_xlfn.IFNA(VLOOKUP(A7,OTHER1!H:I,2,FALSE),0)</f>
        <v>0</v>
      </c>
      <c r="F7" s="463">
        <f>_xlfn.IFNA(VLOOKUP(A7,TEXILE1!A:F,5,FALSE),0)</f>
        <v>14.449999809265137</v>
      </c>
      <c r="G7" s="462">
        <f>_xlfn.IFNA(VLOOKUP(A7,TEXILE1!A:F,4,FALSE),0)</f>
        <v>2229</v>
      </c>
      <c r="H7" s="462">
        <f>_xlfn.IFNA(VLOOKUP(A7,SHOES1!A:F,6,FALSE),0)</f>
        <v>7</v>
      </c>
      <c r="I7" s="463">
        <f>_xlfn.IFNA(VLOOKUP(A7,SHOES1!A:F,5,FALSE),0)</f>
        <v>0.69999998807907104</v>
      </c>
      <c r="J7" s="462">
        <f>_xlfn.IFNA(VLOOKUP(A7,SHOES1!A:F,4,FALSE),0)</f>
        <v>92</v>
      </c>
      <c r="K7" s="462">
        <f>_xlfn.IFNA(VLOOKUP(A7,ECOM1!A:F,6,FALSE),0)</f>
        <v>0</v>
      </c>
      <c r="L7" s="463">
        <f>_xlfn.IFNA(VLOOKUP(A7,ECOM1!A:F,5,FALSE),0)</f>
        <v>0</v>
      </c>
      <c r="M7" s="464">
        <f>_xlfn.IFNA(VLOOKUP(A7,ECOM1!A:F,4,FALSE),0)</f>
        <v>0</v>
      </c>
      <c r="N7" s="465">
        <f t="shared" si="1"/>
        <v>15.149999797344208</v>
      </c>
      <c r="O7" s="466">
        <f t="shared" si="2"/>
        <v>2321</v>
      </c>
      <c r="P7" s="452">
        <f>VLOOKUP(A7,'SPUNTA ARRIVI '!A:A,1,FALSE)</f>
        <v>8428</v>
      </c>
      <c r="Q7" s="467">
        <f>VLOOKUP(A7,'SPUNTA ARRIVI '!A:D,4,FALSE)-N7</f>
        <v>-4.5449999392032634</v>
      </c>
      <c r="R7" s="452">
        <f>_xlfn.IFNA(VLOOKUP(A7,TEXILE1!A:F,6,FALSE),0)</f>
        <v>154</v>
      </c>
      <c r="T7" s="468"/>
      <c r="V7" s="468"/>
      <c r="X7" s="469"/>
    </row>
    <row r="8" spans="1:24" x14ac:dyDescent="0.2">
      <c r="A8" s="459">
        <v>8453</v>
      </c>
      <c r="B8" s="460" t="s">
        <v>31</v>
      </c>
      <c r="C8" s="461" t="s">
        <v>39</v>
      </c>
      <c r="D8" s="462">
        <f t="shared" si="0"/>
        <v>59</v>
      </c>
      <c r="E8" s="462">
        <f>_xlfn.IFNA(VLOOKUP(A8,OTHER1!H:I,2,FALSE),0)</f>
        <v>0</v>
      </c>
      <c r="F8" s="463">
        <f>_xlfn.IFNA(VLOOKUP(A8,TEXILE1!A:F,5,FALSE),0)</f>
        <v>5.9800000190734863</v>
      </c>
      <c r="G8" s="462">
        <f>_xlfn.IFNA(VLOOKUP(A8,TEXILE1!A:F,4,FALSE),0)</f>
        <v>857</v>
      </c>
      <c r="H8" s="462">
        <f>_xlfn.IFNA(VLOOKUP(A8,SHOES1!A:F,6,FALSE),0)</f>
        <v>4</v>
      </c>
      <c r="I8" s="463">
        <f>_xlfn.IFNA(VLOOKUP(A8,SHOES1!A:F,5,FALSE),0)</f>
        <v>0.34999999403953552</v>
      </c>
      <c r="J8" s="462">
        <f>_xlfn.IFNA(VLOOKUP(A8,SHOES1!A:F,4,FALSE),0)</f>
        <v>44</v>
      </c>
      <c r="K8" s="462">
        <f>_xlfn.IFNA(VLOOKUP(A8,ECOM1!A:F,6,FALSE),0)</f>
        <v>3</v>
      </c>
      <c r="L8" s="463">
        <f>_xlfn.IFNA(VLOOKUP(A8,ECOM1!A:F,5,FALSE),0)</f>
        <v>0.33000001311302185</v>
      </c>
      <c r="M8" s="464">
        <f>_xlfn.IFNA(VLOOKUP(A8,ECOM1!A:F,4,FALSE),0)</f>
        <v>14</v>
      </c>
      <c r="N8" s="465">
        <f t="shared" si="1"/>
        <v>6.6600000262260437</v>
      </c>
      <c r="O8" s="466">
        <f t="shared" si="2"/>
        <v>915</v>
      </c>
      <c r="P8" s="452">
        <f>VLOOKUP(A8,'SPUNTA ARRIVI '!A:A,1,FALSE)</f>
        <v>8453</v>
      </c>
      <c r="Q8" s="467">
        <f>VLOOKUP(A8,'SPUNTA ARRIVI '!A:D,4,FALSE)-N8</f>
        <v>0</v>
      </c>
      <c r="R8" s="452">
        <f>_xlfn.IFNA(VLOOKUP(A8,TEXILE1!A:F,6,FALSE),0)</f>
        <v>59</v>
      </c>
      <c r="T8" s="468"/>
      <c r="V8" s="468"/>
      <c r="X8" s="469"/>
    </row>
    <row r="9" spans="1:24" x14ac:dyDescent="0.2">
      <c r="A9" s="471">
        <v>16037</v>
      </c>
      <c r="B9" s="460" t="s">
        <v>31</v>
      </c>
      <c r="C9" s="461" t="s">
        <v>40</v>
      </c>
      <c r="D9" s="462">
        <f t="shared" si="0"/>
        <v>83</v>
      </c>
      <c r="E9" s="462">
        <f>_xlfn.IFNA(VLOOKUP(A9,OTHER1!H:I,2,FALSE),0)</f>
        <v>0</v>
      </c>
      <c r="F9" s="463">
        <f>_xlfn.IFNA(VLOOKUP(A9,TEXILE1!A:F,5,FALSE),0)</f>
        <v>7.809999942779541</v>
      </c>
      <c r="G9" s="462">
        <f>_xlfn.IFNA(VLOOKUP(A9,TEXILE1!A:F,4,FALSE),0)</f>
        <v>1300</v>
      </c>
      <c r="H9" s="462">
        <f>_xlfn.IFNA(VLOOKUP(A9,SHOES1!A:F,6,FALSE),0)</f>
        <v>5</v>
      </c>
      <c r="I9" s="463">
        <f>_xlfn.IFNA(VLOOKUP(A9,SHOES1!A:F,5,FALSE),0)</f>
        <v>0.49000000953674316</v>
      </c>
      <c r="J9" s="462">
        <f>_xlfn.IFNA(VLOOKUP(A9,SHOES1!A:F,4,FALSE),0)</f>
        <v>50</v>
      </c>
      <c r="K9" s="462">
        <f>_xlfn.IFNA(VLOOKUP(A9,ECOM1!A:F,6,FALSE),0)</f>
        <v>3</v>
      </c>
      <c r="L9" s="463">
        <f>_xlfn.IFNA(VLOOKUP(A9,ECOM1!A:F,5,FALSE),0)</f>
        <v>0.33000001311302185</v>
      </c>
      <c r="M9" s="464">
        <f>_xlfn.IFNA(VLOOKUP(A9,ECOM1!A:F,4,FALSE),0)</f>
        <v>18</v>
      </c>
      <c r="N9" s="465">
        <f t="shared" si="1"/>
        <v>8.629999965429306</v>
      </c>
      <c r="O9" s="466">
        <f t="shared" si="2"/>
        <v>1368</v>
      </c>
      <c r="P9" s="452">
        <f>VLOOKUP(A9,'SPUNTA ARRIVI '!A:A,1,FALSE)</f>
        <v>16037</v>
      </c>
      <c r="Q9" s="467">
        <f>VLOOKUP(A9,'SPUNTA ARRIVI '!A:D,4,FALSE)-N9</f>
        <v>0</v>
      </c>
      <c r="R9" s="452">
        <f>_xlfn.IFNA(VLOOKUP(A9,TEXILE1!A:F,6,FALSE),0)</f>
        <v>83</v>
      </c>
      <c r="T9" s="468"/>
      <c r="V9" s="468"/>
      <c r="X9" s="469"/>
    </row>
    <row r="10" spans="1:24" x14ac:dyDescent="0.2">
      <c r="A10" s="459">
        <v>11796</v>
      </c>
      <c r="B10" s="460" t="s">
        <v>31</v>
      </c>
      <c r="C10" s="461" t="s">
        <v>42</v>
      </c>
      <c r="D10" s="462">
        <f t="shared" si="0"/>
        <v>42</v>
      </c>
      <c r="E10" s="462">
        <f>_xlfn.IFNA(VLOOKUP(A10,OTHER1!H:I,2,FALSE),0)</f>
        <v>0</v>
      </c>
      <c r="F10" s="463">
        <f>_xlfn.IFNA(VLOOKUP(A10,TEXILE1!A:F,5,FALSE),0)</f>
        <v>4.1100001335144043</v>
      </c>
      <c r="G10" s="462">
        <f>_xlfn.IFNA(VLOOKUP(A10,TEXILE1!A:F,4,FALSE),0)</f>
        <v>589</v>
      </c>
      <c r="H10" s="462">
        <f>_xlfn.IFNA(VLOOKUP(A10,SHOES1!A:F,6,FALSE),0)</f>
        <v>2</v>
      </c>
      <c r="I10" s="463">
        <f>_xlfn.IFNA(VLOOKUP(A10,SHOES1!A:F,5,FALSE),0)</f>
        <v>0.2199999988079071</v>
      </c>
      <c r="J10" s="462">
        <f>_xlfn.IFNA(VLOOKUP(A10,SHOES1!A:F,4,FALSE),0)</f>
        <v>27</v>
      </c>
      <c r="K10" s="462">
        <f>_xlfn.IFNA(VLOOKUP(A10,ECOM1!A:F,6,FALSE),0)</f>
        <v>2</v>
      </c>
      <c r="L10" s="463">
        <f>_xlfn.IFNA(VLOOKUP(A10,ECOM1!A:F,5,FALSE),0)</f>
        <v>0.2199999988079071</v>
      </c>
      <c r="M10" s="464">
        <f>_xlfn.IFNA(VLOOKUP(A10,ECOM1!A:F,4,FALSE),0)</f>
        <v>10</v>
      </c>
      <c r="N10" s="465">
        <f t="shared" si="1"/>
        <v>4.5500001311302185</v>
      </c>
      <c r="O10" s="466">
        <f t="shared" si="2"/>
        <v>626</v>
      </c>
      <c r="P10" s="452">
        <f>VLOOKUP(A10,'SPUNTA ARRIVI '!A:A,1,FALSE)</f>
        <v>11796</v>
      </c>
      <c r="Q10" s="467">
        <f>VLOOKUP(A10,'SPUNTA ARRIVI '!A:D,4,FALSE)-N10</f>
        <v>0</v>
      </c>
      <c r="R10" s="452">
        <f>_xlfn.IFNA(VLOOKUP(A10,TEXILE1!A:F,6,FALSE),0)</f>
        <v>42</v>
      </c>
      <c r="T10" s="468"/>
      <c r="V10" s="468"/>
      <c r="X10" s="469"/>
    </row>
    <row r="11" spans="1:24" x14ac:dyDescent="0.2">
      <c r="A11" s="459">
        <v>14010</v>
      </c>
      <c r="B11" s="460" t="s">
        <v>31</v>
      </c>
      <c r="C11" s="461" t="s">
        <v>46</v>
      </c>
      <c r="D11" s="462">
        <f t="shared" si="0"/>
        <v>206</v>
      </c>
      <c r="E11" s="462">
        <f>_xlfn.IFNA(VLOOKUP(A11,OTHER1!H:I,2,FALSE),0)</f>
        <v>0</v>
      </c>
      <c r="F11" s="463">
        <f>_xlfn.IFNA(VLOOKUP(A11,TEXILE1!A:F,5,FALSE),0)</f>
        <v>19.739999771118164</v>
      </c>
      <c r="G11" s="462">
        <f>_xlfn.IFNA(VLOOKUP(A11,TEXILE1!A:F,4,FALSE),0)</f>
        <v>3194</v>
      </c>
      <c r="H11" s="462">
        <f>_xlfn.IFNA(VLOOKUP(A11,SHOES1!A:F,6,FALSE),0)</f>
        <v>7</v>
      </c>
      <c r="I11" s="463">
        <f>_xlfn.IFNA(VLOOKUP(A11,SHOES1!A:F,5,FALSE),0)</f>
        <v>0.69999998807907104</v>
      </c>
      <c r="J11" s="462">
        <f>_xlfn.IFNA(VLOOKUP(A11,SHOES1!A:F,4,FALSE),0)</f>
        <v>87</v>
      </c>
      <c r="K11" s="462">
        <f>_xlfn.IFNA(VLOOKUP(A11,ECOM1!A:F,6,FALSE),0)</f>
        <v>0</v>
      </c>
      <c r="L11" s="463">
        <f>_xlfn.IFNA(VLOOKUP(A11,ECOM1!A:F,5,FALSE),0)</f>
        <v>0</v>
      </c>
      <c r="M11" s="464">
        <f>_xlfn.IFNA(VLOOKUP(A11,ECOM1!A:F,4,FALSE),0)</f>
        <v>0</v>
      </c>
      <c r="N11" s="465">
        <f t="shared" si="1"/>
        <v>20.439999759197235</v>
      </c>
      <c r="O11" s="466">
        <f t="shared" si="2"/>
        <v>3281</v>
      </c>
      <c r="P11" s="452">
        <f>VLOOKUP(A11,'SPUNTA ARRIVI '!A:A,1,FALSE)</f>
        <v>14010</v>
      </c>
      <c r="Q11" s="467">
        <f>VLOOKUP(A11,'SPUNTA ARRIVI '!A:D,4,FALSE)-N11</f>
        <v>0</v>
      </c>
      <c r="R11" s="452">
        <f>_xlfn.IFNA(VLOOKUP(A11,TEXILE1!A:F,6,FALSE),0)</f>
        <v>206</v>
      </c>
      <c r="T11" s="468"/>
      <c r="V11" s="468"/>
      <c r="X11" s="469"/>
    </row>
    <row r="12" spans="1:24" x14ac:dyDescent="0.2">
      <c r="A12" s="459">
        <v>4518</v>
      </c>
      <c r="B12" s="460" t="s">
        <v>44</v>
      </c>
      <c r="C12" s="461" t="s">
        <v>38</v>
      </c>
      <c r="D12" s="462">
        <f t="shared" si="0"/>
        <v>23</v>
      </c>
      <c r="E12" s="462">
        <f>_xlfn.IFNA(VLOOKUP(A12,OTHER1!H:I,2,FALSE),0)</f>
        <v>0</v>
      </c>
      <c r="F12" s="463">
        <f>_xlfn.IFNA(VLOOKUP(A12,TEXILE1!A:F,5,FALSE),0)</f>
        <v>2.3900001049041748</v>
      </c>
      <c r="G12" s="462">
        <f>_xlfn.IFNA(VLOOKUP(A12,TEXILE1!A:F,4,FALSE),0)</f>
        <v>292</v>
      </c>
      <c r="H12" s="462">
        <f>_xlfn.IFNA(VLOOKUP(A12,SHOES1!A:F,6,FALSE),0)</f>
        <v>5</v>
      </c>
      <c r="I12" s="463">
        <f>_xlfn.IFNA(VLOOKUP(A12,SHOES1!A:F,5,FALSE),0)</f>
        <v>0.54000002145767212</v>
      </c>
      <c r="J12" s="462">
        <f>_xlfn.IFNA(VLOOKUP(A12,SHOES1!A:F,4,FALSE),0)</f>
        <v>55</v>
      </c>
      <c r="K12" s="462">
        <f>_xlfn.IFNA(VLOOKUP(A12,ECOM1!A:F,6,FALSE),0)</f>
        <v>0</v>
      </c>
      <c r="L12" s="463">
        <f>_xlfn.IFNA(VLOOKUP(A12,ECOM1!A:F,5,FALSE),0)</f>
        <v>0</v>
      </c>
      <c r="M12" s="464">
        <f>_xlfn.IFNA(VLOOKUP(A12,ECOM1!A:F,4,FALSE),0)</f>
        <v>0</v>
      </c>
      <c r="N12" s="465">
        <f t="shared" si="1"/>
        <v>2.9300001263618469</v>
      </c>
      <c r="O12" s="466">
        <f t="shared" si="2"/>
        <v>347</v>
      </c>
      <c r="P12" s="452">
        <f>VLOOKUP(A12,'SPUNTA ARRIVI '!A:A,1,FALSE)</f>
        <v>4518</v>
      </c>
      <c r="Q12" s="467">
        <f>VLOOKUP(A12,'SPUNTA ARRIVI '!A:D,4,FALSE)-N12</f>
        <v>0</v>
      </c>
      <c r="R12" s="452">
        <f>_xlfn.IFNA(VLOOKUP(A12,TEXILE1!A:F,6,FALSE),0)</f>
        <v>23</v>
      </c>
      <c r="T12" s="468"/>
      <c r="V12" s="468"/>
      <c r="X12" s="469"/>
    </row>
    <row r="13" spans="1:24" x14ac:dyDescent="0.2">
      <c r="A13" s="459">
        <v>2435</v>
      </c>
      <c r="B13" s="460" t="s">
        <v>45</v>
      </c>
      <c r="C13" s="461" t="s">
        <v>35</v>
      </c>
      <c r="D13" s="462">
        <f t="shared" si="0"/>
        <v>26</v>
      </c>
      <c r="E13" s="462">
        <f>_xlfn.IFNA(VLOOKUP(A13,OTHER1!H:I,2,FALSE),0)</f>
        <v>0</v>
      </c>
      <c r="F13" s="463">
        <f>_xlfn.IFNA(VLOOKUP(A13,TEXILE1!A:F,5,FALSE),0)</f>
        <v>2.2400000095367432</v>
      </c>
      <c r="G13" s="462">
        <f>_xlfn.IFNA(VLOOKUP(A13,TEXILE1!A:F,4,FALSE),0)</f>
        <v>319</v>
      </c>
      <c r="H13" s="462">
        <f>_xlfn.IFNA(VLOOKUP(A13,SHOES1!A:F,6,FALSE),0)</f>
        <v>2</v>
      </c>
      <c r="I13" s="463">
        <f>_xlfn.IFNA(VLOOKUP(A13,SHOES1!A:F,5,FALSE),0)</f>
        <v>0.2199999988079071</v>
      </c>
      <c r="J13" s="462">
        <f>_xlfn.IFNA(VLOOKUP(A13,SHOES1!A:F,4,FALSE),0)</f>
        <v>22</v>
      </c>
      <c r="K13" s="462">
        <f>_xlfn.IFNA(VLOOKUP(A13,ECOM1!A:F,6,FALSE),0)</f>
        <v>1</v>
      </c>
      <c r="L13" s="463">
        <f>_xlfn.IFNA(VLOOKUP(A13,ECOM1!A:F,5,FALSE),0)</f>
        <v>0.10000000149011612</v>
      </c>
      <c r="M13" s="464">
        <f>_xlfn.IFNA(VLOOKUP(A13,ECOM1!A:F,4,FALSE),0)</f>
        <v>5</v>
      </c>
      <c r="N13" s="465">
        <f t="shared" si="1"/>
        <v>2.5600000098347664</v>
      </c>
      <c r="O13" s="466">
        <f t="shared" si="2"/>
        <v>346</v>
      </c>
      <c r="P13" s="452">
        <f>VLOOKUP(A13,'SPUNTA ARRIVI '!A:A,1,FALSE)</f>
        <v>2435</v>
      </c>
      <c r="Q13" s="467">
        <f>VLOOKUP(A13,'SPUNTA ARRIVI '!A:D,4,FALSE)-N13</f>
        <v>0</v>
      </c>
      <c r="R13" s="452">
        <f>_xlfn.IFNA(VLOOKUP(A13,TEXILE1!A:F,6,FALSE),0)</f>
        <v>26</v>
      </c>
      <c r="T13" s="468"/>
      <c r="V13" s="468"/>
      <c r="X13" s="469"/>
    </row>
    <row r="14" spans="1:24" x14ac:dyDescent="0.2">
      <c r="A14" s="459">
        <v>2414</v>
      </c>
      <c r="B14" s="460" t="s">
        <v>45</v>
      </c>
      <c r="C14" s="461" t="s">
        <v>38</v>
      </c>
      <c r="D14" s="462">
        <f t="shared" si="0"/>
        <v>27</v>
      </c>
      <c r="E14" s="462">
        <f>_xlfn.IFNA(VLOOKUP(A14,OTHER1!H:I,2,FALSE),0)</f>
        <v>0</v>
      </c>
      <c r="F14" s="463">
        <f>_xlfn.IFNA(VLOOKUP(A14,TEXILE1!A:F,5,FALSE),0)</f>
        <v>2.3299999237060547</v>
      </c>
      <c r="G14" s="462">
        <f>_xlfn.IFNA(VLOOKUP(A14,TEXILE1!A:F,4,FALSE),0)</f>
        <v>335</v>
      </c>
      <c r="H14" s="462">
        <f>_xlfn.IFNA(VLOOKUP(A14,SHOES1!A:F,6,FALSE),0)</f>
        <v>2</v>
      </c>
      <c r="I14" s="463">
        <f>_xlfn.IFNA(VLOOKUP(A14,SHOES1!A:F,5,FALSE),0)</f>
        <v>0.2199999988079071</v>
      </c>
      <c r="J14" s="462">
        <f>_xlfn.IFNA(VLOOKUP(A14,SHOES1!A:F,4,FALSE),0)</f>
        <v>15</v>
      </c>
      <c r="K14" s="462">
        <f>_xlfn.IFNA(VLOOKUP(A14,ECOM1!A:F,6,FALSE),0)</f>
        <v>1</v>
      </c>
      <c r="L14" s="463">
        <f>_xlfn.IFNA(VLOOKUP(A14,ECOM1!A:F,5,FALSE),0)</f>
        <v>0.10000000149011612</v>
      </c>
      <c r="M14" s="464">
        <f>_xlfn.IFNA(VLOOKUP(A14,ECOM1!A:F,4,FALSE),0)</f>
        <v>6</v>
      </c>
      <c r="N14" s="465">
        <f t="shared" si="1"/>
        <v>2.6499999240040779</v>
      </c>
      <c r="O14" s="466">
        <f t="shared" si="2"/>
        <v>356</v>
      </c>
      <c r="P14" s="452">
        <f>VLOOKUP(A14,'SPUNTA ARRIVI '!A:A,1,FALSE)</f>
        <v>2414</v>
      </c>
      <c r="Q14" s="467">
        <f>VLOOKUP(A14,'SPUNTA ARRIVI '!A:D,4,FALSE)-N14</f>
        <v>0</v>
      </c>
      <c r="R14" s="452">
        <f>_xlfn.IFNA(VLOOKUP(A14,TEXILE1!A:F,6,FALSE),0)</f>
        <v>27</v>
      </c>
      <c r="T14" s="468"/>
      <c r="V14" s="468"/>
      <c r="X14" s="469"/>
    </row>
    <row r="15" spans="1:24" x14ac:dyDescent="0.2">
      <c r="A15" s="459">
        <v>16269</v>
      </c>
      <c r="B15" s="460" t="s">
        <v>56</v>
      </c>
      <c r="C15" s="461" t="s">
        <v>40</v>
      </c>
      <c r="D15" s="462">
        <f t="shared" si="0"/>
        <v>93</v>
      </c>
      <c r="E15" s="462">
        <f>_xlfn.IFNA(VLOOKUP(A15,OTHER1!H:I,2,FALSE),0)</f>
        <v>0</v>
      </c>
      <c r="F15" s="463">
        <f>_xlfn.IFNA(VLOOKUP(A15,TEXILE1!A:F,5,FALSE),0)</f>
        <v>9.619999885559082</v>
      </c>
      <c r="G15" s="462">
        <f>_xlfn.IFNA(VLOOKUP(A15,TEXILE1!A:F,4,FALSE),0)</f>
        <v>1699</v>
      </c>
      <c r="H15" s="462">
        <f>_xlfn.IFNA(VLOOKUP(A15,SHOES1!A:F,6,FALSE),0)</f>
        <v>6</v>
      </c>
      <c r="I15" s="463">
        <f>_xlfn.IFNA(VLOOKUP(A15,SHOES1!A:F,5,FALSE),0)</f>
        <v>0.5899999737739563</v>
      </c>
      <c r="J15" s="462">
        <f>_xlfn.IFNA(VLOOKUP(A15,SHOES1!A:F,4,FALSE),0)</f>
        <v>65</v>
      </c>
      <c r="K15" s="462">
        <f>_xlfn.IFNA(VLOOKUP(A15,ECOM1!A:F,6,FALSE),0)</f>
        <v>0</v>
      </c>
      <c r="L15" s="463">
        <f>_xlfn.IFNA(VLOOKUP(A15,ECOM1!A:F,5,FALSE),0)</f>
        <v>0</v>
      </c>
      <c r="M15" s="464">
        <f>_xlfn.IFNA(VLOOKUP(A15,ECOM1!A:F,4,FALSE),0)</f>
        <v>0</v>
      </c>
      <c r="N15" s="465">
        <f t="shared" si="1"/>
        <v>10.209999859333038</v>
      </c>
      <c r="O15" s="466">
        <f t="shared" si="2"/>
        <v>1764</v>
      </c>
      <c r="P15" s="452">
        <f>VLOOKUP(A15,'SPUNTA ARRIVI '!A:A,1,FALSE)</f>
        <v>16269</v>
      </c>
      <c r="Q15" s="467">
        <f>VLOOKUP(A15,'SPUNTA ARRIVI '!A:D,4,FALSE)-N15</f>
        <v>0</v>
      </c>
      <c r="R15" s="452">
        <f>_xlfn.IFNA(VLOOKUP(A15,TEXILE1!A:F,6,FALSE),0)</f>
        <v>93</v>
      </c>
      <c r="T15" s="468"/>
      <c r="V15" s="468"/>
      <c r="X15" s="469"/>
    </row>
    <row r="16" spans="1:24" x14ac:dyDescent="0.2">
      <c r="A16" s="459">
        <v>16060</v>
      </c>
      <c r="B16" s="460" t="s">
        <v>47</v>
      </c>
      <c r="C16" s="461" t="s">
        <v>40</v>
      </c>
      <c r="D16" s="462">
        <f t="shared" si="0"/>
        <v>145</v>
      </c>
      <c r="E16" s="462">
        <f>_xlfn.IFNA(VLOOKUP(A16,OTHER1!H:I,2,FALSE),0)</f>
        <v>0</v>
      </c>
      <c r="F16" s="463">
        <f>_xlfn.IFNA(VLOOKUP(A16,TEXILE1!A:F,5,FALSE),0)</f>
        <v>13.109999656677246</v>
      </c>
      <c r="G16" s="462">
        <f>_xlfn.IFNA(VLOOKUP(A16,TEXILE1!A:F,4,FALSE),0)</f>
        <v>2141</v>
      </c>
      <c r="H16" s="462">
        <f>_xlfn.IFNA(VLOOKUP(A16,SHOES1!A:F,6,FALSE),0)</f>
        <v>5</v>
      </c>
      <c r="I16" s="463">
        <f>_xlfn.IFNA(VLOOKUP(A16,SHOES1!A:F,5,FALSE),0)</f>
        <v>0.54000002145767212</v>
      </c>
      <c r="J16" s="462">
        <f>_xlfn.IFNA(VLOOKUP(A16,SHOES1!A:F,4,FALSE),0)</f>
        <v>46</v>
      </c>
      <c r="K16" s="462">
        <f>_xlfn.IFNA(VLOOKUP(A16,ECOM1!A:F,6,FALSE),0)</f>
        <v>1</v>
      </c>
      <c r="L16" s="463">
        <f>_xlfn.IFNA(VLOOKUP(A16,ECOM1!A:F,5,FALSE),0)</f>
        <v>9.0000003576278687E-2</v>
      </c>
      <c r="M16" s="464">
        <f>_xlfn.IFNA(VLOOKUP(A16,ECOM1!A:F,4,FALSE),0)</f>
        <v>9</v>
      </c>
      <c r="N16" s="465">
        <f t="shared" si="1"/>
        <v>13.739999681711197</v>
      </c>
      <c r="O16" s="466">
        <f t="shared" si="2"/>
        <v>2196</v>
      </c>
      <c r="P16" s="452">
        <f>VLOOKUP(A16,'SPUNTA ARRIVI '!A:A,1,FALSE)</f>
        <v>16060</v>
      </c>
      <c r="Q16" s="467">
        <f>VLOOKUP(A16,'SPUNTA ARRIVI '!A:D,4,FALSE)-N16</f>
        <v>0</v>
      </c>
      <c r="R16" s="452">
        <f>_xlfn.IFNA(VLOOKUP(A16,TEXILE1!A:F,6,FALSE),0)</f>
        <v>145</v>
      </c>
      <c r="T16" s="468"/>
      <c r="V16" s="468"/>
      <c r="X16" s="469"/>
    </row>
    <row r="17" spans="1:24" x14ac:dyDescent="0.2">
      <c r="A17" s="459">
        <v>12152</v>
      </c>
      <c r="B17" s="460" t="s">
        <v>47</v>
      </c>
      <c r="C17" s="461" t="s">
        <v>32</v>
      </c>
      <c r="D17" s="462">
        <f t="shared" si="0"/>
        <v>63</v>
      </c>
      <c r="E17" s="462">
        <f>_xlfn.IFNA(VLOOKUP(A17,OTHER1!H:I,2,FALSE),0)</f>
        <v>0</v>
      </c>
      <c r="F17" s="463">
        <f>_xlfn.IFNA(VLOOKUP(A17,TEXILE1!A:F,5,FALSE),0)</f>
        <v>5.6500000953674316</v>
      </c>
      <c r="G17" s="462">
        <f>_xlfn.IFNA(VLOOKUP(A17,TEXILE1!A:F,4,FALSE),0)</f>
        <v>925</v>
      </c>
      <c r="H17" s="462">
        <f>_xlfn.IFNA(VLOOKUP(A17,SHOES1!A:F,6,FALSE),0)</f>
        <v>3</v>
      </c>
      <c r="I17" s="463">
        <f>_xlfn.IFNA(VLOOKUP(A17,SHOES1!A:F,5,FALSE),0)</f>
        <v>0.18999999761581421</v>
      </c>
      <c r="J17" s="462">
        <f>_xlfn.IFNA(VLOOKUP(A17,SHOES1!A:F,4,FALSE),0)</f>
        <v>19</v>
      </c>
      <c r="K17" s="462">
        <f>_xlfn.IFNA(VLOOKUP(A17,ECOM1!A:F,6,FALSE),0)</f>
        <v>1</v>
      </c>
      <c r="L17" s="463">
        <f>_xlfn.IFNA(VLOOKUP(A17,ECOM1!A:F,5,FALSE),0)</f>
        <v>9.0000003576278687E-2</v>
      </c>
      <c r="M17" s="464">
        <f>_xlfn.IFNA(VLOOKUP(A17,ECOM1!A:F,4,FALSE),0)</f>
        <v>7</v>
      </c>
      <c r="N17" s="465">
        <f t="shared" si="1"/>
        <v>5.9300000965595245</v>
      </c>
      <c r="O17" s="466">
        <f t="shared" si="2"/>
        <v>951</v>
      </c>
      <c r="P17" s="452">
        <f>VLOOKUP(A17,'SPUNTA ARRIVI '!A:A,1,FALSE)</f>
        <v>12152</v>
      </c>
      <c r="Q17" s="467">
        <f>VLOOKUP(A17,'SPUNTA ARRIVI '!A:D,4,FALSE)-N17</f>
        <v>0</v>
      </c>
      <c r="R17" s="452">
        <f>_xlfn.IFNA(VLOOKUP(A17,TEXILE1!A:F,6,FALSE),0)</f>
        <v>63</v>
      </c>
      <c r="T17" s="468"/>
      <c r="V17" s="468"/>
      <c r="X17" s="469"/>
    </row>
    <row r="18" spans="1:24" x14ac:dyDescent="0.2">
      <c r="A18" s="459">
        <v>5306</v>
      </c>
      <c r="B18" s="460" t="s">
        <v>47</v>
      </c>
      <c r="C18" s="461" t="s">
        <v>34</v>
      </c>
      <c r="D18" s="462">
        <f t="shared" si="0"/>
        <v>139</v>
      </c>
      <c r="E18" s="462">
        <f>_xlfn.IFNA(VLOOKUP(A18,OTHER1!H:I,2,FALSE),0)</f>
        <v>0</v>
      </c>
      <c r="F18" s="463">
        <f>_xlfn.IFNA(VLOOKUP(A18,TEXILE1!A:F,5,FALSE),0)</f>
        <v>12.399999618530273</v>
      </c>
      <c r="G18" s="462">
        <f>_xlfn.IFNA(VLOOKUP(A18,TEXILE1!A:F,4,FALSE),0)</f>
        <v>2030</v>
      </c>
      <c r="H18" s="462">
        <f>_xlfn.IFNA(VLOOKUP(A18,SHOES1!A:F,6,FALSE),0)</f>
        <v>7</v>
      </c>
      <c r="I18" s="463">
        <f>_xlfn.IFNA(VLOOKUP(A18,SHOES1!A:F,5,FALSE),0)</f>
        <v>0.49000000953674316</v>
      </c>
      <c r="J18" s="462">
        <f>_xlfn.IFNA(VLOOKUP(A18,SHOES1!A:F,4,FALSE),0)</f>
        <v>43</v>
      </c>
      <c r="K18" s="462">
        <f>_xlfn.IFNA(VLOOKUP(A18,ECOM1!A:F,6,FALSE),0)</f>
        <v>1</v>
      </c>
      <c r="L18" s="463">
        <f>_xlfn.IFNA(VLOOKUP(A18,ECOM1!A:F,5,FALSE),0)</f>
        <v>9.0000003576278687E-2</v>
      </c>
      <c r="M18" s="464">
        <f>_xlfn.IFNA(VLOOKUP(A18,ECOM1!A:F,4,FALSE),0)</f>
        <v>6</v>
      </c>
      <c r="N18" s="465">
        <f t="shared" si="1"/>
        <v>12.979999631643295</v>
      </c>
      <c r="O18" s="466">
        <f t="shared" si="2"/>
        <v>2079</v>
      </c>
      <c r="P18" s="452">
        <f>VLOOKUP(A18,'SPUNTA ARRIVI '!A:A,1,FALSE)</f>
        <v>5306</v>
      </c>
      <c r="Q18" s="467">
        <f>VLOOKUP(A18,'SPUNTA ARRIVI '!A:D,4,FALSE)-N18</f>
        <v>0</v>
      </c>
      <c r="R18" s="452">
        <f>_xlfn.IFNA(VLOOKUP(A18,TEXILE1!A:F,6,FALSE),0)</f>
        <v>139</v>
      </c>
      <c r="T18" s="468"/>
      <c r="V18" s="468"/>
      <c r="X18" s="469"/>
    </row>
    <row r="19" spans="1:24" x14ac:dyDescent="0.2">
      <c r="A19" s="470">
        <v>5367</v>
      </c>
      <c r="B19" s="460" t="s">
        <v>47</v>
      </c>
      <c r="C19" s="461" t="s">
        <v>35</v>
      </c>
      <c r="D19" s="462">
        <f t="shared" si="0"/>
        <v>241</v>
      </c>
      <c r="E19" s="462">
        <f>_xlfn.IFNA(VLOOKUP(A19,OTHER1!H:I,2,FALSE),0)</f>
        <v>0</v>
      </c>
      <c r="F19" s="463">
        <f>_xlfn.IFNA(VLOOKUP(A19,TEXILE1!A:F,5,FALSE),0)</f>
        <v>21.170000076293945</v>
      </c>
      <c r="G19" s="462">
        <f>_xlfn.IFNA(VLOOKUP(A19,TEXILE1!A:F,4,FALSE),0)</f>
        <v>3597</v>
      </c>
      <c r="H19" s="462">
        <f>_xlfn.IFNA(VLOOKUP(A19,SHOES1!A:F,6,FALSE),0)</f>
        <v>17</v>
      </c>
      <c r="I19" s="463">
        <f>_xlfn.IFNA(VLOOKUP(A19,SHOES1!A:F,5,FALSE),0)</f>
        <v>1.3500000238418579</v>
      </c>
      <c r="J19" s="462">
        <f>_xlfn.IFNA(VLOOKUP(A19,SHOES1!A:F,4,FALSE),0)</f>
        <v>118</v>
      </c>
      <c r="K19" s="462">
        <f>_xlfn.IFNA(VLOOKUP(A19,ECOM1!A:F,6,FALSE),0)</f>
        <v>1</v>
      </c>
      <c r="L19" s="463">
        <f>_xlfn.IFNA(VLOOKUP(A19,ECOM1!A:F,5,FALSE),0)</f>
        <v>9.0000003576278687E-2</v>
      </c>
      <c r="M19" s="464">
        <f>_xlfn.IFNA(VLOOKUP(A19,ECOM1!A:F,4,FALSE),0)</f>
        <v>3</v>
      </c>
      <c r="N19" s="465">
        <f t="shared" si="1"/>
        <v>22.610000103712082</v>
      </c>
      <c r="O19" s="466">
        <f t="shared" si="2"/>
        <v>3718</v>
      </c>
      <c r="P19" s="452">
        <f>VLOOKUP(A19,'SPUNTA ARRIVI '!A:A,1,FALSE)</f>
        <v>5367</v>
      </c>
      <c r="Q19" s="467">
        <f>VLOOKUP(A19,'SPUNTA ARRIVI '!A:D,4,FALSE)-N19</f>
        <v>-6.7830000311136249</v>
      </c>
      <c r="R19" s="452">
        <f>_xlfn.IFNA(VLOOKUP(A19,TEXILE1!A:F,6,FALSE),0)</f>
        <v>241</v>
      </c>
      <c r="T19" s="468"/>
      <c r="V19" s="468"/>
      <c r="X19" s="469"/>
    </row>
    <row r="20" spans="1:24" x14ac:dyDescent="0.2">
      <c r="A20" s="459">
        <v>10504</v>
      </c>
      <c r="B20" s="460" t="s">
        <v>47</v>
      </c>
      <c r="C20" s="461" t="s">
        <v>36</v>
      </c>
      <c r="D20" s="462">
        <f t="shared" si="0"/>
        <v>79</v>
      </c>
      <c r="E20" s="462">
        <f>_xlfn.IFNA(VLOOKUP(A20,OTHER1!H:I,2,FALSE),0)</f>
        <v>0</v>
      </c>
      <c r="F20" s="463">
        <f>_xlfn.IFNA(VLOOKUP(A20,TEXILE1!A:F,5,FALSE),0)</f>
        <v>6.9499998092651367</v>
      </c>
      <c r="G20" s="462">
        <f>_xlfn.IFNA(VLOOKUP(A20,TEXILE1!A:F,4,FALSE),0)</f>
        <v>1160</v>
      </c>
      <c r="H20" s="462">
        <f>_xlfn.IFNA(VLOOKUP(A20,SHOES1!A:F,6,FALSE),0)</f>
        <v>3</v>
      </c>
      <c r="I20" s="463">
        <f>_xlfn.IFNA(VLOOKUP(A20,SHOES1!A:F,5,FALSE),0)</f>
        <v>0.23999999463558197</v>
      </c>
      <c r="J20" s="462">
        <f>_xlfn.IFNA(VLOOKUP(A20,SHOES1!A:F,4,FALSE),0)</f>
        <v>28</v>
      </c>
      <c r="K20" s="462">
        <f>_xlfn.IFNA(VLOOKUP(A20,ECOM1!A:F,6,FALSE),0)</f>
        <v>3</v>
      </c>
      <c r="L20" s="463">
        <f>_xlfn.IFNA(VLOOKUP(A20,ECOM1!A:F,5,FALSE),0)</f>
        <v>0.25999999046325684</v>
      </c>
      <c r="M20" s="464">
        <f>_xlfn.IFNA(VLOOKUP(A20,ECOM1!A:F,4,FALSE),0)</f>
        <v>21</v>
      </c>
      <c r="N20" s="465">
        <f t="shared" si="1"/>
        <v>7.4499997943639755</v>
      </c>
      <c r="O20" s="466">
        <f t="shared" si="2"/>
        <v>1209</v>
      </c>
      <c r="P20" s="452">
        <f>VLOOKUP(A20,'SPUNTA ARRIVI '!A:A,1,FALSE)</f>
        <v>10504</v>
      </c>
      <c r="Q20" s="467">
        <f>VLOOKUP(A20,'SPUNTA ARRIVI '!A:D,4,FALSE)-N20</f>
        <v>0</v>
      </c>
      <c r="R20" s="452">
        <f>_xlfn.IFNA(VLOOKUP(A20,TEXILE1!A:F,6,FALSE),0)</f>
        <v>79</v>
      </c>
      <c r="T20" s="468"/>
      <c r="V20" s="468"/>
      <c r="X20" s="469"/>
    </row>
    <row r="21" spans="1:24" x14ac:dyDescent="0.2">
      <c r="A21" s="459">
        <v>5349</v>
      </c>
      <c r="B21" s="472" t="s">
        <v>47</v>
      </c>
      <c r="C21" s="461" t="s">
        <v>48</v>
      </c>
      <c r="D21" s="462">
        <f t="shared" si="0"/>
        <v>246</v>
      </c>
      <c r="E21" s="462">
        <f>_xlfn.IFNA(VLOOKUP(A21,OTHER1!H:I,2,FALSE),0)</f>
        <v>0</v>
      </c>
      <c r="F21" s="463">
        <f>_xlfn.IFNA(VLOOKUP(A21,TEXILE1!A:F,5,FALSE),0)</f>
        <v>20.680000305175781</v>
      </c>
      <c r="G21" s="462">
        <f>_xlfn.IFNA(VLOOKUP(A21,TEXILE1!A:F,4,FALSE),0)</f>
        <v>3436</v>
      </c>
      <c r="H21" s="462">
        <f>_xlfn.IFNA(VLOOKUP(A21,SHOES1!A:F,6,FALSE),0)</f>
        <v>13</v>
      </c>
      <c r="I21" s="463">
        <f>_xlfn.IFNA(VLOOKUP(A21,SHOES1!A:F,5,FALSE),0)</f>
        <v>1</v>
      </c>
      <c r="J21" s="462">
        <f>_xlfn.IFNA(VLOOKUP(A21,SHOES1!A:F,4,FALSE),0)</f>
        <v>99</v>
      </c>
      <c r="K21" s="462">
        <f>_xlfn.IFNA(VLOOKUP(A21,ECOM1!A:F,6,FALSE),0)</f>
        <v>0</v>
      </c>
      <c r="L21" s="463">
        <f>_xlfn.IFNA(VLOOKUP(A21,ECOM1!A:F,5,FALSE),0)</f>
        <v>0</v>
      </c>
      <c r="M21" s="464">
        <f>_xlfn.IFNA(VLOOKUP(A21,ECOM1!A:F,4,FALSE),0)</f>
        <v>0</v>
      </c>
      <c r="N21" s="465">
        <f t="shared" si="1"/>
        <v>21.680000305175781</v>
      </c>
      <c r="O21" s="466">
        <f t="shared" si="2"/>
        <v>3535</v>
      </c>
      <c r="P21" s="452">
        <f>VLOOKUP(A21,'SPUNTA ARRIVI '!A:A,1,FALSE)</f>
        <v>5349</v>
      </c>
      <c r="Q21" s="467">
        <f>VLOOKUP(A21,'SPUNTA ARRIVI '!A:D,4,FALSE)-N21</f>
        <v>-6.5040000915527347</v>
      </c>
      <c r="R21" s="452">
        <f>_xlfn.IFNA(VLOOKUP(A21,TEXILE1!A:F,6,FALSE),0)</f>
        <v>246</v>
      </c>
      <c r="T21" s="468"/>
      <c r="V21" s="468"/>
      <c r="X21" s="469"/>
    </row>
    <row r="22" spans="1:24" x14ac:dyDescent="0.2">
      <c r="A22" s="459">
        <v>6525</v>
      </c>
      <c r="B22" s="460" t="s">
        <v>47</v>
      </c>
      <c r="C22" s="461" t="s">
        <v>51</v>
      </c>
      <c r="D22" s="462">
        <f t="shared" si="0"/>
        <v>155</v>
      </c>
      <c r="E22" s="462">
        <f>_xlfn.IFNA(VLOOKUP(A22,OTHER1!H:I,2,FALSE),0)</f>
        <v>0</v>
      </c>
      <c r="F22" s="463">
        <f>_xlfn.IFNA(VLOOKUP(A22,TEXILE1!A:F,5,FALSE),0)</f>
        <v>13.510000228881836</v>
      </c>
      <c r="G22" s="462">
        <f>_xlfn.IFNA(VLOOKUP(A22,TEXILE1!A:F,4,FALSE),0)</f>
        <v>2126</v>
      </c>
      <c r="H22" s="462">
        <f>_xlfn.IFNA(VLOOKUP(A22,SHOES1!A:F,6,FALSE),0)</f>
        <v>12</v>
      </c>
      <c r="I22" s="463">
        <f>_xlfn.IFNA(VLOOKUP(A22,SHOES1!A:F,5,FALSE),0)</f>
        <v>0.77999997138977051</v>
      </c>
      <c r="J22" s="462">
        <f>_xlfn.IFNA(VLOOKUP(A22,SHOES1!A:F,4,FALSE),0)</f>
        <v>80</v>
      </c>
      <c r="K22" s="462">
        <f>_xlfn.IFNA(VLOOKUP(A22,ECOM1!A:F,6,FALSE),0)</f>
        <v>1</v>
      </c>
      <c r="L22" s="463">
        <f>_xlfn.IFNA(VLOOKUP(A22,ECOM1!A:F,5,FALSE),0)</f>
        <v>9.0000003576278687E-2</v>
      </c>
      <c r="M22" s="464">
        <f>_xlfn.IFNA(VLOOKUP(A22,ECOM1!A:F,4,FALSE),0)</f>
        <v>8</v>
      </c>
      <c r="N22" s="465">
        <f t="shared" si="1"/>
        <v>14.380000203847885</v>
      </c>
      <c r="O22" s="466">
        <f t="shared" si="2"/>
        <v>2214</v>
      </c>
      <c r="P22" s="452">
        <f>VLOOKUP(A22,'SPUNTA ARRIVI '!A:A,1,FALSE)</f>
        <v>6525</v>
      </c>
      <c r="Q22" s="467">
        <f>VLOOKUP(A22,'SPUNTA ARRIVI '!A:D,4,FALSE)-N22</f>
        <v>-4.314000061154367</v>
      </c>
      <c r="R22" s="452">
        <f>_xlfn.IFNA(VLOOKUP(A22,TEXILE1!A:F,6,FALSE),0)</f>
        <v>155</v>
      </c>
      <c r="T22" s="468"/>
      <c r="V22" s="468"/>
      <c r="X22" s="469"/>
    </row>
    <row r="23" spans="1:24" x14ac:dyDescent="0.2">
      <c r="A23" s="459">
        <v>11629</v>
      </c>
      <c r="B23" s="460" t="s">
        <v>47</v>
      </c>
      <c r="C23" s="461" t="s">
        <v>55</v>
      </c>
      <c r="D23" s="462">
        <f t="shared" si="0"/>
        <v>71</v>
      </c>
      <c r="E23" s="462">
        <f>_xlfn.IFNA(VLOOKUP(A23,OTHER1!H:I,2,FALSE),0)</f>
        <v>0</v>
      </c>
      <c r="F23" s="463">
        <f>_xlfn.IFNA(VLOOKUP(A23,TEXILE1!A:F,5,FALSE),0)</f>
        <v>5.9800000190734863</v>
      </c>
      <c r="G23" s="462">
        <f>_xlfn.IFNA(VLOOKUP(A23,TEXILE1!A:F,4,FALSE),0)</f>
        <v>950</v>
      </c>
      <c r="H23" s="462">
        <f>_xlfn.IFNA(VLOOKUP(A23,SHOES1!A:F,6,FALSE),0)</f>
        <v>4</v>
      </c>
      <c r="I23" s="463">
        <f>_xlfn.IFNA(VLOOKUP(A23,SHOES1!A:F,5,FALSE),0)</f>
        <v>0.30000001192092896</v>
      </c>
      <c r="J23" s="462">
        <f>_xlfn.IFNA(VLOOKUP(A23,SHOES1!A:F,4,FALSE),0)</f>
        <v>31</v>
      </c>
      <c r="K23" s="462">
        <f>_xlfn.IFNA(VLOOKUP(A23,ECOM1!A:F,6,FALSE),0)</f>
        <v>2</v>
      </c>
      <c r="L23" s="463">
        <f>_xlfn.IFNA(VLOOKUP(A23,ECOM1!A:F,5,FALSE),0)</f>
        <v>0.18000000715255737</v>
      </c>
      <c r="M23" s="464">
        <f>_xlfn.IFNA(VLOOKUP(A23,ECOM1!A:F,4,FALSE),0)</f>
        <v>12</v>
      </c>
      <c r="N23" s="465">
        <f t="shared" si="1"/>
        <v>6.4600000381469727</v>
      </c>
      <c r="O23" s="466">
        <f t="shared" si="2"/>
        <v>993</v>
      </c>
      <c r="P23" s="452">
        <f>VLOOKUP(A23,'SPUNTA ARRIVI '!A:A,1,FALSE)</f>
        <v>11629</v>
      </c>
      <c r="Q23" s="467">
        <f>VLOOKUP(A23,'SPUNTA ARRIVI '!A:D,4,FALSE)-N23</f>
        <v>0</v>
      </c>
      <c r="R23" s="452">
        <f>_xlfn.IFNA(VLOOKUP(A23,TEXILE1!A:F,6,FALSE),0)</f>
        <v>71</v>
      </c>
      <c r="T23" s="468"/>
      <c r="V23" s="468"/>
      <c r="X23" s="469"/>
    </row>
    <row r="24" spans="1:24" x14ac:dyDescent="0.2">
      <c r="A24" s="459">
        <v>7593</v>
      </c>
      <c r="B24" s="460" t="s">
        <v>56</v>
      </c>
      <c r="C24" s="461" t="s">
        <v>57</v>
      </c>
      <c r="D24" s="462">
        <f t="shared" si="0"/>
        <v>93</v>
      </c>
      <c r="E24" s="462">
        <f>_xlfn.IFNA(VLOOKUP(A24,OTHER1!H:I,2,FALSE),0)</f>
        <v>0</v>
      </c>
      <c r="F24" s="463">
        <f>_xlfn.IFNA(VLOOKUP(A24,TEXILE1!A:F,5,FALSE),0)</f>
        <v>9.3999996185302734</v>
      </c>
      <c r="G24" s="462">
        <f>_xlfn.IFNA(VLOOKUP(A24,TEXILE1!A:F,4,FALSE),0)</f>
        <v>1721</v>
      </c>
      <c r="H24" s="462">
        <f>_xlfn.IFNA(VLOOKUP(A24,SHOES1!A:F,6,FALSE),0)</f>
        <v>4</v>
      </c>
      <c r="I24" s="463">
        <f>_xlfn.IFNA(VLOOKUP(A24,SHOES1!A:F,5,FALSE),0)</f>
        <v>0.43000000715255737</v>
      </c>
      <c r="J24" s="462">
        <f>_xlfn.IFNA(VLOOKUP(A24,SHOES1!A:F,4,FALSE),0)</f>
        <v>56</v>
      </c>
      <c r="K24" s="462">
        <f>_xlfn.IFNA(VLOOKUP(A24,ECOM1!A:F,6,FALSE),0)</f>
        <v>0</v>
      </c>
      <c r="L24" s="463">
        <f>_xlfn.IFNA(VLOOKUP(A24,ECOM1!A:F,5,FALSE),0)</f>
        <v>0</v>
      </c>
      <c r="M24" s="464">
        <f>_xlfn.IFNA(VLOOKUP(A24,ECOM1!A:F,4,FALSE),0)</f>
        <v>0</v>
      </c>
      <c r="N24" s="465">
        <f t="shared" si="1"/>
        <v>9.8299996256828308</v>
      </c>
      <c r="O24" s="466">
        <f t="shared" si="2"/>
        <v>1777</v>
      </c>
      <c r="P24" s="452">
        <f>VLOOKUP(A24,'SPUNTA ARRIVI '!A:A,1,FALSE)</f>
        <v>7593</v>
      </c>
      <c r="Q24" s="467">
        <f>VLOOKUP(A24,'SPUNTA ARRIVI '!A:D,4,FALSE)-N24</f>
        <v>0</v>
      </c>
      <c r="R24" s="452">
        <f>_xlfn.IFNA(VLOOKUP(A24,TEXILE1!A:F,6,FALSE),0)</f>
        <v>93</v>
      </c>
      <c r="T24" s="468"/>
      <c r="V24" s="468"/>
      <c r="X24" s="469"/>
    </row>
    <row r="25" spans="1:24" x14ac:dyDescent="0.2">
      <c r="A25" s="459">
        <v>2898</v>
      </c>
      <c r="B25" s="460" t="s">
        <v>56</v>
      </c>
      <c r="C25" s="461" t="s">
        <v>34</v>
      </c>
      <c r="D25" s="462">
        <f t="shared" si="0"/>
        <v>126</v>
      </c>
      <c r="E25" s="462">
        <f>_xlfn.IFNA(VLOOKUP(A25,OTHER1!H:I,2,FALSE),0)</f>
        <v>0</v>
      </c>
      <c r="F25" s="463">
        <f>_xlfn.IFNA(VLOOKUP(A25,TEXILE1!A:F,5,FALSE),0)</f>
        <v>13.130000114440918</v>
      </c>
      <c r="G25" s="462">
        <f>_xlfn.IFNA(VLOOKUP(A25,TEXILE1!A:F,4,FALSE),0)</f>
        <v>2334</v>
      </c>
      <c r="H25" s="462">
        <f>_xlfn.IFNA(VLOOKUP(A25,SHOES1!A:F,6,FALSE),0)</f>
        <v>4</v>
      </c>
      <c r="I25" s="463">
        <f>_xlfn.IFNA(VLOOKUP(A25,SHOES1!A:F,5,FALSE),0)</f>
        <v>0.43000000715255737</v>
      </c>
      <c r="J25" s="462">
        <f>_xlfn.IFNA(VLOOKUP(A25,SHOES1!A:F,4,FALSE),0)</f>
        <v>45</v>
      </c>
      <c r="K25" s="462">
        <f>_xlfn.IFNA(VLOOKUP(A25,ECOM1!A:F,6,FALSE),0)</f>
        <v>0</v>
      </c>
      <c r="L25" s="463">
        <f>_xlfn.IFNA(VLOOKUP(A25,ECOM1!A:F,5,FALSE),0)</f>
        <v>0</v>
      </c>
      <c r="M25" s="464">
        <f>_xlfn.IFNA(VLOOKUP(A25,ECOM1!A:F,4,FALSE),0)</f>
        <v>0</v>
      </c>
      <c r="N25" s="465">
        <f t="shared" si="1"/>
        <v>13.560000121593475</v>
      </c>
      <c r="O25" s="466">
        <f t="shared" si="2"/>
        <v>2379</v>
      </c>
      <c r="P25" s="452">
        <f>VLOOKUP(A25,'SPUNTA ARRIVI '!A:A,1,FALSE)</f>
        <v>2898</v>
      </c>
      <c r="Q25" s="467">
        <f>VLOOKUP(A25,'SPUNTA ARRIVI '!A:D,4,FALSE)-N25</f>
        <v>0</v>
      </c>
      <c r="R25" s="452">
        <f>_xlfn.IFNA(VLOOKUP(A25,TEXILE1!A:F,6,FALSE),0)</f>
        <v>126</v>
      </c>
      <c r="T25" s="468"/>
      <c r="V25" s="468"/>
      <c r="X25" s="469"/>
    </row>
    <row r="26" spans="1:24" x14ac:dyDescent="0.2">
      <c r="A26" s="459">
        <v>12093</v>
      </c>
      <c r="B26" s="460" t="s">
        <v>56</v>
      </c>
      <c r="C26" s="461" t="s">
        <v>36</v>
      </c>
      <c r="D26" s="462">
        <f t="shared" si="0"/>
        <v>59</v>
      </c>
      <c r="E26" s="462">
        <f>_xlfn.IFNA(VLOOKUP(A26,OTHER1!H:I,2,FALSE),0)</f>
        <v>0</v>
      </c>
      <c r="F26" s="463">
        <f>_xlfn.IFNA(VLOOKUP(A26,TEXILE1!A:F,5,FALSE),0)</f>
        <v>6.1399998664855957</v>
      </c>
      <c r="G26" s="462">
        <f>_xlfn.IFNA(VLOOKUP(A26,TEXILE1!A:F,4,FALSE),0)</f>
        <v>1154</v>
      </c>
      <c r="H26" s="462">
        <f>_xlfn.IFNA(VLOOKUP(A26,SHOES1!A:F,6,FALSE),0)</f>
        <v>4</v>
      </c>
      <c r="I26" s="463">
        <f>_xlfn.IFNA(VLOOKUP(A26,SHOES1!A:F,5,FALSE),0)</f>
        <v>0.31999999284744263</v>
      </c>
      <c r="J26" s="462">
        <f>_xlfn.IFNA(VLOOKUP(A26,SHOES1!A:F,4,FALSE),0)</f>
        <v>30</v>
      </c>
      <c r="K26" s="462">
        <f>_xlfn.IFNA(VLOOKUP(A26,ECOM1!A:F,6,FALSE),0)</f>
        <v>0</v>
      </c>
      <c r="L26" s="463">
        <f>_xlfn.IFNA(VLOOKUP(A26,ECOM1!A:F,5,FALSE),0)</f>
        <v>0</v>
      </c>
      <c r="M26" s="464">
        <f>_xlfn.IFNA(VLOOKUP(A26,ECOM1!A:F,4,FALSE),0)</f>
        <v>0</v>
      </c>
      <c r="N26" s="465">
        <f t="shared" si="1"/>
        <v>6.4599998593330383</v>
      </c>
      <c r="O26" s="466">
        <f t="shared" si="2"/>
        <v>1184</v>
      </c>
      <c r="P26" s="452">
        <f>VLOOKUP(A26,'SPUNTA ARRIVI '!A:A,1,FALSE)</f>
        <v>12093</v>
      </c>
      <c r="Q26" s="467">
        <f>VLOOKUP(A26,'SPUNTA ARRIVI '!A:D,4,FALSE)-N26</f>
        <v>0</v>
      </c>
      <c r="R26" s="452">
        <f>_xlfn.IFNA(VLOOKUP(A26,TEXILE1!A:F,6,FALSE),0)</f>
        <v>59</v>
      </c>
      <c r="T26" s="468"/>
      <c r="V26" s="468"/>
      <c r="X26" s="469"/>
    </row>
    <row r="27" spans="1:24" x14ac:dyDescent="0.2">
      <c r="A27" s="459">
        <v>2917</v>
      </c>
      <c r="B27" s="460" t="s">
        <v>56</v>
      </c>
      <c r="C27" s="461" t="s">
        <v>38</v>
      </c>
      <c r="D27" s="462">
        <f t="shared" si="0"/>
        <v>119</v>
      </c>
      <c r="E27" s="462">
        <f>_xlfn.IFNA(VLOOKUP(A27,OTHER1!H:I,2,FALSE),0)</f>
        <v>0</v>
      </c>
      <c r="F27" s="463">
        <f>_xlfn.IFNA(VLOOKUP(A27,TEXILE1!A:F,5,FALSE),0)</f>
        <v>12.739999771118164</v>
      </c>
      <c r="G27" s="462">
        <f>_xlfn.IFNA(VLOOKUP(A27,TEXILE1!A:F,4,FALSE),0)</f>
        <v>2315</v>
      </c>
      <c r="H27" s="462">
        <f>_xlfn.IFNA(VLOOKUP(A27,SHOES1!A:F,6,FALSE),0)</f>
        <v>6</v>
      </c>
      <c r="I27" s="463">
        <f>_xlfn.IFNA(VLOOKUP(A27,SHOES1!A:F,5,FALSE),0)</f>
        <v>0.55000001192092896</v>
      </c>
      <c r="J27" s="462">
        <f>_xlfn.IFNA(VLOOKUP(A27,SHOES1!A:F,4,FALSE),0)</f>
        <v>54</v>
      </c>
      <c r="K27" s="462">
        <f>_xlfn.IFNA(VLOOKUP(A27,ECOM1!A:F,6,FALSE),0)</f>
        <v>0</v>
      </c>
      <c r="L27" s="463">
        <f>_xlfn.IFNA(VLOOKUP(A27,ECOM1!A:F,5,FALSE),0)</f>
        <v>0</v>
      </c>
      <c r="M27" s="464">
        <f>_xlfn.IFNA(VLOOKUP(A27,ECOM1!A:F,4,FALSE),0)</f>
        <v>0</v>
      </c>
      <c r="N27" s="465">
        <f t="shared" si="1"/>
        <v>13.289999783039093</v>
      </c>
      <c r="O27" s="466">
        <f t="shared" si="2"/>
        <v>2369</v>
      </c>
      <c r="P27" s="452">
        <f>VLOOKUP(A27,'SPUNTA ARRIVI '!A:A,1,FALSE)</f>
        <v>2917</v>
      </c>
      <c r="Q27" s="467">
        <f>VLOOKUP(A27,'SPUNTA ARRIVI '!A:D,4,FALSE)-N27</f>
        <v>0</v>
      </c>
      <c r="R27" s="452">
        <f>_xlfn.IFNA(VLOOKUP(A27,TEXILE1!A:F,6,FALSE),0)</f>
        <v>119</v>
      </c>
      <c r="T27" s="468"/>
      <c r="V27" s="468"/>
      <c r="X27" s="469"/>
    </row>
    <row r="28" spans="1:24" x14ac:dyDescent="0.2">
      <c r="A28" s="459">
        <v>10265</v>
      </c>
      <c r="B28" s="460" t="s">
        <v>56</v>
      </c>
      <c r="C28" s="461" t="s">
        <v>58</v>
      </c>
      <c r="D28" s="462">
        <f t="shared" si="0"/>
        <v>48</v>
      </c>
      <c r="E28" s="462">
        <f>_xlfn.IFNA(VLOOKUP(A28,OTHER1!H:I,2,FALSE),0)</f>
        <v>0</v>
      </c>
      <c r="F28" s="463">
        <f>_xlfn.IFNA(VLOOKUP(A28,TEXILE1!A:F,5,FALSE),0)</f>
        <v>4.8299999237060547</v>
      </c>
      <c r="G28" s="462">
        <f>_xlfn.IFNA(VLOOKUP(A28,TEXILE1!A:F,4,FALSE),0)</f>
        <v>759</v>
      </c>
      <c r="H28" s="462">
        <f>_xlfn.IFNA(VLOOKUP(A28,SHOES1!A:F,6,FALSE),0)</f>
        <v>2</v>
      </c>
      <c r="I28" s="463">
        <f>_xlfn.IFNA(VLOOKUP(A28,SHOES1!A:F,5,FALSE),0)</f>
        <v>0.2199999988079071</v>
      </c>
      <c r="J28" s="462">
        <f>_xlfn.IFNA(VLOOKUP(A28,SHOES1!A:F,4,FALSE),0)</f>
        <v>25</v>
      </c>
      <c r="K28" s="462">
        <f>_xlfn.IFNA(VLOOKUP(A28,ECOM1!A:F,6,FALSE),0)</f>
        <v>0</v>
      </c>
      <c r="L28" s="463">
        <f>_xlfn.IFNA(VLOOKUP(A28,ECOM1!A:F,5,FALSE),0)</f>
        <v>0</v>
      </c>
      <c r="M28" s="464">
        <f>_xlfn.IFNA(VLOOKUP(A28,ECOM1!A:F,4,FALSE),0)</f>
        <v>0</v>
      </c>
      <c r="N28" s="465">
        <f t="shared" si="1"/>
        <v>5.0499999225139618</v>
      </c>
      <c r="O28" s="466">
        <f t="shared" si="2"/>
        <v>784</v>
      </c>
      <c r="P28" s="452">
        <f>VLOOKUP(A28,'SPUNTA ARRIVI '!A:A,1,FALSE)</f>
        <v>10265</v>
      </c>
      <c r="Q28" s="467">
        <f>VLOOKUP(A28,'SPUNTA ARRIVI '!A:D,4,FALSE)-N28</f>
        <v>0</v>
      </c>
      <c r="R28" s="452">
        <f>_xlfn.IFNA(VLOOKUP(A28,TEXILE1!A:F,6,FALSE),0)</f>
        <v>48</v>
      </c>
      <c r="T28" s="468"/>
      <c r="V28" s="468"/>
      <c r="X28" s="469"/>
    </row>
    <row r="29" spans="1:24" x14ac:dyDescent="0.2">
      <c r="A29" s="459">
        <v>7672</v>
      </c>
      <c r="B29" s="460" t="s">
        <v>56</v>
      </c>
      <c r="C29" s="461" t="s">
        <v>42</v>
      </c>
      <c r="D29" s="462">
        <f t="shared" si="0"/>
        <v>0</v>
      </c>
      <c r="E29" s="462">
        <f>_xlfn.IFNA(VLOOKUP(A29,OTHER1!H:I,2,FALSE),0)</f>
        <v>0</v>
      </c>
      <c r="F29" s="463">
        <f>_xlfn.IFNA(VLOOKUP(A29,TEXILE1!A:F,5,FALSE),0)</f>
        <v>0</v>
      </c>
      <c r="G29" s="462">
        <f>_xlfn.IFNA(VLOOKUP(A29,TEXILE1!A:F,4,FALSE),0)</f>
        <v>0</v>
      </c>
      <c r="H29" s="462">
        <f>_xlfn.IFNA(VLOOKUP(A29,SHOES1!A:F,6,FALSE),0)</f>
        <v>0</v>
      </c>
      <c r="I29" s="463">
        <f>_xlfn.IFNA(VLOOKUP(A29,SHOES1!A:F,5,FALSE),0)</f>
        <v>0</v>
      </c>
      <c r="J29" s="462">
        <f>_xlfn.IFNA(VLOOKUP(A29,SHOES1!A:F,4,FALSE),0)</f>
        <v>0</v>
      </c>
      <c r="K29" s="462">
        <f>_xlfn.IFNA(VLOOKUP(A29,ECOM1!A:F,6,FALSE),0)</f>
        <v>0</v>
      </c>
      <c r="L29" s="463">
        <f>_xlfn.IFNA(VLOOKUP(A29,ECOM1!A:F,5,FALSE),0)</f>
        <v>0</v>
      </c>
      <c r="M29" s="464">
        <f>_xlfn.IFNA(VLOOKUP(A29,ECOM1!A:F,4,FALSE),0)</f>
        <v>0</v>
      </c>
      <c r="N29" s="465">
        <f t="shared" si="1"/>
        <v>0</v>
      </c>
      <c r="O29" s="466">
        <f t="shared" si="2"/>
        <v>0</v>
      </c>
      <c r="P29" s="452"/>
      <c r="Q29" s="467"/>
      <c r="R29" s="452">
        <f>_xlfn.IFNA(VLOOKUP(A29,TEXILE1!A:F,6,FALSE),0)</f>
        <v>0</v>
      </c>
      <c r="T29" s="468"/>
      <c r="V29" s="468"/>
      <c r="X29" s="469"/>
    </row>
    <row r="30" spans="1:24" x14ac:dyDescent="0.2">
      <c r="A30" s="459">
        <v>16647</v>
      </c>
      <c r="B30" s="460" t="s">
        <v>56</v>
      </c>
      <c r="C30" s="461" t="s">
        <v>43</v>
      </c>
      <c r="D30" s="462">
        <f t="shared" si="0"/>
        <v>67</v>
      </c>
      <c r="E30" s="462">
        <f>_xlfn.IFNA(VLOOKUP(A30,OTHER1!H:I,2,FALSE),0)</f>
        <v>0</v>
      </c>
      <c r="F30" s="463">
        <f>_xlfn.IFNA(VLOOKUP(A30,TEXILE1!A:F,5,FALSE),0)</f>
        <v>7.1700000762939453</v>
      </c>
      <c r="G30" s="462">
        <f>_xlfn.IFNA(VLOOKUP(A30,TEXILE1!A:F,4,FALSE),0)</f>
        <v>1212</v>
      </c>
      <c r="H30" s="462">
        <f>_xlfn.IFNA(VLOOKUP(A30,SHOES1!A:F,6,FALSE),0)</f>
        <v>3</v>
      </c>
      <c r="I30" s="463">
        <f>_xlfn.IFNA(VLOOKUP(A30,SHOES1!A:F,5,FALSE),0)</f>
        <v>0.31999999284744263</v>
      </c>
      <c r="J30" s="462">
        <f>_xlfn.IFNA(VLOOKUP(A30,SHOES1!A:F,4,FALSE),0)</f>
        <v>36</v>
      </c>
      <c r="K30" s="462">
        <f>_xlfn.IFNA(VLOOKUP(A30,ECOM1!A:F,6,FALSE),0)</f>
        <v>0</v>
      </c>
      <c r="L30" s="463">
        <f>_xlfn.IFNA(VLOOKUP(A30,ECOM1!A:F,5,FALSE),0)</f>
        <v>0</v>
      </c>
      <c r="M30" s="464">
        <f>_xlfn.IFNA(VLOOKUP(A30,ECOM1!A:F,4,FALSE),0)</f>
        <v>0</v>
      </c>
      <c r="N30" s="465">
        <f t="shared" si="1"/>
        <v>7.4900000691413879</v>
      </c>
      <c r="O30" s="466">
        <f t="shared" si="2"/>
        <v>1248</v>
      </c>
      <c r="P30" s="452">
        <f>VLOOKUP(A30,'SPUNTA ARRIVI '!A:A,1,FALSE)</f>
        <v>16647</v>
      </c>
      <c r="Q30" s="467">
        <f>VLOOKUP(A30,'SPUNTA ARRIVI '!A:D,4,FALSE)-N30</f>
        <v>0</v>
      </c>
      <c r="R30" s="452">
        <f>_xlfn.IFNA(VLOOKUP(A30,TEXILE1!A:F,6,FALSE),0)</f>
        <v>67</v>
      </c>
      <c r="T30" s="468"/>
      <c r="V30" s="468"/>
      <c r="X30" s="469"/>
    </row>
    <row r="31" spans="1:24" x14ac:dyDescent="0.2">
      <c r="A31" s="459">
        <v>12154</v>
      </c>
      <c r="B31" s="460" t="s">
        <v>56</v>
      </c>
      <c r="C31" s="461" t="s">
        <v>55</v>
      </c>
      <c r="D31" s="462">
        <f t="shared" si="0"/>
        <v>20</v>
      </c>
      <c r="E31" s="462">
        <f>_xlfn.IFNA(VLOOKUP(A31,OTHER1!H:I,2,FALSE),0)</f>
        <v>0</v>
      </c>
      <c r="F31" s="463">
        <f>_xlfn.IFNA(VLOOKUP(A31,TEXILE1!A:F,5,FALSE),0)</f>
        <v>2.059999942779541</v>
      </c>
      <c r="G31" s="462">
        <f>_xlfn.IFNA(VLOOKUP(A31,TEXILE1!A:F,4,FALSE),0)</f>
        <v>350</v>
      </c>
      <c r="H31" s="462">
        <f>_xlfn.IFNA(VLOOKUP(A31,SHOES1!A:F,6,FALSE),0)</f>
        <v>4</v>
      </c>
      <c r="I31" s="463">
        <f>_xlfn.IFNA(VLOOKUP(A31,SHOES1!A:F,5,FALSE),0)</f>
        <v>0.37999999523162842</v>
      </c>
      <c r="J31" s="462">
        <f>_xlfn.IFNA(VLOOKUP(A31,SHOES1!A:F,4,FALSE),0)</f>
        <v>38</v>
      </c>
      <c r="K31" s="462">
        <f>_xlfn.IFNA(VLOOKUP(A31,ECOM1!A:F,6,FALSE),0)</f>
        <v>0</v>
      </c>
      <c r="L31" s="463">
        <f>_xlfn.IFNA(VLOOKUP(A31,ECOM1!A:F,5,FALSE),0)</f>
        <v>0</v>
      </c>
      <c r="M31" s="464">
        <f>_xlfn.IFNA(VLOOKUP(A31,ECOM1!A:F,4,FALSE),0)</f>
        <v>0</v>
      </c>
      <c r="N31" s="465">
        <f t="shared" si="1"/>
        <v>2.4399999380111694</v>
      </c>
      <c r="O31" s="466">
        <f t="shared" si="2"/>
        <v>388</v>
      </c>
      <c r="P31" s="452">
        <f>VLOOKUP(A31,'SPUNTA ARRIVI '!A:A,1,FALSE)</f>
        <v>12154</v>
      </c>
      <c r="Q31" s="467">
        <f>VLOOKUP(A31,'SPUNTA ARRIVI '!A:D,4,FALSE)-N31</f>
        <v>0</v>
      </c>
      <c r="R31" s="452">
        <f>_xlfn.IFNA(VLOOKUP(A31,TEXILE1!A:F,6,FALSE),0)</f>
        <v>20</v>
      </c>
      <c r="T31" s="468"/>
      <c r="V31" s="468"/>
      <c r="X31" s="469"/>
    </row>
    <row r="32" spans="1:24" x14ac:dyDescent="0.2">
      <c r="A32" s="459">
        <v>12271</v>
      </c>
      <c r="B32" s="460" t="s">
        <v>59</v>
      </c>
      <c r="C32" s="461" t="s">
        <v>32</v>
      </c>
      <c r="D32" s="462">
        <f t="shared" si="0"/>
        <v>220</v>
      </c>
      <c r="E32" s="462">
        <f>_xlfn.IFNA(VLOOKUP(A32,OTHER1!H:I,2,FALSE),0)</f>
        <v>10</v>
      </c>
      <c r="F32" s="463">
        <f>_xlfn.IFNA(VLOOKUP(A32,TEXILE1!A:F,5,FALSE),0)</f>
        <v>25.559999465942383</v>
      </c>
      <c r="G32" s="462">
        <f>_xlfn.IFNA(VLOOKUP(A32,TEXILE1!A:F,4,FALSE),0)</f>
        <v>3709</v>
      </c>
      <c r="H32" s="462">
        <f>_xlfn.IFNA(VLOOKUP(A32,SHOES1!A:F,6,FALSE),0)</f>
        <v>13</v>
      </c>
      <c r="I32" s="463">
        <f>_xlfn.IFNA(VLOOKUP(A32,SHOES1!A:F,5,FALSE),0)</f>
        <v>1.3200000524520874</v>
      </c>
      <c r="J32" s="462">
        <f>_xlfn.IFNA(VLOOKUP(A32,SHOES1!A:F,4,FALSE),0)</f>
        <v>143</v>
      </c>
      <c r="K32" s="462">
        <f>_xlfn.IFNA(VLOOKUP(A32,ECOM1!A:F,6,FALSE),0)</f>
        <v>0</v>
      </c>
      <c r="L32" s="463">
        <f>_xlfn.IFNA(VLOOKUP(A32,ECOM1!A:F,5,FALSE),0)</f>
        <v>0</v>
      </c>
      <c r="M32" s="464">
        <f>_xlfn.IFNA(VLOOKUP(A32,ECOM1!A:F,4,FALSE),0)</f>
        <v>0</v>
      </c>
      <c r="N32" s="465">
        <f t="shared" si="1"/>
        <v>26.87999951839447</v>
      </c>
      <c r="O32" s="466">
        <f t="shared" si="2"/>
        <v>3852</v>
      </c>
      <c r="P32" s="452">
        <f>VLOOKUP(A32,'SPUNTA ARRIVI '!A:A,1,FALSE)</f>
        <v>12271</v>
      </c>
      <c r="Q32" s="467">
        <f>VLOOKUP(A32,'SPUNTA ARRIVI '!A:D,4,FALSE)-N32</f>
        <v>0</v>
      </c>
      <c r="R32" s="452">
        <f>_xlfn.IFNA(VLOOKUP(A32,TEXILE1!A:F,6,FALSE),0)</f>
        <v>230</v>
      </c>
      <c r="T32" s="468"/>
      <c r="V32" s="468"/>
      <c r="X32" s="469"/>
    </row>
    <row r="33" spans="1:24" x14ac:dyDescent="0.2">
      <c r="A33" s="459">
        <v>1265</v>
      </c>
      <c r="B33" s="460" t="s">
        <v>59</v>
      </c>
      <c r="C33" s="461" t="s">
        <v>32</v>
      </c>
      <c r="D33" s="462">
        <f t="shared" ref="D33" si="3">IF(R33&lt;&gt;0,+R33-E33,0)</f>
        <v>299</v>
      </c>
      <c r="E33" s="462">
        <f>_xlfn.IFNA(VLOOKUP(A33,OTHER1!H:I,2,FALSE),0)</f>
        <v>24</v>
      </c>
      <c r="F33" s="463">
        <f>_xlfn.IFNA(VLOOKUP(A33,TEXILE1!A:F,5,FALSE),0)</f>
        <v>36.409999847412109</v>
      </c>
      <c r="G33" s="462">
        <f>_xlfn.IFNA(VLOOKUP(A33,TEXILE1!A:F,4,FALSE),0)</f>
        <v>5547</v>
      </c>
      <c r="H33" s="462">
        <f>_xlfn.IFNA(VLOOKUP(A33,SHOES1!A:F,6,FALSE),0)</f>
        <v>36</v>
      </c>
      <c r="I33" s="463">
        <f>_xlfn.IFNA(VLOOKUP(A33,SHOES1!A:F,5,FALSE),0)</f>
        <v>3.559999942779541</v>
      </c>
      <c r="J33" s="462">
        <f>_xlfn.IFNA(VLOOKUP(A33,SHOES1!A:F,4,FALSE),0)</f>
        <v>411</v>
      </c>
      <c r="K33" s="462">
        <f>_xlfn.IFNA(VLOOKUP(A33,ECOM1!A:F,6,FALSE),0)</f>
        <v>0</v>
      </c>
      <c r="L33" s="463">
        <f>_xlfn.IFNA(VLOOKUP(A33,ECOM1!A:F,5,FALSE),0)</f>
        <v>0</v>
      </c>
      <c r="M33" s="464">
        <f>_xlfn.IFNA(VLOOKUP(A33,ECOM1!A:F,4,FALSE),0)</f>
        <v>0</v>
      </c>
      <c r="N33" s="465">
        <f t="shared" ref="N33" si="4">+F33+I33+L33</f>
        <v>39.96999979019165</v>
      </c>
      <c r="O33" s="466">
        <f t="shared" ref="O33" si="5">+G33+J33+M33</f>
        <v>5958</v>
      </c>
      <c r="P33" s="452">
        <f>VLOOKUP(A33,'SPUNTA ARRIVI '!A:A,1,FALSE)</f>
        <v>1265</v>
      </c>
      <c r="Q33" s="467">
        <f>VLOOKUP(A33,'SPUNTA ARRIVI '!A:D,4,FALSE)-N33</f>
        <v>0</v>
      </c>
      <c r="R33" s="452">
        <f>_xlfn.IFNA(VLOOKUP(A33,TEXILE1!A:F,6,FALSE),0)</f>
        <v>323</v>
      </c>
      <c r="T33" s="468"/>
      <c r="V33" s="468"/>
      <c r="X33" s="469"/>
    </row>
    <row r="34" spans="1:24" x14ac:dyDescent="0.2">
      <c r="A34" s="459">
        <v>3534</v>
      </c>
      <c r="B34" s="460" t="s">
        <v>59</v>
      </c>
      <c r="C34" s="461" t="s">
        <v>34</v>
      </c>
      <c r="D34" s="462">
        <f t="shared" si="0"/>
        <v>370</v>
      </c>
      <c r="E34" s="462">
        <f>_xlfn.IFNA(VLOOKUP(A34,OTHER1!H:I,2,FALSE),0)</f>
        <v>28</v>
      </c>
      <c r="F34" s="463">
        <f>_xlfn.IFNA(VLOOKUP(A34,TEXILE1!A:F,5,FALSE),0)</f>
        <v>43.310001373291016</v>
      </c>
      <c r="G34" s="462">
        <f>_xlfn.IFNA(VLOOKUP(A34,TEXILE1!A:F,4,FALSE),0)</f>
        <v>6544</v>
      </c>
      <c r="H34" s="462">
        <f>_xlfn.IFNA(VLOOKUP(A34,SHOES1!A:F,6,FALSE),0)</f>
        <v>31</v>
      </c>
      <c r="I34" s="463">
        <f>_xlfn.IFNA(VLOOKUP(A34,SHOES1!A:F,5,FALSE),0)</f>
        <v>2.9600000381469727</v>
      </c>
      <c r="J34" s="462">
        <f>_xlfn.IFNA(VLOOKUP(A34,SHOES1!A:F,4,FALSE),0)</f>
        <v>326</v>
      </c>
      <c r="K34" s="462">
        <f>_xlfn.IFNA(VLOOKUP(A34,ECOM1!A:F,6,FALSE),0)</f>
        <v>0</v>
      </c>
      <c r="L34" s="463">
        <f>_xlfn.IFNA(VLOOKUP(A34,ECOM1!A:F,5,FALSE),0)</f>
        <v>0</v>
      </c>
      <c r="M34" s="464">
        <f>_xlfn.IFNA(VLOOKUP(A34,ECOM1!A:F,4,FALSE),0)</f>
        <v>0</v>
      </c>
      <c r="N34" s="465">
        <f t="shared" si="1"/>
        <v>46.270001411437988</v>
      </c>
      <c r="O34" s="466">
        <f t="shared" si="2"/>
        <v>6870</v>
      </c>
      <c r="P34" s="452">
        <f>VLOOKUP(A34,'SPUNTA ARRIVI '!A:A,1,FALSE)</f>
        <v>3534</v>
      </c>
      <c r="Q34" s="467">
        <f>VLOOKUP(A34,'SPUNTA ARRIVI '!A:D,4,FALSE)-N34</f>
        <v>0</v>
      </c>
      <c r="R34" s="452">
        <f>_xlfn.IFNA(VLOOKUP(A34,TEXILE1!A:F,6,FALSE),0)</f>
        <v>398</v>
      </c>
      <c r="T34" s="468"/>
      <c r="V34" s="468"/>
      <c r="X34" s="469"/>
    </row>
    <row r="35" spans="1:24" x14ac:dyDescent="0.2">
      <c r="A35" s="459">
        <v>3680</v>
      </c>
      <c r="B35" s="460" t="s">
        <v>62</v>
      </c>
      <c r="C35" s="461" t="s">
        <v>35</v>
      </c>
      <c r="D35" s="462">
        <f t="shared" si="0"/>
        <v>273</v>
      </c>
      <c r="E35" s="462">
        <f>_xlfn.IFNA(VLOOKUP(A35,OTHER1!H:I,2,FALSE),0)</f>
        <v>37</v>
      </c>
      <c r="F35" s="463">
        <f>_xlfn.IFNA(VLOOKUP(A35,TEXILE1!A:F,5,FALSE),0)</f>
        <v>32.639999389648438</v>
      </c>
      <c r="G35" s="462">
        <f>_xlfn.IFNA(VLOOKUP(A35,TEXILE1!A:F,4,FALSE),0)</f>
        <v>5069</v>
      </c>
      <c r="H35" s="462">
        <f>_xlfn.IFNA(VLOOKUP(A35,SHOES1!A:F,6,FALSE),0)</f>
        <v>48</v>
      </c>
      <c r="I35" s="463">
        <f>_xlfn.IFNA(VLOOKUP(A35,SHOES1!A:F,5,FALSE),0)</f>
        <v>4.7199997901916504</v>
      </c>
      <c r="J35" s="462">
        <f>_xlfn.IFNA(VLOOKUP(A35,SHOES1!A:F,4,FALSE),0)</f>
        <v>520</v>
      </c>
      <c r="K35" s="462">
        <f>_xlfn.IFNA(VLOOKUP(A35,ECOM1!A:F,6,FALSE),0)</f>
        <v>0</v>
      </c>
      <c r="L35" s="463">
        <f>_xlfn.IFNA(VLOOKUP(A35,ECOM1!A:F,5,FALSE),0)</f>
        <v>0</v>
      </c>
      <c r="M35" s="464">
        <f>_xlfn.IFNA(VLOOKUP(A35,ECOM1!A:F,4,FALSE),0)</f>
        <v>0</v>
      </c>
      <c r="N35" s="465">
        <f t="shared" si="1"/>
        <v>37.359999179840088</v>
      </c>
      <c r="O35" s="466">
        <f t="shared" si="2"/>
        <v>5589</v>
      </c>
      <c r="P35" s="452">
        <f>VLOOKUP(A35,'SPUNTA ARRIVI '!A:A,1,FALSE)</f>
        <v>3680</v>
      </c>
      <c r="Q35" s="467">
        <f>VLOOKUP(A35,'SPUNTA ARRIVI '!A:D,4,FALSE)-N35</f>
        <v>-11.207999753952027</v>
      </c>
      <c r="R35" s="452">
        <f>_xlfn.IFNA(VLOOKUP(A35,TEXILE1!A:F,6,FALSE),0)</f>
        <v>310</v>
      </c>
      <c r="T35" s="468"/>
      <c r="V35" s="468"/>
      <c r="X35" s="469"/>
    </row>
    <row r="36" spans="1:24" x14ac:dyDescent="0.2">
      <c r="A36" s="473">
        <v>9226</v>
      </c>
      <c r="B36" s="460" t="s">
        <v>59</v>
      </c>
      <c r="C36" s="474" t="s">
        <v>67</v>
      </c>
      <c r="D36" s="462">
        <f t="shared" si="0"/>
        <v>280</v>
      </c>
      <c r="E36" s="462">
        <f>_xlfn.IFNA(VLOOKUP(A36,OTHER1!H:I,2,FALSE),0)</f>
        <v>61</v>
      </c>
      <c r="F36" s="463">
        <f>_xlfn.IFNA(VLOOKUP(A36,TEXILE1!A:F,5,FALSE),0)</f>
        <v>35.419998168945313</v>
      </c>
      <c r="G36" s="462">
        <f>_xlfn.IFNA(VLOOKUP(A36,TEXILE1!A:F,4,FALSE),0)</f>
        <v>5294</v>
      </c>
      <c r="H36" s="462">
        <f>_xlfn.IFNA(VLOOKUP(A36,SHOES1!A:F,6,FALSE),0)</f>
        <v>74</v>
      </c>
      <c r="I36" s="463">
        <f>_xlfn.IFNA(VLOOKUP(A36,SHOES1!A:F,5,FALSE),0)</f>
        <v>7.2899999618530273</v>
      </c>
      <c r="J36" s="462">
        <f>_xlfn.IFNA(VLOOKUP(A36,SHOES1!A:F,4,FALSE),0)</f>
        <v>815</v>
      </c>
      <c r="K36" s="462">
        <f>_xlfn.IFNA(VLOOKUP(A36,ECOM1!A:F,6,FALSE),0)</f>
        <v>0</v>
      </c>
      <c r="L36" s="463">
        <f>_xlfn.IFNA(VLOOKUP(A36,ECOM1!A:F,5,FALSE),0)</f>
        <v>0</v>
      </c>
      <c r="M36" s="464">
        <f>_xlfn.IFNA(VLOOKUP(A36,ECOM1!A:F,4,FALSE),0)</f>
        <v>0</v>
      </c>
      <c r="N36" s="465">
        <f t="shared" si="1"/>
        <v>42.70999813079834</v>
      </c>
      <c r="O36" s="466">
        <f t="shared" si="2"/>
        <v>6109</v>
      </c>
      <c r="P36" s="452">
        <f>VLOOKUP(A36,'SPUNTA ARRIVI '!A:A,1,FALSE)</f>
        <v>9226</v>
      </c>
      <c r="Q36" s="467">
        <f>VLOOKUP(A36,'SPUNTA ARRIVI '!A:D,4,FALSE)-N36</f>
        <v>0</v>
      </c>
      <c r="R36" s="452">
        <f>_xlfn.IFNA(VLOOKUP(A36,TEXILE1!A:F,6,FALSE),0)</f>
        <v>341</v>
      </c>
      <c r="T36" s="468"/>
      <c r="V36" s="468"/>
      <c r="X36" s="469"/>
    </row>
    <row r="37" spans="1:24" x14ac:dyDescent="0.2">
      <c r="A37" s="473">
        <v>12059</v>
      </c>
      <c r="B37" s="460" t="s">
        <v>59</v>
      </c>
      <c r="C37" s="474" t="s">
        <v>36</v>
      </c>
      <c r="D37" s="462">
        <f t="shared" si="0"/>
        <v>306</v>
      </c>
      <c r="E37" s="462">
        <f>_xlfn.IFNA(VLOOKUP(A37,OTHER1!H:I,2,FALSE),0)</f>
        <v>13</v>
      </c>
      <c r="F37" s="463">
        <f>_xlfn.IFNA(VLOOKUP(A37,TEXILE1!A:F,5,FALSE),0)</f>
        <v>34.830001831054688</v>
      </c>
      <c r="G37" s="462">
        <f>_xlfn.IFNA(VLOOKUP(A37,TEXILE1!A:F,4,FALSE),0)</f>
        <v>5198</v>
      </c>
      <c r="H37" s="462">
        <f>_xlfn.IFNA(VLOOKUP(A37,SHOES1!A:F,6,FALSE),0)</f>
        <v>20</v>
      </c>
      <c r="I37" s="463">
        <f>_xlfn.IFNA(VLOOKUP(A37,SHOES1!A:F,5,FALSE),0)</f>
        <v>2.0999999046325684</v>
      </c>
      <c r="J37" s="462">
        <f>_xlfn.IFNA(VLOOKUP(A37,SHOES1!A:F,4,FALSE),0)</f>
        <v>223</v>
      </c>
      <c r="K37" s="462">
        <f>_xlfn.IFNA(VLOOKUP(A37,ECOM1!A:F,6,FALSE),0)</f>
        <v>0</v>
      </c>
      <c r="L37" s="463">
        <f>_xlfn.IFNA(VLOOKUP(A37,ECOM1!A:F,5,FALSE),0)</f>
        <v>0</v>
      </c>
      <c r="M37" s="464">
        <f>_xlfn.IFNA(VLOOKUP(A37,ECOM1!A:F,4,FALSE),0)</f>
        <v>0</v>
      </c>
      <c r="N37" s="465">
        <f t="shared" si="1"/>
        <v>36.930001735687256</v>
      </c>
      <c r="O37" s="466">
        <f t="shared" si="2"/>
        <v>5421</v>
      </c>
      <c r="P37" s="452">
        <f>VLOOKUP(A37,'SPUNTA ARRIVI '!A:A,1,FALSE)</f>
        <v>12059</v>
      </c>
      <c r="Q37" s="467">
        <f>VLOOKUP(A37,'SPUNTA ARRIVI '!A:D,4,FALSE)-N37</f>
        <v>0</v>
      </c>
      <c r="R37" s="452">
        <f>_xlfn.IFNA(VLOOKUP(A37,TEXILE1!A:F,6,FALSE),0)</f>
        <v>319</v>
      </c>
      <c r="T37" s="468"/>
      <c r="V37" s="468"/>
      <c r="X37" s="469"/>
    </row>
    <row r="38" spans="1:24" x14ac:dyDescent="0.2">
      <c r="A38" s="473">
        <v>3591</v>
      </c>
      <c r="B38" s="460" t="s">
        <v>59</v>
      </c>
      <c r="C38" s="474" t="s">
        <v>38</v>
      </c>
      <c r="D38" s="462">
        <f t="shared" si="0"/>
        <v>332</v>
      </c>
      <c r="E38" s="462">
        <f>_xlfn.IFNA(VLOOKUP(A38,OTHER1!H:I,2,FALSE),0)</f>
        <v>36</v>
      </c>
      <c r="F38" s="463">
        <f>_xlfn.IFNA(VLOOKUP(A38,TEXILE1!A:F,5,FALSE),0)</f>
        <v>37.590000152587891</v>
      </c>
      <c r="G38" s="462">
        <f>_xlfn.IFNA(VLOOKUP(A38,TEXILE1!A:F,4,FALSE),0)</f>
        <v>5906</v>
      </c>
      <c r="H38" s="462">
        <f>_xlfn.IFNA(VLOOKUP(A38,SHOES1!A:F,6,FALSE),0)</f>
        <v>41</v>
      </c>
      <c r="I38" s="463">
        <f>_xlfn.IFNA(VLOOKUP(A38,SHOES1!A:F,5,FALSE),0)</f>
        <v>3.9700000286102295</v>
      </c>
      <c r="J38" s="462">
        <f>_xlfn.IFNA(VLOOKUP(A38,SHOES1!A:F,4,FALSE),0)</f>
        <v>452</v>
      </c>
      <c r="K38" s="462">
        <f>_xlfn.IFNA(VLOOKUP(A38,ECOM1!A:F,6,FALSE),0)</f>
        <v>0</v>
      </c>
      <c r="L38" s="463">
        <f>_xlfn.IFNA(VLOOKUP(A38,ECOM1!A:F,5,FALSE),0)</f>
        <v>0</v>
      </c>
      <c r="M38" s="464">
        <f>_xlfn.IFNA(VLOOKUP(A38,ECOM1!A:F,4,FALSE),0)</f>
        <v>0</v>
      </c>
      <c r="N38" s="465">
        <f t="shared" ref="N38" si="6">+F38+I38+L38</f>
        <v>41.56000018119812</v>
      </c>
      <c r="O38" s="466">
        <f t="shared" ref="O38" si="7">+G38+J38+M38</f>
        <v>6358</v>
      </c>
      <c r="P38" s="452">
        <f>VLOOKUP(A38,'SPUNTA ARRIVI '!A:A,1,FALSE)</f>
        <v>3591</v>
      </c>
      <c r="Q38" s="467">
        <f>VLOOKUP(A38,'SPUNTA ARRIVI '!A:D,4,FALSE)-N38</f>
        <v>0</v>
      </c>
      <c r="R38" s="452">
        <f>_xlfn.IFNA(VLOOKUP(A38,TEXILE1!A:F,6,FALSE),0)</f>
        <v>368</v>
      </c>
      <c r="T38" s="468"/>
      <c r="V38" s="468"/>
      <c r="X38" s="469"/>
    </row>
    <row r="39" spans="1:24" x14ac:dyDescent="0.2">
      <c r="A39" s="473">
        <v>16723</v>
      </c>
      <c r="B39" s="460" t="s">
        <v>59</v>
      </c>
      <c r="C39" s="474" t="s">
        <v>39</v>
      </c>
      <c r="D39" s="462">
        <f t="shared" si="0"/>
        <v>480</v>
      </c>
      <c r="E39" s="462">
        <f>_xlfn.IFNA(VLOOKUP(A39,OTHER1!H:I,2,FALSE),0)</f>
        <v>24</v>
      </c>
      <c r="F39" s="463">
        <f>_xlfn.IFNA(VLOOKUP(A39,TEXILE1!A:F,5,FALSE),0)</f>
        <v>56.619998931884766</v>
      </c>
      <c r="G39" s="462">
        <f>_xlfn.IFNA(VLOOKUP(A39,TEXILE1!A:F,4,FALSE),0)</f>
        <v>8533</v>
      </c>
      <c r="H39" s="462">
        <f>_xlfn.IFNA(VLOOKUP(A39,SHOES1!A:F,6,FALSE),0)</f>
        <v>48</v>
      </c>
      <c r="I39" s="463">
        <f>_xlfn.IFNA(VLOOKUP(A39,SHOES1!A:F,5,FALSE),0)</f>
        <v>4.5900001525878906</v>
      </c>
      <c r="J39" s="462">
        <f>_xlfn.IFNA(VLOOKUP(A39,SHOES1!A:F,4,FALSE),0)</f>
        <v>490</v>
      </c>
      <c r="K39" s="462">
        <f>_xlfn.IFNA(VLOOKUP(A39,ECOM1!A:F,6,FALSE),0)</f>
        <v>0</v>
      </c>
      <c r="L39" s="463">
        <f>_xlfn.IFNA(VLOOKUP(A39,ECOM1!A:F,5,FALSE),0)</f>
        <v>0</v>
      </c>
      <c r="M39" s="464">
        <f>_xlfn.IFNA(VLOOKUP(A39,ECOM1!A:F,4,FALSE),0)</f>
        <v>0</v>
      </c>
      <c r="N39" s="465">
        <f t="shared" ref="N39:N49" si="8">+F39+I39+L39</f>
        <v>61.209999084472656</v>
      </c>
      <c r="O39" s="466">
        <f t="shared" ref="O39:O49" si="9">+G39+J39+M39</f>
        <v>9023</v>
      </c>
      <c r="P39" s="452">
        <f>VLOOKUP(A39,'SPUNTA ARRIVI '!A:A,1,FALSE)</f>
        <v>16723</v>
      </c>
      <c r="Q39" s="467">
        <f>VLOOKUP(A39,'SPUNTA ARRIVI '!A:D,4,FALSE)-N39</f>
        <v>-18.362999725341801</v>
      </c>
      <c r="R39" s="452">
        <f>_xlfn.IFNA(VLOOKUP(A39,TEXILE1!A:F,6,FALSE),0)</f>
        <v>504</v>
      </c>
      <c r="T39" s="468"/>
      <c r="V39" s="468"/>
      <c r="X39" s="469"/>
    </row>
    <row r="40" spans="1:24" x14ac:dyDescent="0.2">
      <c r="A40" s="473">
        <v>3494</v>
      </c>
      <c r="B40" s="460" t="s">
        <v>59</v>
      </c>
      <c r="C40" s="474" t="s">
        <v>41</v>
      </c>
      <c r="D40" s="462">
        <f t="shared" si="0"/>
        <v>0</v>
      </c>
      <c r="E40" s="462">
        <f>_xlfn.IFNA(VLOOKUP(A40,OTHER1!H:I,2,FALSE),0)</f>
        <v>0</v>
      </c>
      <c r="F40" s="463">
        <f>_xlfn.IFNA(VLOOKUP(A40,TEXILE1!A:F,5,FALSE),0)</f>
        <v>0</v>
      </c>
      <c r="G40" s="462">
        <f>_xlfn.IFNA(VLOOKUP(A40,TEXILE1!A:F,4,FALSE),0)</f>
        <v>0</v>
      </c>
      <c r="H40" s="462">
        <f>_xlfn.IFNA(VLOOKUP(A40,SHOES1!A:F,6,FALSE),0)</f>
        <v>0</v>
      </c>
      <c r="I40" s="463">
        <f>_xlfn.IFNA(VLOOKUP(A40,SHOES1!A:F,5,FALSE),0)</f>
        <v>0</v>
      </c>
      <c r="J40" s="462">
        <f>_xlfn.IFNA(VLOOKUP(A40,SHOES1!A:F,4,FALSE),0)</f>
        <v>0</v>
      </c>
      <c r="K40" s="462">
        <f>_xlfn.IFNA(VLOOKUP(A40,ECOM1!A:F,6,FALSE),0)</f>
        <v>0</v>
      </c>
      <c r="L40" s="463">
        <f>_xlfn.IFNA(VLOOKUP(A40,ECOM1!A:F,5,FALSE),0)</f>
        <v>0</v>
      </c>
      <c r="M40" s="464">
        <f>_xlfn.IFNA(VLOOKUP(A40,ECOM1!A:F,4,FALSE),0)</f>
        <v>0</v>
      </c>
      <c r="N40" s="465">
        <f t="shared" si="8"/>
        <v>0</v>
      </c>
      <c r="O40" s="466">
        <f t="shared" si="9"/>
        <v>0</v>
      </c>
      <c r="P40" s="452"/>
      <c r="Q40" s="467"/>
      <c r="R40" s="452">
        <f>_xlfn.IFNA(VLOOKUP(A40,TEXILE1!A:F,6,FALSE),0)</f>
        <v>0</v>
      </c>
      <c r="T40" s="468"/>
      <c r="V40" s="468"/>
      <c r="X40" s="469"/>
    </row>
    <row r="41" spans="1:24" x14ac:dyDescent="0.2">
      <c r="A41" s="473">
        <v>3503</v>
      </c>
      <c r="B41" s="460" t="s">
        <v>62</v>
      </c>
      <c r="C41" s="474" t="s">
        <v>68</v>
      </c>
      <c r="D41" s="462">
        <f t="shared" si="0"/>
        <v>430</v>
      </c>
      <c r="E41" s="462">
        <f>_xlfn.IFNA(VLOOKUP(A41,OTHER1!H:I,2,FALSE),0)</f>
        <v>16</v>
      </c>
      <c r="F41" s="463">
        <f>_xlfn.IFNA(VLOOKUP(A41,TEXILE1!A:F,5,FALSE),0)</f>
        <v>50.180000305175781</v>
      </c>
      <c r="G41" s="462">
        <f>_xlfn.IFNA(VLOOKUP(A41,TEXILE1!A:F,4,FALSE),0)</f>
        <v>7336</v>
      </c>
      <c r="H41" s="462">
        <f>_xlfn.IFNA(VLOOKUP(A41,SHOES1!A:F,6,FALSE),0)</f>
        <v>40</v>
      </c>
      <c r="I41" s="463">
        <f>_xlfn.IFNA(VLOOKUP(A41,SHOES1!A:F,5,FALSE),0)</f>
        <v>3.8499999046325684</v>
      </c>
      <c r="J41" s="462">
        <f>_xlfn.IFNA(VLOOKUP(A41,SHOES1!A:F,4,FALSE),0)</f>
        <v>427</v>
      </c>
      <c r="K41" s="462">
        <f>_xlfn.IFNA(VLOOKUP(A41,ECOM1!A:F,6,FALSE),0)</f>
        <v>0</v>
      </c>
      <c r="L41" s="463">
        <f>_xlfn.IFNA(VLOOKUP(A41,ECOM1!A:F,5,FALSE),0)</f>
        <v>0</v>
      </c>
      <c r="M41" s="464">
        <f>_xlfn.IFNA(VLOOKUP(A41,ECOM1!A:F,4,FALSE),0)</f>
        <v>0</v>
      </c>
      <c r="N41" s="465">
        <f t="shared" si="8"/>
        <v>54.03000020980835</v>
      </c>
      <c r="O41" s="466">
        <f t="shared" si="9"/>
        <v>7763</v>
      </c>
      <c r="P41" s="452">
        <f>VLOOKUP(A41,'SPUNTA ARRIVI '!A:A,1,FALSE)</f>
        <v>3503</v>
      </c>
      <c r="Q41" s="467">
        <f>VLOOKUP(A41,'SPUNTA ARRIVI '!A:D,4,FALSE)-N41</f>
        <v>-16.209000062942508</v>
      </c>
      <c r="R41" s="452">
        <f>_xlfn.IFNA(VLOOKUP(A41,TEXILE1!A:F,6,FALSE),0)</f>
        <v>446</v>
      </c>
      <c r="T41" s="468"/>
      <c r="V41" s="468"/>
      <c r="X41" s="469"/>
    </row>
    <row r="42" spans="1:24" x14ac:dyDescent="0.2">
      <c r="A42" s="475">
        <v>1971</v>
      </c>
      <c r="B42" s="460" t="s">
        <v>71</v>
      </c>
      <c r="C42" s="474" t="s">
        <v>35</v>
      </c>
      <c r="D42" s="462">
        <f t="shared" si="0"/>
        <v>140</v>
      </c>
      <c r="E42" s="462">
        <f>_xlfn.IFNA(VLOOKUP(A42,OTHER1!H:I,2,FALSE),0)</f>
        <v>0</v>
      </c>
      <c r="F42" s="463">
        <f>_xlfn.IFNA(VLOOKUP(A42,TEXILE1!A:F,5,FALSE),0)</f>
        <v>12.510000228881836</v>
      </c>
      <c r="G42" s="462">
        <f>_xlfn.IFNA(VLOOKUP(A42,TEXILE1!A:F,4,FALSE),0)</f>
        <v>1284</v>
      </c>
      <c r="H42" s="462">
        <f>_xlfn.IFNA(VLOOKUP(A42,SHOES1!A:F,6,FALSE),0)</f>
        <v>0</v>
      </c>
      <c r="I42" s="463">
        <f>_xlfn.IFNA(VLOOKUP(A42,SHOES1!A:F,5,FALSE),0)</f>
        <v>0</v>
      </c>
      <c r="J42" s="462">
        <f>_xlfn.IFNA(VLOOKUP(A42,SHOES1!A:F,4,FALSE),0)</f>
        <v>0</v>
      </c>
      <c r="K42" s="462">
        <f>_xlfn.IFNA(VLOOKUP(A42,ECOM1!A:F,6,FALSE),0)</f>
        <v>11</v>
      </c>
      <c r="L42" s="463">
        <f>_xlfn.IFNA(VLOOKUP(A42,ECOM1!A:F,5,FALSE),0)</f>
        <v>1.059999942779541</v>
      </c>
      <c r="M42" s="464">
        <f>_xlfn.IFNA(VLOOKUP(A42,ECOM1!A:F,4,FALSE),0)</f>
        <v>40</v>
      </c>
      <c r="N42" s="465">
        <f t="shared" si="8"/>
        <v>13.570000171661377</v>
      </c>
      <c r="O42" s="466">
        <f t="shared" si="9"/>
        <v>1324</v>
      </c>
      <c r="P42" s="452">
        <f>VLOOKUP(A42,'SPUNTA ARRIVI '!A:A,1,FALSE)</f>
        <v>1971</v>
      </c>
      <c r="Q42" s="467">
        <f>VLOOKUP(A42,'SPUNTA ARRIVI '!A:D,4,FALSE)-N42</f>
        <v>0</v>
      </c>
      <c r="R42" s="452">
        <f>_xlfn.IFNA(VLOOKUP(A42,TEXILE1!A:F,6,FALSE),0)</f>
        <v>140</v>
      </c>
      <c r="T42" s="468"/>
      <c r="V42" s="468"/>
      <c r="X42" s="469"/>
    </row>
    <row r="43" spans="1:24" x14ac:dyDescent="0.2">
      <c r="A43" s="473">
        <v>1755</v>
      </c>
      <c r="B43" s="460" t="s">
        <v>71</v>
      </c>
      <c r="C43" s="474" t="s">
        <v>38</v>
      </c>
      <c r="D43" s="462">
        <f t="shared" si="0"/>
        <v>88</v>
      </c>
      <c r="E43" s="462">
        <f>_xlfn.IFNA(VLOOKUP(A43,OTHER1!H:I,2,FALSE),0)</f>
        <v>0</v>
      </c>
      <c r="F43" s="463">
        <f>_xlfn.IFNA(VLOOKUP(A43,TEXILE1!A:F,5,FALSE),0)</f>
        <v>7.630000114440918</v>
      </c>
      <c r="G43" s="462">
        <f>_xlfn.IFNA(VLOOKUP(A43,TEXILE1!A:F,4,FALSE),0)</f>
        <v>794</v>
      </c>
      <c r="H43" s="462">
        <f>_xlfn.IFNA(VLOOKUP(A43,SHOES1!A:F,6,FALSE),0)</f>
        <v>0</v>
      </c>
      <c r="I43" s="463">
        <f>_xlfn.IFNA(VLOOKUP(A43,SHOES1!A:F,5,FALSE),0)</f>
        <v>0</v>
      </c>
      <c r="J43" s="462">
        <f>_xlfn.IFNA(VLOOKUP(A43,SHOES1!A:F,4,FALSE),0)</f>
        <v>0</v>
      </c>
      <c r="K43" s="462">
        <f>_xlfn.IFNA(VLOOKUP(A43,ECOM1!A:F,6,FALSE),0)</f>
        <v>14</v>
      </c>
      <c r="L43" s="463">
        <f>_xlfn.IFNA(VLOOKUP(A43,ECOM1!A:F,5,FALSE),0)</f>
        <v>1.3400000333786011</v>
      </c>
      <c r="M43" s="464">
        <f>_xlfn.IFNA(VLOOKUP(A43,ECOM1!A:F,4,FALSE),0)</f>
        <v>54</v>
      </c>
      <c r="N43" s="465">
        <f t="shared" si="8"/>
        <v>8.970000147819519</v>
      </c>
      <c r="O43" s="466">
        <f t="shared" si="9"/>
        <v>848</v>
      </c>
      <c r="P43" s="452">
        <f>VLOOKUP(A43,'SPUNTA ARRIVI '!A:A,1,FALSE)</f>
        <v>1755</v>
      </c>
      <c r="Q43" s="467">
        <f>VLOOKUP(A43,'SPUNTA ARRIVI '!A:D,4,FALSE)-N43</f>
        <v>0</v>
      </c>
      <c r="R43" s="452">
        <f>_xlfn.IFNA(VLOOKUP(A43,TEXILE1!A:F,6,FALSE),0)</f>
        <v>88</v>
      </c>
      <c r="T43" s="468"/>
      <c r="V43" s="468"/>
      <c r="X43" s="469"/>
    </row>
    <row r="44" spans="1:24" x14ac:dyDescent="0.2">
      <c r="A44" s="473">
        <v>1984</v>
      </c>
      <c r="B44" s="460" t="s">
        <v>71</v>
      </c>
      <c r="C44" s="474" t="s">
        <v>72</v>
      </c>
      <c r="D44" s="462">
        <f t="shared" si="0"/>
        <v>186</v>
      </c>
      <c r="E44" s="462">
        <f>_xlfn.IFNA(VLOOKUP(A44,OTHER1!H:I,2,FALSE),0)</f>
        <v>6</v>
      </c>
      <c r="F44" s="463">
        <f>_xlfn.IFNA(VLOOKUP(A44,TEXILE1!A:F,5,FALSE),0)</f>
        <v>16.790000915527344</v>
      </c>
      <c r="G44" s="462">
        <f>_xlfn.IFNA(VLOOKUP(A44,TEXILE1!A:F,4,FALSE),0)</f>
        <v>1808</v>
      </c>
      <c r="H44" s="462">
        <f>_xlfn.IFNA(VLOOKUP(A44,SHOES1!A:F,6,FALSE),0)</f>
        <v>0</v>
      </c>
      <c r="I44" s="463">
        <f>_xlfn.IFNA(VLOOKUP(A44,SHOES1!A:F,5,FALSE),0)</f>
        <v>0</v>
      </c>
      <c r="J44" s="462">
        <f>_xlfn.IFNA(VLOOKUP(A44,SHOES1!A:F,4,FALSE),0)</f>
        <v>0</v>
      </c>
      <c r="K44" s="462">
        <f>_xlfn.IFNA(VLOOKUP(A44,ECOM1!A:F,6,FALSE),0)</f>
        <v>17</v>
      </c>
      <c r="L44" s="463">
        <f>_xlfn.IFNA(VLOOKUP(A44,ECOM1!A:F,5,FALSE),0)</f>
        <v>1.6299999952316284</v>
      </c>
      <c r="M44" s="464">
        <f>_xlfn.IFNA(VLOOKUP(A44,ECOM1!A:F,4,FALSE),0)</f>
        <v>80</v>
      </c>
      <c r="N44" s="465">
        <f t="shared" si="8"/>
        <v>18.420000910758972</v>
      </c>
      <c r="O44" s="466">
        <f t="shared" si="9"/>
        <v>1888</v>
      </c>
      <c r="P44" s="452">
        <f>VLOOKUP(A44,'SPUNTA ARRIVI '!A:A,1,FALSE)</f>
        <v>1984</v>
      </c>
      <c r="Q44" s="467">
        <f>VLOOKUP(A44,'SPUNTA ARRIVI '!A:D,4,FALSE)-N44</f>
        <v>-5.5260002732276927</v>
      </c>
      <c r="R44" s="452">
        <f>_xlfn.IFNA(VLOOKUP(A44,TEXILE1!A:F,6,FALSE),0)</f>
        <v>192</v>
      </c>
      <c r="T44" s="468"/>
      <c r="V44" s="468"/>
      <c r="X44" s="469"/>
    </row>
    <row r="45" spans="1:24" x14ac:dyDescent="0.2">
      <c r="A45" s="475">
        <v>6760</v>
      </c>
      <c r="B45" s="459" t="s">
        <v>56</v>
      </c>
      <c r="C45" s="474" t="s">
        <v>35</v>
      </c>
      <c r="D45" s="462">
        <f t="shared" si="0"/>
        <v>137</v>
      </c>
      <c r="E45" s="462">
        <f>_xlfn.IFNA(VLOOKUP(A45,OTHER1!H:I,2,FALSE),0)</f>
        <v>0</v>
      </c>
      <c r="F45" s="463">
        <f>_xlfn.IFNA(VLOOKUP(A45,TEXILE1!A:F,5,FALSE),0)</f>
        <v>14.369999885559082</v>
      </c>
      <c r="G45" s="462">
        <f>_xlfn.IFNA(VLOOKUP(A45,TEXILE1!A:F,4,FALSE),0)</f>
        <v>2523</v>
      </c>
      <c r="H45" s="462">
        <f>_xlfn.IFNA(VLOOKUP(A45,SHOES1!A:F,6,FALSE),0)</f>
        <v>11</v>
      </c>
      <c r="I45" s="463">
        <f>_xlfn.IFNA(VLOOKUP(A45,SHOES1!A:F,5,FALSE),0)</f>
        <v>1.190000057220459</v>
      </c>
      <c r="J45" s="462">
        <f>_xlfn.IFNA(VLOOKUP(A45,SHOES1!A:F,4,FALSE),0)</f>
        <v>135</v>
      </c>
      <c r="K45" s="462">
        <f>_xlfn.IFNA(VLOOKUP(A45,ECOM1!A:F,6,FALSE),0)</f>
        <v>0</v>
      </c>
      <c r="L45" s="463">
        <f>_xlfn.IFNA(VLOOKUP(A45,ECOM1!A:F,5,FALSE),0)</f>
        <v>0</v>
      </c>
      <c r="M45" s="464">
        <f>_xlfn.IFNA(VLOOKUP(A45,ECOM1!A:F,4,FALSE),0)</f>
        <v>0</v>
      </c>
      <c r="N45" s="465">
        <f t="shared" si="8"/>
        <v>15.559999942779541</v>
      </c>
      <c r="O45" s="466">
        <f t="shared" si="9"/>
        <v>2658</v>
      </c>
      <c r="P45" s="452">
        <f>VLOOKUP(A45,'SPUNTA ARRIVI '!A:A,1,FALSE)</f>
        <v>6760</v>
      </c>
      <c r="Q45" s="467">
        <f>VLOOKUP(A45,'SPUNTA ARRIVI '!A:D,4,FALSE)-N45</f>
        <v>0</v>
      </c>
      <c r="R45" s="452">
        <f>_xlfn.IFNA(VLOOKUP(A45,TEXILE1!A:F,6,FALSE),0)</f>
        <v>137</v>
      </c>
      <c r="T45" s="468"/>
      <c r="V45" s="468"/>
      <c r="X45" s="469"/>
    </row>
    <row r="46" spans="1:24" x14ac:dyDescent="0.2">
      <c r="A46" s="475">
        <v>15733</v>
      </c>
      <c r="B46" s="459" t="s">
        <v>59</v>
      </c>
      <c r="C46" s="474" t="s">
        <v>172</v>
      </c>
      <c r="D46" s="462">
        <f t="shared" si="0"/>
        <v>1959</v>
      </c>
      <c r="E46" s="462">
        <f>_xlfn.IFNA(VLOOKUP(A46,OTHER1!H:I,2,FALSE),0)</f>
        <v>34</v>
      </c>
      <c r="F46" s="463">
        <f>_xlfn.IFNA(VLOOKUP(A46,TEXILE1!A:F,5,FALSE),0)</f>
        <v>228.97999572753906</v>
      </c>
      <c r="G46" s="462">
        <f>_xlfn.IFNA(VLOOKUP(A46,TEXILE1!A:F,4,FALSE),0)</f>
        <v>34252</v>
      </c>
      <c r="H46" s="462">
        <f>_xlfn.IFNA(VLOOKUP(A46,SHOES1!A:F,6,FALSE),0)</f>
        <v>162</v>
      </c>
      <c r="I46" s="463">
        <f>_xlfn.IFNA(VLOOKUP(A46,SHOES1!A:F,5,FALSE),0)</f>
        <v>16.100000381469727</v>
      </c>
      <c r="J46" s="462">
        <f>_xlfn.IFNA(VLOOKUP(A46,SHOES1!A:F,4,FALSE),0)</f>
        <v>1754</v>
      </c>
      <c r="K46" s="462">
        <f>_xlfn.IFNA(VLOOKUP(A46,ECOM1!A:F,6,FALSE),0)</f>
        <v>0</v>
      </c>
      <c r="L46" s="463">
        <f>_xlfn.IFNA(VLOOKUP(A46,ECOM1!A:F,5,FALSE),0)</f>
        <v>0</v>
      </c>
      <c r="M46" s="464">
        <f>_xlfn.IFNA(VLOOKUP(A46,ECOM1!A:F,4,FALSE),0)</f>
        <v>0</v>
      </c>
      <c r="N46" s="465">
        <f t="shared" si="8"/>
        <v>245.07999610900879</v>
      </c>
      <c r="O46" s="466">
        <f t="shared" si="9"/>
        <v>36006</v>
      </c>
      <c r="P46" s="452">
        <f>VLOOKUP(A46,'SPUNTA ARRIVI '!A:A,1,FALSE)</f>
        <v>15733</v>
      </c>
      <c r="Q46" s="467">
        <f>VLOOKUP(A46,'SPUNTA ARRIVI '!A:D,4,FALSE)-N46</f>
        <v>-163.38666407267254</v>
      </c>
      <c r="R46" s="452">
        <f>_xlfn.IFNA(VLOOKUP(A46,TEXILE1!A:F,6,FALSE),0)</f>
        <v>1993</v>
      </c>
      <c r="T46" s="468"/>
      <c r="V46" s="468"/>
      <c r="X46" s="469"/>
    </row>
    <row r="47" spans="1:24" x14ac:dyDescent="0.2">
      <c r="A47" s="473">
        <v>5641</v>
      </c>
      <c r="B47" s="460" t="s">
        <v>31</v>
      </c>
      <c r="C47" s="474" t="s">
        <v>73</v>
      </c>
      <c r="D47" s="462">
        <f t="shared" si="0"/>
        <v>111</v>
      </c>
      <c r="E47" s="462">
        <f>_xlfn.IFNA(VLOOKUP(A47,OTHER1!H:I,2,FALSE),0)</f>
        <v>0</v>
      </c>
      <c r="F47" s="463">
        <f>_xlfn.IFNA(VLOOKUP(A47,TEXILE1!A:F,5,FALSE),0)</f>
        <v>10.989999771118164</v>
      </c>
      <c r="G47" s="462">
        <f>_xlfn.IFNA(VLOOKUP(A47,TEXILE1!A:F,4,FALSE),0)</f>
        <v>1693</v>
      </c>
      <c r="H47" s="462">
        <f>_xlfn.IFNA(VLOOKUP(A47,SHOES1!A:F,6,FALSE),0)</f>
        <v>5</v>
      </c>
      <c r="I47" s="463">
        <f>_xlfn.IFNA(VLOOKUP(A47,SHOES1!A:F,5,FALSE),0)</f>
        <v>0.54000002145767212</v>
      </c>
      <c r="J47" s="462">
        <f>_xlfn.IFNA(VLOOKUP(A47,SHOES1!A:F,4,FALSE),0)</f>
        <v>64</v>
      </c>
      <c r="K47" s="462">
        <f>_xlfn.IFNA(VLOOKUP(A47,ECOM1!A:F,6,FALSE),0)</f>
        <v>1</v>
      </c>
      <c r="L47" s="463">
        <f>_xlfn.IFNA(VLOOKUP(A47,ECOM1!A:F,5,FALSE),0)</f>
        <v>0.10999999940395355</v>
      </c>
      <c r="M47" s="464">
        <f>_xlfn.IFNA(VLOOKUP(A47,ECOM1!A:F,4,FALSE),0)</f>
        <v>8</v>
      </c>
      <c r="N47" s="465">
        <f t="shared" si="8"/>
        <v>11.63999979197979</v>
      </c>
      <c r="O47" s="466">
        <f t="shared" si="9"/>
        <v>1765</v>
      </c>
      <c r="P47" s="452">
        <f>VLOOKUP(A47,'SPUNTA ARRIVI '!A:A,1,FALSE)</f>
        <v>5641</v>
      </c>
      <c r="Q47" s="467">
        <f>VLOOKUP(A47,'SPUNTA ARRIVI '!A:D,4,FALSE)-N47</f>
        <v>0</v>
      </c>
      <c r="R47" s="452">
        <f>_xlfn.IFNA(VLOOKUP(A47,TEXILE1!A:F,6,FALSE),0)</f>
        <v>111</v>
      </c>
      <c r="T47" s="468"/>
      <c r="V47" s="468"/>
      <c r="X47" s="469"/>
    </row>
    <row r="48" spans="1:24" x14ac:dyDescent="0.2">
      <c r="A48" s="473">
        <v>5405</v>
      </c>
      <c r="B48" s="460" t="s">
        <v>47</v>
      </c>
      <c r="C48" s="474" t="s">
        <v>73</v>
      </c>
      <c r="D48" s="462">
        <f t="shared" si="0"/>
        <v>120</v>
      </c>
      <c r="E48" s="462">
        <f>_xlfn.IFNA(VLOOKUP(A48,OTHER1!H:I,2,FALSE),0)</f>
        <v>0</v>
      </c>
      <c r="F48" s="463">
        <f>_xlfn.IFNA(VLOOKUP(A48,TEXILE1!A:F,5,FALSE),0)</f>
        <v>10.539999961853027</v>
      </c>
      <c r="G48" s="462">
        <f>_xlfn.IFNA(VLOOKUP(A48,TEXILE1!A:F,4,FALSE),0)</f>
        <v>1785</v>
      </c>
      <c r="H48" s="462">
        <f>_xlfn.IFNA(VLOOKUP(A48,SHOES1!A:F,6,FALSE),0)</f>
        <v>4</v>
      </c>
      <c r="I48" s="463">
        <f>_xlfn.IFNA(VLOOKUP(A48,SHOES1!A:F,5,FALSE),0)</f>
        <v>0.37999999523162842</v>
      </c>
      <c r="J48" s="462">
        <f>_xlfn.IFNA(VLOOKUP(A48,SHOES1!A:F,4,FALSE),0)</f>
        <v>40</v>
      </c>
      <c r="K48" s="462">
        <f>_xlfn.IFNA(VLOOKUP(A48,ECOM1!A:F,6,FALSE),0)</f>
        <v>2</v>
      </c>
      <c r="L48" s="463">
        <f>_xlfn.IFNA(VLOOKUP(A48,ECOM1!A:F,5,FALSE),0)</f>
        <v>0.18000000715255737</v>
      </c>
      <c r="M48" s="464">
        <f>_xlfn.IFNA(VLOOKUP(A48,ECOM1!A:F,4,FALSE),0)</f>
        <v>12</v>
      </c>
      <c r="N48" s="465">
        <f t="shared" si="8"/>
        <v>11.099999964237213</v>
      </c>
      <c r="O48" s="466">
        <f t="shared" si="9"/>
        <v>1837</v>
      </c>
      <c r="P48" s="452">
        <f>VLOOKUP(A48,'SPUNTA ARRIVI '!A:A,1,FALSE)</f>
        <v>5405</v>
      </c>
      <c r="Q48" s="467">
        <f>VLOOKUP(A48,'SPUNTA ARRIVI '!A:D,4,FALSE)-N48</f>
        <v>0</v>
      </c>
      <c r="R48" s="452">
        <f>_xlfn.IFNA(VLOOKUP(A48,TEXILE1!A:F,6,FALSE),0)</f>
        <v>120</v>
      </c>
      <c r="T48" s="468"/>
      <c r="V48" s="468"/>
      <c r="X48" s="469"/>
    </row>
    <row r="49" spans="1:24" x14ac:dyDescent="0.2">
      <c r="A49" s="473">
        <v>2972</v>
      </c>
      <c r="B49" s="460" t="s">
        <v>56</v>
      </c>
      <c r="C49" s="474" t="s">
        <v>73</v>
      </c>
      <c r="D49" s="462">
        <f t="shared" si="0"/>
        <v>73</v>
      </c>
      <c r="E49" s="462">
        <f>_xlfn.IFNA(VLOOKUP(A49,OTHER1!H:I,2,FALSE),0)</f>
        <v>0</v>
      </c>
      <c r="F49" s="463">
        <f>_xlfn.IFNA(VLOOKUP(A49,TEXILE1!A:F,5,FALSE),0)</f>
        <v>7.869999885559082</v>
      </c>
      <c r="G49" s="462">
        <f>_xlfn.IFNA(VLOOKUP(A49,TEXILE1!A:F,4,FALSE),0)</f>
        <v>1421</v>
      </c>
      <c r="H49" s="462">
        <f>_xlfn.IFNA(VLOOKUP(A49,SHOES1!A:F,6,FALSE),0)</f>
        <v>4</v>
      </c>
      <c r="I49" s="463">
        <f>_xlfn.IFNA(VLOOKUP(A49,SHOES1!A:F,5,FALSE),0)</f>
        <v>0.34999999403953552</v>
      </c>
      <c r="J49" s="462">
        <f>_xlfn.IFNA(VLOOKUP(A49,SHOES1!A:F,4,FALSE),0)</f>
        <v>40</v>
      </c>
      <c r="K49" s="462">
        <f>_xlfn.IFNA(VLOOKUP(A49,ECOM1!A:F,6,FALSE),0)</f>
        <v>0</v>
      </c>
      <c r="L49" s="463">
        <f>_xlfn.IFNA(VLOOKUP(A49,ECOM1!A:F,5,FALSE),0)</f>
        <v>0</v>
      </c>
      <c r="M49" s="464">
        <f>_xlfn.IFNA(VLOOKUP(A49,ECOM1!A:F,4,FALSE),0)</f>
        <v>0</v>
      </c>
      <c r="N49" s="465">
        <f t="shared" si="8"/>
        <v>8.2199998795986176</v>
      </c>
      <c r="O49" s="466">
        <f t="shared" si="9"/>
        <v>1461</v>
      </c>
      <c r="P49" s="452">
        <f>VLOOKUP(A49,'SPUNTA ARRIVI '!A:A,1,FALSE)</f>
        <v>2972</v>
      </c>
      <c r="Q49" s="467">
        <f>VLOOKUP(A49,'SPUNTA ARRIVI '!A:D,4,FALSE)-N49</f>
        <v>0</v>
      </c>
      <c r="R49" s="452">
        <f>_xlfn.IFNA(VLOOKUP(A49,TEXILE1!A:F,6,FALSE),0)</f>
        <v>73</v>
      </c>
      <c r="T49" s="468"/>
      <c r="V49" s="468"/>
      <c r="X49" s="469"/>
    </row>
    <row r="50" spans="1:24" x14ac:dyDescent="0.2">
      <c r="A50" s="473">
        <v>16351</v>
      </c>
      <c r="B50" s="476" t="s">
        <v>31</v>
      </c>
      <c r="C50" s="477" t="s">
        <v>260</v>
      </c>
      <c r="D50" s="462">
        <f t="shared" ref="D50" si="10">IF(R50&lt;&gt;0,+R50-E50,0)</f>
        <v>137</v>
      </c>
      <c r="E50" s="462">
        <f>_xlfn.IFNA(VLOOKUP(A50,OTHER1!H:I,2,FALSE),0)</f>
        <v>0</v>
      </c>
      <c r="F50" s="463">
        <f>_xlfn.IFNA(VLOOKUP(A50,TEXILE1!A:F,5,FALSE),0)</f>
        <v>13.439999580383301</v>
      </c>
      <c r="G50" s="462">
        <f>_xlfn.IFNA(VLOOKUP(A50,TEXILE1!A:F,4,FALSE),0)</f>
        <v>2101</v>
      </c>
      <c r="H50" s="462">
        <f>_xlfn.IFNA(VLOOKUP(A50,SHOES1!A:F,6,FALSE),0)</f>
        <v>9</v>
      </c>
      <c r="I50" s="463">
        <f>_xlfn.IFNA(VLOOKUP(A50,SHOES1!A:F,5,FALSE),0)</f>
        <v>0.81000000238418579</v>
      </c>
      <c r="J50" s="462">
        <f>_xlfn.IFNA(VLOOKUP(A50,SHOES1!A:F,4,FALSE),0)</f>
        <v>100</v>
      </c>
      <c r="K50" s="462">
        <f>_xlfn.IFNA(VLOOKUP(A50,ECOM1!A:F,6,FALSE),0)</f>
        <v>1</v>
      </c>
      <c r="L50" s="463">
        <f>_xlfn.IFNA(VLOOKUP(A50,ECOM1!A:F,5,FALSE),0)</f>
        <v>0.10999999940395355</v>
      </c>
      <c r="M50" s="464">
        <f>_xlfn.IFNA(VLOOKUP(A50,ECOM1!A:F,4,FALSE),0)</f>
        <v>7</v>
      </c>
      <c r="N50" s="465">
        <f t="shared" ref="N50" si="11">+F50+I50+L50</f>
        <v>14.35999958217144</v>
      </c>
      <c r="O50" s="466">
        <f t="shared" ref="O50" si="12">+G50+J50+M50</f>
        <v>2208</v>
      </c>
      <c r="P50" s="452">
        <f>VLOOKUP(A50,'SPUNTA ARRIVI '!A:A,1,FALSE)</f>
        <v>16351</v>
      </c>
      <c r="Q50" s="467">
        <f>VLOOKUP(A50,'SPUNTA ARRIVI '!A:D,4,FALSE)-N50</f>
        <v>0</v>
      </c>
      <c r="R50" s="452">
        <f>_xlfn.IFNA(VLOOKUP(A50,TEXILE1!A:F,6,FALSE),0)</f>
        <v>137</v>
      </c>
      <c r="T50" s="468"/>
      <c r="V50" s="468"/>
    </row>
    <row r="51" spans="1:24" x14ac:dyDescent="0.2">
      <c r="A51" s="473">
        <v>16564</v>
      </c>
      <c r="B51" s="476" t="s">
        <v>47</v>
      </c>
      <c r="C51" s="476" t="s">
        <v>260</v>
      </c>
      <c r="D51" s="462">
        <f t="shared" ref="D51" si="13">IF(R51&lt;&gt;0,+R51-E51,0)</f>
        <v>148</v>
      </c>
      <c r="E51" s="462">
        <f>_xlfn.IFNA(VLOOKUP(A51,OTHER1!H:I,2,FALSE),0)</f>
        <v>0</v>
      </c>
      <c r="F51" s="463">
        <f>_xlfn.IFNA(VLOOKUP(A51,TEXILE1!A:F,5,FALSE),0)</f>
        <v>13.060000419616699</v>
      </c>
      <c r="G51" s="462">
        <f>_xlfn.IFNA(VLOOKUP(A51,TEXILE1!A:F,4,FALSE),0)</f>
        <v>2052</v>
      </c>
      <c r="H51" s="462">
        <f>_xlfn.IFNA(VLOOKUP(A51,SHOES1!A:F,6,FALSE),0)</f>
        <v>10</v>
      </c>
      <c r="I51" s="463">
        <f>_xlfn.IFNA(VLOOKUP(A51,SHOES1!A:F,5,FALSE),0)</f>
        <v>0.86000001430511475</v>
      </c>
      <c r="J51" s="462">
        <f>_xlfn.IFNA(VLOOKUP(A51,SHOES1!A:F,4,FALSE),0)</f>
        <v>92</v>
      </c>
      <c r="K51" s="462">
        <f>_xlfn.IFNA(VLOOKUP(A51,ECOM1!A:F,6,FALSE),0)</f>
        <v>0</v>
      </c>
      <c r="L51" s="463">
        <f>_xlfn.IFNA(VLOOKUP(A51,ECOM1!A:F,5,FALSE),0)</f>
        <v>0</v>
      </c>
      <c r="M51" s="464">
        <f>_xlfn.IFNA(VLOOKUP(A51,ECOM1!A:F,4,FALSE),0)</f>
        <v>0</v>
      </c>
      <c r="N51" s="465">
        <f t="shared" ref="N51" si="14">+F51+I51+L51</f>
        <v>13.920000433921814</v>
      </c>
      <c r="O51" s="466">
        <f t="shared" ref="O51" si="15">+G51+J51+M51</f>
        <v>2144</v>
      </c>
      <c r="P51" s="452">
        <f>VLOOKUP(A51,'SPUNTA ARRIVI '!A:A,1,FALSE)</f>
        <v>16564</v>
      </c>
      <c r="Q51" s="467">
        <f>VLOOKUP(A51,'SPUNTA ARRIVI '!A:D,4,FALSE)-N51</f>
        <v>0</v>
      </c>
      <c r="R51" s="452">
        <f>_xlfn.IFNA(VLOOKUP(A51,TEXILE1!A:F,6,FALSE),0)</f>
        <v>148</v>
      </c>
      <c r="T51" s="468"/>
      <c r="V51" s="468"/>
    </row>
    <row r="52" spans="1:24" ht="13.5" customHeight="1" x14ac:dyDescent="0.2">
      <c r="A52" s="478">
        <v>17019</v>
      </c>
      <c r="B52" s="476" t="s">
        <v>301</v>
      </c>
      <c r="C52" s="479" t="s">
        <v>309</v>
      </c>
      <c r="D52" s="462">
        <f t="shared" ref="D52" si="16">IF(R52&lt;&gt;0,+R52-E52,0)</f>
        <v>45</v>
      </c>
      <c r="E52" s="462">
        <f>_xlfn.IFNA(VLOOKUP(A52,OTHER1!H:I,2,FALSE),0)</f>
        <v>3</v>
      </c>
      <c r="F52" s="463">
        <f>_xlfn.IFNA(VLOOKUP(A52,TEXILE1!A:F,5,FALSE),0)</f>
        <v>7.5300002098083496</v>
      </c>
      <c r="G52" s="462">
        <f>_xlfn.IFNA(VLOOKUP(A52,TEXILE1!A:F,4,FALSE),0)</f>
        <v>611</v>
      </c>
      <c r="H52" s="462">
        <f>_xlfn.IFNA(VLOOKUP(A52,SHOES1!A:F,6,FALSE),0)</f>
        <v>17</v>
      </c>
      <c r="I52" s="463">
        <f>_xlfn.IFNA(VLOOKUP(A52,SHOES1!A:F,5,FALSE),0)</f>
        <v>1.7300000190734863</v>
      </c>
      <c r="J52" s="462">
        <f>_xlfn.IFNA(VLOOKUP(A52,SHOES1!A:F,4,FALSE),0)</f>
        <v>158</v>
      </c>
      <c r="K52" s="462">
        <f>_xlfn.IFNA(VLOOKUP(A52,ECOM1!A:F,6,FALSE),0)</f>
        <v>0</v>
      </c>
      <c r="L52" s="463">
        <f>_xlfn.IFNA(VLOOKUP(A52,ECOM1!A:F,5,FALSE),0)</f>
        <v>0</v>
      </c>
      <c r="M52" s="464">
        <f>_xlfn.IFNA(VLOOKUP(A52,ECOM1!A:F,4,FALSE),0)</f>
        <v>0</v>
      </c>
      <c r="N52" s="465">
        <f t="shared" ref="N52" si="17">+F52+I52+L52</f>
        <v>9.2600002288818359</v>
      </c>
      <c r="O52" s="466">
        <f t="shared" ref="O52" si="18">+G52+J52+M52</f>
        <v>769</v>
      </c>
      <c r="P52" s="452">
        <f>VLOOKUP(A52,'SPUNTA ARRIVI '!A:A,1,FALSE)</f>
        <v>17019</v>
      </c>
      <c r="Q52" s="467">
        <f>VLOOKUP(A52,'SPUNTA ARRIVI '!A:D,4,FALSE)-N52</f>
        <v>0</v>
      </c>
      <c r="R52" s="452">
        <f>_xlfn.IFNA(VLOOKUP(A52,TEXILE1!A:F,6,FALSE),0)</f>
        <v>48</v>
      </c>
      <c r="T52" s="468"/>
      <c r="V52" s="468"/>
    </row>
    <row r="54" spans="1:24" x14ac:dyDescent="0.2">
      <c r="D54" s="480">
        <f>SUM(D3:D52)</f>
        <v>8952</v>
      </c>
      <c r="E54" s="480">
        <f>SUM(E3:E52)</f>
        <v>296</v>
      </c>
      <c r="F54" s="480">
        <f>SUM(F3:F52)</f>
        <v>961.72999477386475</v>
      </c>
      <c r="H54" s="480">
        <f>SUM(H3:H52)</f>
        <v>737</v>
      </c>
      <c r="I54" s="480">
        <f>SUM(I3:I52)</f>
        <v>70.990000262856483</v>
      </c>
      <c r="K54" s="480">
        <f>SUM(K3:K52)</f>
        <v>68</v>
      </c>
      <c r="L54" s="480">
        <f>SUM(L3:L52)</f>
        <v>6.6200000196695328</v>
      </c>
      <c r="N54" s="480">
        <f>SUM(N3:N52)</f>
        <v>1039.3399950563908</v>
      </c>
      <c r="R54" s="480">
        <f>SUM(R3:R52)</f>
        <v>9248</v>
      </c>
      <c r="T54" s="468"/>
      <c r="U54" s="468"/>
      <c r="V54" s="468"/>
    </row>
  </sheetData>
  <autoFilter ref="A2:O51" xr:uid="{96F13F4D-FAD4-41DD-B0FE-C781F284AF3B}"/>
  <mergeCells count="5">
    <mergeCell ref="K1:M1"/>
    <mergeCell ref="A1:C1"/>
    <mergeCell ref="D1:G1"/>
    <mergeCell ref="H1:J1"/>
    <mergeCell ref="N1:O1"/>
  </mergeCells>
  <conditionalFormatting sqref="N3:O51">
    <cfRule type="cellIs" dxfId="1" priority="5" operator="equal">
      <formula>0</formula>
    </cfRule>
  </conditionalFormatting>
  <conditionalFormatting sqref="N52:O52">
    <cfRule type="cellIs" dxfId="0" priority="3" operator="equal">
      <formula>0</formula>
    </cfRule>
  </conditionalFormatting>
  <pageMargins left="0.7" right="0.7" top="0.75" bottom="0.75" header="0.3" footer="0.3"/>
  <pageSetup paperSize="9" scale="41" orientation="landscape" r:id="rId1"/>
  <ignoredErrors>
    <ignoredError sqref="D38:M51 D21:M32 D3:M13 D34:M37 D33 E33:M33 D52 E52:N52 D14:M20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BD12-6783-405E-8F76-EDE86DCADAEA}">
  <sheetPr codeName="Foglio12"/>
  <dimension ref="A1:F60"/>
  <sheetViews>
    <sheetView workbookViewId="0">
      <selection sqref="A1:AA999"/>
    </sheetView>
  </sheetViews>
  <sheetFormatPr defaultRowHeight="15" x14ac:dyDescent="0.25"/>
  <cols>
    <col min="1" max="2" width="28.140625" style="67" customWidth="1"/>
    <col min="3" max="4" width="9.7109375" style="67" customWidth="1"/>
    <col min="5" max="5" width="15.28515625" style="67" bestFit="1" customWidth="1"/>
    <col min="6" max="6" width="9.7109375" style="67" customWidth="1"/>
    <col min="7" max="256" width="8.85546875" style="67"/>
    <col min="257" max="258" width="28.140625" style="67" customWidth="1"/>
    <col min="259" max="262" width="9.7109375" style="67" customWidth="1"/>
    <col min="263" max="512" width="8.85546875" style="67"/>
    <col min="513" max="514" width="28.140625" style="67" customWidth="1"/>
    <col min="515" max="518" width="9.7109375" style="67" customWidth="1"/>
    <col min="519" max="768" width="8.85546875" style="67"/>
    <col min="769" max="770" width="28.140625" style="67" customWidth="1"/>
    <col min="771" max="774" width="9.7109375" style="67" customWidth="1"/>
    <col min="775" max="1024" width="8.85546875" style="67"/>
    <col min="1025" max="1026" width="28.140625" style="67" customWidth="1"/>
    <col min="1027" max="1030" width="9.7109375" style="67" customWidth="1"/>
    <col min="1031" max="1280" width="8.85546875" style="67"/>
    <col min="1281" max="1282" width="28.140625" style="67" customWidth="1"/>
    <col min="1283" max="1286" width="9.7109375" style="67" customWidth="1"/>
    <col min="1287" max="1536" width="8.85546875" style="67"/>
    <col min="1537" max="1538" width="28.140625" style="67" customWidth="1"/>
    <col min="1539" max="1542" width="9.7109375" style="67" customWidth="1"/>
    <col min="1543" max="1792" width="8.85546875" style="67"/>
    <col min="1793" max="1794" width="28.140625" style="67" customWidth="1"/>
    <col min="1795" max="1798" width="9.7109375" style="67" customWidth="1"/>
    <col min="1799" max="2048" width="8.85546875" style="67"/>
    <col min="2049" max="2050" width="28.140625" style="67" customWidth="1"/>
    <col min="2051" max="2054" width="9.7109375" style="67" customWidth="1"/>
    <col min="2055" max="2304" width="8.85546875" style="67"/>
    <col min="2305" max="2306" width="28.140625" style="67" customWidth="1"/>
    <col min="2307" max="2310" width="9.7109375" style="67" customWidth="1"/>
    <col min="2311" max="2560" width="8.85546875" style="67"/>
    <col min="2561" max="2562" width="28.140625" style="67" customWidth="1"/>
    <col min="2563" max="2566" width="9.7109375" style="67" customWidth="1"/>
    <col min="2567" max="2816" width="8.85546875" style="67"/>
    <col min="2817" max="2818" width="28.140625" style="67" customWidth="1"/>
    <col min="2819" max="2822" width="9.7109375" style="67" customWidth="1"/>
    <col min="2823" max="3072" width="8.85546875" style="67"/>
    <col min="3073" max="3074" width="28.140625" style="67" customWidth="1"/>
    <col min="3075" max="3078" width="9.7109375" style="67" customWidth="1"/>
    <col min="3079" max="3328" width="8.85546875" style="67"/>
    <col min="3329" max="3330" width="28.140625" style="67" customWidth="1"/>
    <col min="3331" max="3334" width="9.7109375" style="67" customWidth="1"/>
    <col min="3335" max="3584" width="8.85546875" style="67"/>
    <col min="3585" max="3586" width="28.140625" style="67" customWidth="1"/>
    <col min="3587" max="3590" width="9.7109375" style="67" customWidth="1"/>
    <col min="3591" max="3840" width="8.85546875" style="67"/>
    <col min="3841" max="3842" width="28.140625" style="67" customWidth="1"/>
    <col min="3843" max="3846" width="9.7109375" style="67" customWidth="1"/>
    <col min="3847" max="4096" width="8.85546875" style="67"/>
    <col min="4097" max="4098" width="28.140625" style="67" customWidth="1"/>
    <col min="4099" max="4102" width="9.7109375" style="67" customWidth="1"/>
    <col min="4103" max="4352" width="8.85546875" style="67"/>
    <col min="4353" max="4354" width="28.140625" style="67" customWidth="1"/>
    <col min="4355" max="4358" width="9.7109375" style="67" customWidth="1"/>
    <col min="4359" max="4608" width="8.85546875" style="67"/>
    <col min="4609" max="4610" width="28.140625" style="67" customWidth="1"/>
    <col min="4611" max="4614" width="9.7109375" style="67" customWidth="1"/>
    <col min="4615" max="4864" width="8.85546875" style="67"/>
    <col min="4865" max="4866" width="28.140625" style="67" customWidth="1"/>
    <col min="4867" max="4870" width="9.7109375" style="67" customWidth="1"/>
    <col min="4871" max="5120" width="8.85546875" style="67"/>
    <col min="5121" max="5122" width="28.140625" style="67" customWidth="1"/>
    <col min="5123" max="5126" width="9.7109375" style="67" customWidth="1"/>
    <col min="5127" max="5376" width="8.85546875" style="67"/>
    <col min="5377" max="5378" width="28.140625" style="67" customWidth="1"/>
    <col min="5379" max="5382" width="9.7109375" style="67" customWidth="1"/>
    <col min="5383" max="5632" width="8.85546875" style="67"/>
    <col min="5633" max="5634" width="28.140625" style="67" customWidth="1"/>
    <col min="5635" max="5638" width="9.7109375" style="67" customWidth="1"/>
    <col min="5639" max="5888" width="8.85546875" style="67"/>
    <col min="5889" max="5890" width="28.140625" style="67" customWidth="1"/>
    <col min="5891" max="5894" width="9.7109375" style="67" customWidth="1"/>
    <col min="5895" max="6144" width="8.85546875" style="67"/>
    <col min="6145" max="6146" width="28.140625" style="67" customWidth="1"/>
    <col min="6147" max="6150" width="9.7109375" style="67" customWidth="1"/>
    <col min="6151" max="6400" width="8.85546875" style="67"/>
    <col min="6401" max="6402" width="28.140625" style="67" customWidth="1"/>
    <col min="6403" max="6406" width="9.7109375" style="67" customWidth="1"/>
    <col min="6407" max="6656" width="8.85546875" style="67"/>
    <col min="6657" max="6658" width="28.140625" style="67" customWidth="1"/>
    <col min="6659" max="6662" width="9.7109375" style="67" customWidth="1"/>
    <col min="6663" max="6912" width="8.85546875" style="67"/>
    <col min="6913" max="6914" width="28.140625" style="67" customWidth="1"/>
    <col min="6915" max="6918" width="9.7109375" style="67" customWidth="1"/>
    <col min="6919" max="7168" width="8.85546875" style="67"/>
    <col min="7169" max="7170" width="28.140625" style="67" customWidth="1"/>
    <col min="7171" max="7174" width="9.7109375" style="67" customWidth="1"/>
    <col min="7175" max="7424" width="8.85546875" style="67"/>
    <col min="7425" max="7426" width="28.140625" style="67" customWidth="1"/>
    <col min="7427" max="7430" width="9.7109375" style="67" customWidth="1"/>
    <col min="7431" max="7680" width="8.85546875" style="67"/>
    <col min="7681" max="7682" width="28.140625" style="67" customWidth="1"/>
    <col min="7683" max="7686" width="9.7109375" style="67" customWidth="1"/>
    <col min="7687" max="7936" width="8.85546875" style="67"/>
    <col min="7937" max="7938" width="28.140625" style="67" customWidth="1"/>
    <col min="7939" max="7942" width="9.7109375" style="67" customWidth="1"/>
    <col min="7943" max="8192" width="8.85546875" style="67"/>
    <col min="8193" max="8194" width="28.140625" style="67" customWidth="1"/>
    <col min="8195" max="8198" width="9.7109375" style="67" customWidth="1"/>
    <col min="8199" max="8448" width="8.85546875" style="67"/>
    <col min="8449" max="8450" width="28.140625" style="67" customWidth="1"/>
    <col min="8451" max="8454" width="9.7109375" style="67" customWidth="1"/>
    <col min="8455" max="8704" width="8.85546875" style="67"/>
    <col min="8705" max="8706" width="28.140625" style="67" customWidth="1"/>
    <col min="8707" max="8710" width="9.7109375" style="67" customWidth="1"/>
    <col min="8711" max="8960" width="8.85546875" style="67"/>
    <col min="8961" max="8962" width="28.140625" style="67" customWidth="1"/>
    <col min="8963" max="8966" width="9.7109375" style="67" customWidth="1"/>
    <col min="8967" max="9216" width="8.85546875" style="67"/>
    <col min="9217" max="9218" width="28.140625" style="67" customWidth="1"/>
    <col min="9219" max="9222" width="9.7109375" style="67" customWidth="1"/>
    <col min="9223" max="9472" width="8.85546875" style="67"/>
    <col min="9473" max="9474" width="28.140625" style="67" customWidth="1"/>
    <col min="9475" max="9478" width="9.7109375" style="67" customWidth="1"/>
    <col min="9479" max="9728" width="8.85546875" style="67"/>
    <col min="9729" max="9730" width="28.140625" style="67" customWidth="1"/>
    <col min="9731" max="9734" width="9.7109375" style="67" customWidth="1"/>
    <col min="9735" max="9984" width="8.85546875" style="67"/>
    <col min="9985" max="9986" width="28.140625" style="67" customWidth="1"/>
    <col min="9987" max="9990" width="9.7109375" style="67" customWidth="1"/>
    <col min="9991" max="10240" width="8.85546875" style="67"/>
    <col min="10241" max="10242" width="28.140625" style="67" customWidth="1"/>
    <col min="10243" max="10246" width="9.7109375" style="67" customWidth="1"/>
    <col min="10247" max="10496" width="8.85546875" style="67"/>
    <col min="10497" max="10498" width="28.140625" style="67" customWidth="1"/>
    <col min="10499" max="10502" width="9.7109375" style="67" customWidth="1"/>
    <col min="10503" max="10752" width="8.85546875" style="67"/>
    <col min="10753" max="10754" width="28.140625" style="67" customWidth="1"/>
    <col min="10755" max="10758" width="9.7109375" style="67" customWidth="1"/>
    <col min="10759" max="11008" width="8.85546875" style="67"/>
    <col min="11009" max="11010" width="28.140625" style="67" customWidth="1"/>
    <col min="11011" max="11014" width="9.7109375" style="67" customWidth="1"/>
    <col min="11015" max="11264" width="8.85546875" style="67"/>
    <col min="11265" max="11266" width="28.140625" style="67" customWidth="1"/>
    <col min="11267" max="11270" width="9.7109375" style="67" customWidth="1"/>
    <col min="11271" max="11520" width="8.85546875" style="67"/>
    <col min="11521" max="11522" width="28.140625" style="67" customWidth="1"/>
    <col min="11523" max="11526" width="9.7109375" style="67" customWidth="1"/>
    <col min="11527" max="11776" width="8.85546875" style="67"/>
    <col min="11777" max="11778" width="28.140625" style="67" customWidth="1"/>
    <col min="11779" max="11782" width="9.7109375" style="67" customWidth="1"/>
    <col min="11783" max="12032" width="8.85546875" style="67"/>
    <col min="12033" max="12034" width="28.140625" style="67" customWidth="1"/>
    <col min="12035" max="12038" width="9.7109375" style="67" customWidth="1"/>
    <col min="12039" max="12288" width="8.85546875" style="67"/>
    <col min="12289" max="12290" width="28.140625" style="67" customWidth="1"/>
    <col min="12291" max="12294" width="9.7109375" style="67" customWidth="1"/>
    <col min="12295" max="12544" width="8.85546875" style="67"/>
    <col min="12545" max="12546" width="28.140625" style="67" customWidth="1"/>
    <col min="12547" max="12550" width="9.7109375" style="67" customWidth="1"/>
    <col min="12551" max="12800" width="8.85546875" style="67"/>
    <col min="12801" max="12802" width="28.140625" style="67" customWidth="1"/>
    <col min="12803" max="12806" width="9.7109375" style="67" customWidth="1"/>
    <col min="12807" max="13056" width="8.85546875" style="67"/>
    <col min="13057" max="13058" width="28.140625" style="67" customWidth="1"/>
    <col min="13059" max="13062" width="9.7109375" style="67" customWidth="1"/>
    <col min="13063" max="13312" width="8.85546875" style="67"/>
    <col min="13313" max="13314" width="28.140625" style="67" customWidth="1"/>
    <col min="13315" max="13318" width="9.7109375" style="67" customWidth="1"/>
    <col min="13319" max="13568" width="8.85546875" style="67"/>
    <col min="13569" max="13570" width="28.140625" style="67" customWidth="1"/>
    <col min="13571" max="13574" width="9.7109375" style="67" customWidth="1"/>
    <col min="13575" max="13824" width="8.85546875" style="67"/>
    <col min="13825" max="13826" width="28.140625" style="67" customWidth="1"/>
    <col min="13827" max="13830" width="9.7109375" style="67" customWidth="1"/>
    <col min="13831" max="14080" width="8.85546875" style="67"/>
    <col min="14081" max="14082" width="28.140625" style="67" customWidth="1"/>
    <col min="14083" max="14086" width="9.7109375" style="67" customWidth="1"/>
    <col min="14087" max="14336" width="8.85546875" style="67"/>
    <col min="14337" max="14338" width="28.140625" style="67" customWidth="1"/>
    <col min="14339" max="14342" width="9.7109375" style="67" customWidth="1"/>
    <col min="14343" max="14592" width="8.85546875" style="67"/>
    <col min="14593" max="14594" width="28.140625" style="67" customWidth="1"/>
    <col min="14595" max="14598" width="9.7109375" style="67" customWidth="1"/>
    <col min="14599" max="14848" width="8.85546875" style="67"/>
    <col min="14849" max="14850" width="28.140625" style="67" customWidth="1"/>
    <col min="14851" max="14854" width="9.7109375" style="67" customWidth="1"/>
    <col min="14855" max="15104" width="8.85546875" style="67"/>
    <col min="15105" max="15106" width="28.140625" style="67" customWidth="1"/>
    <col min="15107" max="15110" width="9.7109375" style="67" customWidth="1"/>
    <col min="15111" max="15360" width="8.85546875" style="67"/>
    <col min="15361" max="15362" width="28.140625" style="67" customWidth="1"/>
    <col min="15363" max="15366" width="9.7109375" style="67" customWidth="1"/>
    <col min="15367" max="15616" width="8.85546875" style="67"/>
    <col min="15617" max="15618" width="28.140625" style="67" customWidth="1"/>
    <col min="15619" max="15622" width="9.7109375" style="67" customWidth="1"/>
    <col min="15623" max="15872" width="8.85546875" style="67"/>
    <col min="15873" max="15874" width="28.140625" style="67" customWidth="1"/>
    <col min="15875" max="15878" width="9.7109375" style="67" customWidth="1"/>
    <col min="15879" max="16128" width="8.85546875" style="67"/>
    <col min="16129" max="16130" width="28.140625" style="67" customWidth="1"/>
    <col min="16131" max="16134" width="9.7109375" style="67" customWidth="1"/>
    <col min="16135" max="16384" width="8.85546875" style="67"/>
  </cols>
  <sheetData>
    <row r="1" spans="1:6" x14ac:dyDescent="0.25">
      <c r="A1" s="127" t="s">
        <v>254</v>
      </c>
      <c r="B1" s="127"/>
      <c r="C1" s="127"/>
      <c r="D1" s="127"/>
      <c r="E1" s="127"/>
      <c r="F1" s="127"/>
    </row>
    <row r="4" spans="1:6" x14ac:dyDescent="0.25">
      <c r="A4" s="67" t="s">
        <v>255</v>
      </c>
      <c r="B4" s="67" t="s">
        <v>353</v>
      </c>
    </row>
    <row r="7" spans="1:6" x14ac:dyDescent="0.25">
      <c r="A7" s="128" t="s">
        <v>256</v>
      </c>
    </row>
    <row r="8" spans="1:6" x14ac:dyDescent="0.25">
      <c r="A8" s="129" t="s">
        <v>173</v>
      </c>
      <c r="B8" s="129" t="s">
        <v>174</v>
      </c>
      <c r="C8" s="129" t="s">
        <v>175</v>
      </c>
      <c r="D8" s="129" t="s">
        <v>176</v>
      </c>
      <c r="E8" s="129" t="s">
        <v>177</v>
      </c>
      <c r="F8" s="129" t="s">
        <v>178</v>
      </c>
    </row>
    <row r="9" spans="1:6" x14ac:dyDescent="0.25">
      <c r="A9" s="448" t="s">
        <v>136</v>
      </c>
      <c r="B9" s="130">
        <v>4754</v>
      </c>
      <c r="C9" s="130">
        <v>6190</v>
      </c>
      <c r="D9" s="130">
        <v>5019</v>
      </c>
      <c r="E9" s="131">
        <v>33.919998168945313</v>
      </c>
      <c r="F9" s="130">
        <v>300</v>
      </c>
    </row>
    <row r="10" spans="1:6" x14ac:dyDescent="0.25">
      <c r="A10" s="448" t="s">
        <v>164</v>
      </c>
      <c r="B10" s="130">
        <v>0</v>
      </c>
      <c r="C10" s="130">
        <v>1909</v>
      </c>
      <c r="D10" s="130">
        <v>902</v>
      </c>
      <c r="E10" s="131">
        <v>9.1899995803833008</v>
      </c>
      <c r="F10" s="130">
        <v>105</v>
      </c>
    </row>
    <row r="11" spans="1:6" x14ac:dyDescent="0.25">
      <c r="A11" s="449" t="s">
        <v>165</v>
      </c>
      <c r="B11" s="130">
        <v>0</v>
      </c>
      <c r="C11" s="130">
        <v>3521</v>
      </c>
      <c r="D11" s="130">
        <v>1324</v>
      </c>
      <c r="E11" s="131">
        <v>13.560000419616699</v>
      </c>
      <c r="F11" s="130">
        <v>151</v>
      </c>
    </row>
    <row r="12" spans="1:6" x14ac:dyDescent="0.25">
      <c r="A12" s="448" t="s">
        <v>214</v>
      </c>
      <c r="B12" s="130">
        <v>0</v>
      </c>
      <c r="C12" s="130">
        <v>4528</v>
      </c>
      <c r="D12" s="130">
        <v>1888</v>
      </c>
      <c r="E12" s="131">
        <v>18.420000076293945</v>
      </c>
      <c r="F12" s="130">
        <v>209</v>
      </c>
    </row>
    <row r="13" spans="1:6" x14ac:dyDescent="0.25">
      <c r="A13" s="448" t="s">
        <v>160</v>
      </c>
      <c r="B13" s="130">
        <v>32</v>
      </c>
      <c r="C13" s="130">
        <v>905</v>
      </c>
      <c r="D13" s="130">
        <v>356</v>
      </c>
      <c r="E13" s="131">
        <v>2.6400001049041748</v>
      </c>
      <c r="F13" s="130">
        <v>30</v>
      </c>
    </row>
    <row r="14" spans="1:6" x14ac:dyDescent="0.25">
      <c r="A14" s="448" t="s">
        <v>285</v>
      </c>
      <c r="B14" s="130">
        <v>40</v>
      </c>
      <c r="C14" s="130">
        <v>919</v>
      </c>
      <c r="D14" s="130">
        <v>346</v>
      </c>
      <c r="E14" s="131">
        <v>2.559999942779541</v>
      </c>
      <c r="F14" s="130">
        <v>29</v>
      </c>
    </row>
    <row r="15" spans="1:6" x14ac:dyDescent="0.25">
      <c r="A15" s="448" t="s">
        <v>222</v>
      </c>
      <c r="B15" s="130">
        <v>457</v>
      </c>
      <c r="C15" s="130">
        <v>4227</v>
      </c>
      <c r="D15" s="130">
        <v>2379</v>
      </c>
      <c r="E15" s="131">
        <v>13.560000419616699</v>
      </c>
      <c r="F15" s="130">
        <v>130</v>
      </c>
    </row>
    <row r="16" spans="1:6" x14ac:dyDescent="0.25">
      <c r="A16" s="448" t="s">
        <v>158</v>
      </c>
      <c r="B16" s="130">
        <v>499</v>
      </c>
      <c r="C16" s="130">
        <v>4195</v>
      </c>
      <c r="D16" s="130">
        <v>2369</v>
      </c>
      <c r="E16" s="131">
        <v>13.289999961853027</v>
      </c>
      <c r="F16" s="130">
        <v>125</v>
      </c>
    </row>
    <row r="17" spans="1:6" x14ac:dyDescent="0.25">
      <c r="A17" s="448" t="s">
        <v>212</v>
      </c>
      <c r="B17" s="130">
        <v>314</v>
      </c>
      <c r="C17" s="130">
        <v>2412</v>
      </c>
      <c r="D17" s="130">
        <v>1461</v>
      </c>
      <c r="E17" s="131">
        <v>8.2200002670288086</v>
      </c>
      <c r="F17" s="130">
        <v>77</v>
      </c>
    </row>
    <row r="18" spans="1:6" x14ac:dyDescent="0.25">
      <c r="A18" s="448" t="s">
        <v>208</v>
      </c>
      <c r="B18" s="130">
        <v>5283</v>
      </c>
      <c r="C18" s="130">
        <v>8580</v>
      </c>
      <c r="D18" s="130">
        <v>6709</v>
      </c>
      <c r="E18" s="131">
        <v>47.200000762939453</v>
      </c>
      <c r="F18" s="130">
        <v>422</v>
      </c>
    </row>
    <row r="19" spans="1:6" x14ac:dyDescent="0.25">
      <c r="A19" s="448" t="s">
        <v>137</v>
      </c>
      <c r="B19" s="130">
        <v>3751</v>
      </c>
      <c r="C19" s="130">
        <v>7447</v>
      </c>
      <c r="D19" s="130">
        <v>5035</v>
      </c>
      <c r="E19" s="131">
        <v>34.150001525878906</v>
      </c>
      <c r="F19" s="130">
        <v>333</v>
      </c>
    </row>
    <row r="20" spans="1:6" x14ac:dyDescent="0.25">
      <c r="A20" s="449" t="s">
        <v>138</v>
      </c>
      <c r="B20" s="130">
        <v>4069</v>
      </c>
      <c r="C20" s="130">
        <v>9658</v>
      </c>
      <c r="D20" s="130">
        <v>5705</v>
      </c>
      <c r="E20" s="131">
        <v>37.430000305175781</v>
      </c>
      <c r="F20" s="130">
        <v>375</v>
      </c>
    </row>
    <row r="21" spans="1:6" x14ac:dyDescent="0.25">
      <c r="A21" s="449" t="s">
        <v>139</v>
      </c>
      <c r="B21" s="130">
        <v>3303</v>
      </c>
      <c r="C21" s="130">
        <v>6303</v>
      </c>
      <c r="D21" s="130">
        <v>4330</v>
      </c>
      <c r="E21" s="131">
        <v>29.399999618530273</v>
      </c>
      <c r="F21" s="130">
        <v>284</v>
      </c>
    </row>
    <row r="22" spans="1:6" x14ac:dyDescent="0.25">
      <c r="A22" s="448" t="s">
        <v>227</v>
      </c>
      <c r="B22" s="130">
        <v>181</v>
      </c>
      <c r="C22" s="130">
        <v>481</v>
      </c>
      <c r="D22" s="130">
        <v>347</v>
      </c>
      <c r="E22" s="131">
        <v>2.9300000667572021</v>
      </c>
      <c r="F22" s="130">
        <v>28</v>
      </c>
    </row>
    <row r="23" spans="1:6" x14ac:dyDescent="0.25">
      <c r="A23" s="448" t="s">
        <v>127</v>
      </c>
      <c r="B23" s="130">
        <v>393</v>
      </c>
      <c r="C23" s="130">
        <v>2020</v>
      </c>
      <c r="D23" s="130">
        <v>1647</v>
      </c>
      <c r="E23" s="131">
        <v>10.640000343322754</v>
      </c>
      <c r="F23" s="130">
        <v>119</v>
      </c>
    </row>
    <row r="24" spans="1:6" x14ac:dyDescent="0.25">
      <c r="A24" s="448" t="s">
        <v>223</v>
      </c>
      <c r="B24" s="130">
        <v>662</v>
      </c>
      <c r="C24" s="130">
        <v>3424</v>
      </c>
      <c r="D24" s="130">
        <v>2933</v>
      </c>
      <c r="E24" s="131">
        <v>18.340000152587891</v>
      </c>
      <c r="F24" s="130">
        <v>219</v>
      </c>
    </row>
    <row r="25" spans="1:6" x14ac:dyDescent="0.25">
      <c r="A25" s="448" t="s">
        <v>213</v>
      </c>
      <c r="B25" s="130">
        <v>644</v>
      </c>
      <c r="C25" s="130">
        <v>3623</v>
      </c>
      <c r="D25" s="130">
        <v>2860</v>
      </c>
      <c r="E25" s="131">
        <v>18.010000228881836</v>
      </c>
      <c r="F25" s="130">
        <v>204</v>
      </c>
    </row>
    <row r="26" spans="1:6" x14ac:dyDescent="0.25">
      <c r="A26" s="448" t="s">
        <v>128</v>
      </c>
      <c r="B26" s="130">
        <v>316</v>
      </c>
      <c r="C26" s="130">
        <v>1895</v>
      </c>
      <c r="D26" s="130">
        <v>1557</v>
      </c>
      <c r="E26" s="131">
        <v>9.5100002288818359</v>
      </c>
      <c r="F26" s="130">
        <v>107</v>
      </c>
    </row>
    <row r="27" spans="1:6" x14ac:dyDescent="0.25">
      <c r="A27" s="448" t="s">
        <v>118</v>
      </c>
      <c r="B27" s="130">
        <v>140</v>
      </c>
      <c r="C27" s="130">
        <v>1293</v>
      </c>
      <c r="D27" s="130">
        <v>807</v>
      </c>
      <c r="E27" s="131">
        <v>5.5999999046325684</v>
      </c>
      <c r="F27" s="130">
        <v>60</v>
      </c>
    </row>
    <row r="28" spans="1:6" x14ac:dyDescent="0.25">
      <c r="A28" s="448" t="s">
        <v>129</v>
      </c>
      <c r="B28" s="130">
        <v>359</v>
      </c>
      <c r="C28" s="130">
        <v>2304</v>
      </c>
      <c r="D28" s="130">
        <v>1829</v>
      </c>
      <c r="E28" s="131">
        <v>12.300000190734863</v>
      </c>
      <c r="F28" s="130">
        <v>143</v>
      </c>
    </row>
    <row r="29" spans="1:6" x14ac:dyDescent="0.25">
      <c r="A29" s="448" t="s">
        <v>130</v>
      </c>
      <c r="B29" s="130">
        <v>633</v>
      </c>
      <c r="C29" s="130">
        <v>4770</v>
      </c>
      <c r="D29" s="130">
        <v>2658</v>
      </c>
      <c r="E29" s="131">
        <v>15.560000419616699</v>
      </c>
      <c r="F29" s="130">
        <v>148</v>
      </c>
    </row>
    <row r="30" spans="1:6" x14ac:dyDescent="0.25">
      <c r="A30" s="448" t="s">
        <v>317</v>
      </c>
      <c r="B30" s="130">
        <v>124</v>
      </c>
      <c r="C30" s="130">
        <v>0</v>
      </c>
      <c r="D30" s="130">
        <v>112</v>
      </c>
      <c r="E30" s="131">
        <v>0.93999999761581421</v>
      </c>
      <c r="F30" s="130">
        <v>9</v>
      </c>
    </row>
    <row r="31" spans="1:6" x14ac:dyDescent="0.25">
      <c r="A31" s="448" t="s">
        <v>207</v>
      </c>
      <c r="B31" s="130">
        <v>331</v>
      </c>
      <c r="C31" s="130">
        <v>3151</v>
      </c>
      <c r="D31" s="130">
        <v>1777</v>
      </c>
      <c r="E31" s="131">
        <v>9.8299999237060547</v>
      </c>
      <c r="F31" s="130">
        <v>97</v>
      </c>
    </row>
    <row r="32" spans="1:6" x14ac:dyDescent="0.25">
      <c r="A32" s="448" t="s">
        <v>119</v>
      </c>
      <c r="B32" s="130">
        <v>107</v>
      </c>
      <c r="C32" s="130">
        <v>1556</v>
      </c>
      <c r="D32" s="130">
        <v>982</v>
      </c>
      <c r="E32" s="131">
        <v>6.25</v>
      </c>
      <c r="F32" s="130">
        <v>73</v>
      </c>
    </row>
    <row r="33" spans="1:6" x14ac:dyDescent="0.25">
      <c r="A33" s="448" t="s">
        <v>120</v>
      </c>
      <c r="B33" s="130">
        <v>117</v>
      </c>
      <c r="C33" s="130">
        <v>2181</v>
      </c>
      <c r="D33" s="130">
        <v>1283</v>
      </c>
      <c r="E33" s="131">
        <v>8.5</v>
      </c>
      <c r="F33" s="130">
        <v>97</v>
      </c>
    </row>
    <row r="34" spans="1:6" x14ac:dyDescent="0.25">
      <c r="A34" s="448" t="s">
        <v>121</v>
      </c>
      <c r="B34" s="130">
        <v>131</v>
      </c>
      <c r="C34" s="130">
        <v>316</v>
      </c>
      <c r="D34" s="130">
        <v>261</v>
      </c>
      <c r="E34" s="131">
        <v>2.3199999332427979</v>
      </c>
      <c r="F34" s="130">
        <v>24</v>
      </c>
    </row>
    <row r="35" spans="1:6" x14ac:dyDescent="0.25">
      <c r="A35" s="448" t="s">
        <v>122</v>
      </c>
      <c r="B35" s="130">
        <v>68</v>
      </c>
      <c r="C35" s="130">
        <v>964</v>
      </c>
      <c r="D35" s="130">
        <v>555</v>
      </c>
      <c r="E35" s="131">
        <v>3.7000000476837158</v>
      </c>
      <c r="F35" s="130">
        <v>41</v>
      </c>
    </row>
    <row r="36" spans="1:6" x14ac:dyDescent="0.25">
      <c r="A36" s="448" t="s">
        <v>140</v>
      </c>
      <c r="B36" s="130">
        <v>4445</v>
      </c>
      <c r="C36" s="130">
        <v>7450</v>
      </c>
      <c r="D36" s="130">
        <v>5112</v>
      </c>
      <c r="E36" s="131">
        <v>36.270000457763672</v>
      </c>
      <c r="F36" s="130">
        <v>360</v>
      </c>
    </row>
    <row r="37" spans="1:6" x14ac:dyDescent="0.25">
      <c r="A37" s="448" t="s">
        <v>131</v>
      </c>
      <c r="B37" s="130">
        <v>147</v>
      </c>
      <c r="C37" s="130">
        <v>1401</v>
      </c>
      <c r="D37" s="130">
        <v>784</v>
      </c>
      <c r="E37" s="131">
        <v>5.0500001907348633</v>
      </c>
      <c r="F37" s="130">
        <v>50</v>
      </c>
    </row>
    <row r="38" spans="1:6" x14ac:dyDescent="0.25">
      <c r="A38" s="448" t="s">
        <v>132</v>
      </c>
      <c r="B38" s="130">
        <v>183</v>
      </c>
      <c r="C38" s="130">
        <v>1249</v>
      </c>
      <c r="D38" s="130">
        <v>1010</v>
      </c>
      <c r="E38" s="131">
        <v>6.3299999237060547</v>
      </c>
      <c r="F38" s="130">
        <v>70</v>
      </c>
    </row>
    <row r="39" spans="1:6" x14ac:dyDescent="0.25">
      <c r="A39" s="448" t="s">
        <v>133</v>
      </c>
      <c r="B39" s="130">
        <v>184</v>
      </c>
      <c r="C39" s="130">
        <v>1036</v>
      </c>
      <c r="D39" s="130">
        <v>879</v>
      </c>
      <c r="E39" s="131">
        <v>5.7699999809265137</v>
      </c>
      <c r="F39" s="130">
        <v>68</v>
      </c>
    </row>
    <row r="40" spans="1:6" x14ac:dyDescent="0.25">
      <c r="A40" s="448" t="s">
        <v>123</v>
      </c>
      <c r="B40" s="130">
        <v>28</v>
      </c>
      <c r="C40" s="130">
        <v>837</v>
      </c>
      <c r="D40" s="130">
        <v>425</v>
      </c>
      <c r="E40" s="131">
        <v>2.8299999237060547</v>
      </c>
      <c r="F40" s="130">
        <v>32</v>
      </c>
    </row>
    <row r="41" spans="1:6" x14ac:dyDescent="0.25">
      <c r="A41" s="448" t="s">
        <v>141</v>
      </c>
      <c r="B41" s="130">
        <v>3026</v>
      </c>
      <c r="C41" s="130">
        <v>6623</v>
      </c>
      <c r="D41" s="130">
        <v>4179</v>
      </c>
      <c r="E41" s="131">
        <v>28.930000305175781</v>
      </c>
      <c r="F41" s="130">
        <v>272</v>
      </c>
    </row>
    <row r="42" spans="1:6" x14ac:dyDescent="0.25">
      <c r="A42" s="448" t="s">
        <v>134</v>
      </c>
      <c r="B42" s="130">
        <v>245</v>
      </c>
      <c r="C42" s="130">
        <v>2277</v>
      </c>
      <c r="D42" s="130">
        <v>1184</v>
      </c>
      <c r="E42" s="131">
        <v>6.4600000381469727</v>
      </c>
      <c r="F42" s="130">
        <v>63</v>
      </c>
    </row>
    <row r="43" spans="1:6" x14ac:dyDescent="0.25">
      <c r="A43" s="448" t="s">
        <v>135</v>
      </c>
      <c r="B43" s="130">
        <v>129</v>
      </c>
      <c r="C43" s="130">
        <v>1045</v>
      </c>
      <c r="D43" s="130">
        <v>813</v>
      </c>
      <c r="E43" s="131">
        <v>5.130000114440918</v>
      </c>
      <c r="F43" s="130">
        <v>58</v>
      </c>
    </row>
    <row r="44" spans="1:6" x14ac:dyDescent="0.25">
      <c r="A44" s="448" t="s">
        <v>142</v>
      </c>
      <c r="B44" s="130">
        <v>135</v>
      </c>
      <c r="C44" s="130">
        <v>563</v>
      </c>
      <c r="D44" s="130">
        <v>388</v>
      </c>
      <c r="E44" s="131">
        <v>2.440000057220459</v>
      </c>
      <c r="F44" s="130">
        <v>24</v>
      </c>
    </row>
    <row r="45" spans="1:6" x14ac:dyDescent="0.25">
      <c r="A45" s="448" t="s">
        <v>143</v>
      </c>
      <c r="B45" s="130">
        <v>2135</v>
      </c>
      <c r="C45" s="130">
        <v>4198</v>
      </c>
      <c r="D45" s="130">
        <v>2981</v>
      </c>
      <c r="E45" s="131">
        <v>21.020000457763672</v>
      </c>
      <c r="F45" s="130">
        <v>193</v>
      </c>
    </row>
    <row r="46" spans="1:6" x14ac:dyDescent="0.25">
      <c r="A46" s="448" t="s">
        <v>124</v>
      </c>
      <c r="B46" s="130">
        <v>90</v>
      </c>
      <c r="C46" s="130">
        <v>1015</v>
      </c>
      <c r="D46" s="130">
        <v>605</v>
      </c>
      <c r="E46" s="131">
        <v>3.7999999523162842</v>
      </c>
      <c r="F46" s="130">
        <v>41</v>
      </c>
    </row>
    <row r="47" spans="1:6" x14ac:dyDescent="0.25">
      <c r="A47" s="448" t="s">
        <v>166</v>
      </c>
      <c r="B47" s="130">
        <v>231</v>
      </c>
      <c r="C47" s="130">
        <v>2995</v>
      </c>
      <c r="D47" s="130">
        <v>1627</v>
      </c>
      <c r="E47" s="131">
        <v>10.289999961853027</v>
      </c>
      <c r="F47" s="130">
        <v>114</v>
      </c>
    </row>
    <row r="48" spans="1:6" x14ac:dyDescent="0.25">
      <c r="A48" s="448" t="s">
        <v>125</v>
      </c>
      <c r="B48" s="130">
        <v>222</v>
      </c>
      <c r="C48" s="130">
        <v>3101</v>
      </c>
      <c r="D48" s="130">
        <v>1778</v>
      </c>
      <c r="E48" s="131">
        <v>11.170000076293945</v>
      </c>
      <c r="F48" s="130">
        <v>124</v>
      </c>
    </row>
    <row r="49" spans="1:6" x14ac:dyDescent="0.25">
      <c r="A49" s="448" t="s">
        <v>307</v>
      </c>
      <c r="B49" s="130">
        <v>24134</v>
      </c>
      <c r="C49" s="130">
        <v>37151</v>
      </c>
      <c r="D49" s="130">
        <v>27197</v>
      </c>
      <c r="E49" s="131">
        <v>185.55999755859375</v>
      </c>
      <c r="F49" s="130">
        <v>1652</v>
      </c>
    </row>
    <row r="50" spans="1:6" x14ac:dyDescent="0.25">
      <c r="A50" s="448" t="s">
        <v>304</v>
      </c>
      <c r="B50" s="130">
        <v>58</v>
      </c>
      <c r="C50" s="130">
        <v>1336</v>
      </c>
      <c r="D50" s="130">
        <v>775</v>
      </c>
      <c r="E50" s="131">
        <v>4.9499998092651367</v>
      </c>
      <c r="F50" s="130">
        <v>55</v>
      </c>
    </row>
    <row r="51" spans="1:6" x14ac:dyDescent="0.25">
      <c r="A51" s="448" t="s">
        <v>209</v>
      </c>
      <c r="B51" s="130">
        <v>425</v>
      </c>
      <c r="C51" s="130">
        <v>2125</v>
      </c>
      <c r="D51" s="130">
        <v>1836</v>
      </c>
      <c r="E51" s="131">
        <v>11.710000038146973</v>
      </c>
      <c r="F51" s="130">
        <v>127</v>
      </c>
    </row>
    <row r="52" spans="1:6" x14ac:dyDescent="0.25">
      <c r="A52" s="448" t="s">
        <v>305</v>
      </c>
      <c r="B52" s="130">
        <v>402</v>
      </c>
      <c r="C52" s="130">
        <v>3241</v>
      </c>
      <c r="D52" s="130">
        <v>1764</v>
      </c>
      <c r="E52" s="131">
        <v>10.220000267028809</v>
      </c>
      <c r="F52" s="130">
        <v>99</v>
      </c>
    </row>
    <row r="53" spans="1:6" x14ac:dyDescent="0.25">
      <c r="A53" s="448" t="s">
        <v>259</v>
      </c>
      <c r="B53" s="130">
        <v>153</v>
      </c>
      <c r="C53" s="130">
        <v>1906</v>
      </c>
      <c r="D53" s="130">
        <v>1256</v>
      </c>
      <c r="E53" s="131">
        <v>8.0200004577636719</v>
      </c>
      <c r="F53" s="130">
        <v>91</v>
      </c>
    </row>
    <row r="54" spans="1:6" x14ac:dyDescent="0.25">
      <c r="A54" s="448" t="s">
        <v>266</v>
      </c>
      <c r="B54" s="130">
        <v>418</v>
      </c>
      <c r="C54" s="130">
        <v>2200</v>
      </c>
      <c r="D54" s="130">
        <v>1892</v>
      </c>
      <c r="E54" s="131">
        <v>12.430000305175781</v>
      </c>
      <c r="F54" s="130">
        <v>141</v>
      </c>
    </row>
    <row r="55" spans="1:6" x14ac:dyDescent="0.25">
      <c r="A55" s="448" t="s">
        <v>298</v>
      </c>
      <c r="B55" s="130">
        <v>299</v>
      </c>
      <c r="C55" s="130">
        <v>2084</v>
      </c>
      <c r="D55" s="130">
        <v>1248</v>
      </c>
      <c r="E55" s="131">
        <v>7.5</v>
      </c>
      <c r="F55" s="130">
        <v>70</v>
      </c>
    </row>
    <row r="56" spans="1:6" x14ac:dyDescent="0.25">
      <c r="A56" s="448" t="s">
        <v>299</v>
      </c>
      <c r="B56" s="130">
        <v>5779</v>
      </c>
      <c r="C56" s="130">
        <v>9464</v>
      </c>
      <c r="D56" s="130">
        <v>7374</v>
      </c>
      <c r="E56" s="131">
        <v>50.509998321533203</v>
      </c>
      <c r="F56" s="130">
        <v>451</v>
      </c>
    </row>
    <row r="57" spans="1:6" x14ac:dyDescent="0.25">
      <c r="A57" s="449" t="s">
        <v>308</v>
      </c>
      <c r="B57" s="130">
        <v>343</v>
      </c>
      <c r="C57" s="130">
        <v>1015</v>
      </c>
      <c r="D57" s="130">
        <v>929</v>
      </c>
      <c r="E57" s="131">
        <v>9.8999996185302734</v>
      </c>
      <c r="F57" s="130">
        <v>75</v>
      </c>
    </row>
    <row r="58" spans="1:6" x14ac:dyDescent="0.25">
      <c r="A58" s="67" t="s">
        <v>126</v>
      </c>
      <c r="B58" s="130">
        <v>69919</v>
      </c>
      <c r="C58" s="130">
        <v>183084</v>
      </c>
      <c r="D58" s="130">
        <v>123467</v>
      </c>
      <c r="E58" s="131">
        <v>834.260009765625</v>
      </c>
      <c r="F58" s="130">
        <v>8169</v>
      </c>
    </row>
    <row r="59" spans="1:6" x14ac:dyDescent="0.25">
      <c r="B59" s="130"/>
      <c r="C59" s="130"/>
      <c r="D59" s="130"/>
      <c r="E59" s="131"/>
      <c r="F59" s="130"/>
    </row>
    <row r="60" spans="1:6" x14ac:dyDescent="0.25">
      <c r="A60" s="127"/>
      <c r="B60" s="132"/>
      <c r="C60" s="132"/>
      <c r="D60" s="132"/>
      <c r="E60" s="133"/>
      <c r="F60" s="13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09056-718B-4B7A-8010-68288FC73FA1}">
  <sheetPr codeName="Foglio9"/>
  <dimension ref="A1:F58"/>
  <sheetViews>
    <sheetView workbookViewId="0">
      <selection sqref="A1:AA999"/>
    </sheetView>
  </sheetViews>
  <sheetFormatPr defaultRowHeight="15" x14ac:dyDescent="0.25"/>
  <cols>
    <col min="1" max="1" width="22.5703125" style="67" bestFit="1" customWidth="1"/>
    <col min="2" max="2" width="6" style="67" bestFit="1" customWidth="1"/>
    <col min="3" max="3" width="7" style="67" bestFit="1" customWidth="1"/>
    <col min="4" max="4" width="6" style="67" bestFit="1" customWidth="1"/>
    <col min="5" max="5" width="15.28515625" style="67" bestFit="1" customWidth="1"/>
    <col min="6" max="6" width="5" style="67" bestFit="1" customWidth="1"/>
    <col min="7" max="256" width="8.85546875" style="67"/>
    <col min="257" max="258" width="28.140625" style="67" customWidth="1"/>
    <col min="259" max="262" width="9.7109375" style="67" customWidth="1"/>
    <col min="263" max="512" width="8.85546875" style="67"/>
    <col min="513" max="514" width="28.140625" style="67" customWidth="1"/>
    <col min="515" max="518" width="9.7109375" style="67" customWidth="1"/>
    <col min="519" max="768" width="8.85546875" style="67"/>
    <col min="769" max="770" width="28.140625" style="67" customWidth="1"/>
    <col min="771" max="774" width="9.7109375" style="67" customWidth="1"/>
    <col min="775" max="1024" width="8.85546875" style="67"/>
    <col min="1025" max="1026" width="28.140625" style="67" customWidth="1"/>
    <col min="1027" max="1030" width="9.7109375" style="67" customWidth="1"/>
    <col min="1031" max="1280" width="8.85546875" style="67"/>
    <col min="1281" max="1282" width="28.140625" style="67" customWidth="1"/>
    <col min="1283" max="1286" width="9.7109375" style="67" customWidth="1"/>
    <col min="1287" max="1536" width="8.85546875" style="67"/>
    <col min="1537" max="1538" width="28.140625" style="67" customWidth="1"/>
    <col min="1539" max="1542" width="9.7109375" style="67" customWidth="1"/>
    <col min="1543" max="1792" width="8.85546875" style="67"/>
    <col min="1793" max="1794" width="28.140625" style="67" customWidth="1"/>
    <col min="1795" max="1798" width="9.7109375" style="67" customWidth="1"/>
    <col min="1799" max="2048" width="8.85546875" style="67"/>
    <col min="2049" max="2050" width="28.140625" style="67" customWidth="1"/>
    <col min="2051" max="2054" width="9.7109375" style="67" customWidth="1"/>
    <col min="2055" max="2304" width="8.85546875" style="67"/>
    <col min="2305" max="2306" width="28.140625" style="67" customWidth="1"/>
    <col min="2307" max="2310" width="9.7109375" style="67" customWidth="1"/>
    <col min="2311" max="2560" width="8.85546875" style="67"/>
    <col min="2561" max="2562" width="28.140625" style="67" customWidth="1"/>
    <col min="2563" max="2566" width="9.7109375" style="67" customWidth="1"/>
    <col min="2567" max="2816" width="8.85546875" style="67"/>
    <col min="2817" max="2818" width="28.140625" style="67" customWidth="1"/>
    <col min="2819" max="2822" width="9.7109375" style="67" customWidth="1"/>
    <col min="2823" max="3072" width="8.85546875" style="67"/>
    <col min="3073" max="3074" width="28.140625" style="67" customWidth="1"/>
    <col min="3075" max="3078" width="9.7109375" style="67" customWidth="1"/>
    <col min="3079" max="3328" width="8.85546875" style="67"/>
    <col min="3329" max="3330" width="28.140625" style="67" customWidth="1"/>
    <col min="3331" max="3334" width="9.7109375" style="67" customWidth="1"/>
    <col min="3335" max="3584" width="8.85546875" style="67"/>
    <col min="3585" max="3586" width="28.140625" style="67" customWidth="1"/>
    <col min="3587" max="3590" width="9.7109375" style="67" customWidth="1"/>
    <col min="3591" max="3840" width="8.85546875" style="67"/>
    <col min="3841" max="3842" width="28.140625" style="67" customWidth="1"/>
    <col min="3843" max="3846" width="9.7109375" style="67" customWidth="1"/>
    <col min="3847" max="4096" width="8.85546875" style="67"/>
    <col min="4097" max="4098" width="28.140625" style="67" customWidth="1"/>
    <col min="4099" max="4102" width="9.7109375" style="67" customWidth="1"/>
    <col min="4103" max="4352" width="8.85546875" style="67"/>
    <col min="4353" max="4354" width="28.140625" style="67" customWidth="1"/>
    <col min="4355" max="4358" width="9.7109375" style="67" customWidth="1"/>
    <col min="4359" max="4608" width="8.85546875" style="67"/>
    <col min="4609" max="4610" width="28.140625" style="67" customWidth="1"/>
    <col min="4611" max="4614" width="9.7109375" style="67" customWidth="1"/>
    <col min="4615" max="4864" width="8.85546875" style="67"/>
    <col min="4865" max="4866" width="28.140625" style="67" customWidth="1"/>
    <col min="4867" max="4870" width="9.7109375" style="67" customWidth="1"/>
    <col min="4871" max="5120" width="8.85546875" style="67"/>
    <col min="5121" max="5122" width="28.140625" style="67" customWidth="1"/>
    <col min="5123" max="5126" width="9.7109375" style="67" customWidth="1"/>
    <col min="5127" max="5376" width="8.85546875" style="67"/>
    <col min="5377" max="5378" width="28.140625" style="67" customWidth="1"/>
    <col min="5379" max="5382" width="9.7109375" style="67" customWidth="1"/>
    <col min="5383" max="5632" width="8.85546875" style="67"/>
    <col min="5633" max="5634" width="28.140625" style="67" customWidth="1"/>
    <col min="5635" max="5638" width="9.7109375" style="67" customWidth="1"/>
    <col min="5639" max="5888" width="8.85546875" style="67"/>
    <col min="5889" max="5890" width="28.140625" style="67" customWidth="1"/>
    <col min="5891" max="5894" width="9.7109375" style="67" customWidth="1"/>
    <col min="5895" max="6144" width="8.85546875" style="67"/>
    <col min="6145" max="6146" width="28.140625" style="67" customWidth="1"/>
    <col min="6147" max="6150" width="9.7109375" style="67" customWidth="1"/>
    <col min="6151" max="6400" width="8.85546875" style="67"/>
    <col min="6401" max="6402" width="28.140625" style="67" customWidth="1"/>
    <col min="6403" max="6406" width="9.7109375" style="67" customWidth="1"/>
    <col min="6407" max="6656" width="8.85546875" style="67"/>
    <col min="6657" max="6658" width="28.140625" style="67" customWidth="1"/>
    <col min="6659" max="6662" width="9.7109375" style="67" customWidth="1"/>
    <col min="6663" max="6912" width="8.85546875" style="67"/>
    <col min="6913" max="6914" width="28.140625" style="67" customWidth="1"/>
    <col min="6915" max="6918" width="9.7109375" style="67" customWidth="1"/>
    <col min="6919" max="7168" width="8.85546875" style="67"/>
    <col min="7169" max="7170" width="28.140625" style="67" customWidth="1"/>
    <col min="7171" max="7174" width="9.7109375" style="67" customWidth="1"/>
    <col min="7175" max="7424" width="8.85546875" style="67"/>
    <col min="7425" max="7426" width="28.140625" style="67" customWidth="1"/>
    <col min="7427" max="7430" width="9.7109375" style="67" customWidth="1"/>
    <col min="7431" max="7680" width="8.85546875" style="67"/>
    <col min="7681" max="7682" width="28.140625" style="67" customWidth="1"/>
    <col min="7683" max="7686" width="9.7109375" style="67" customWidth="1"/>
    <col min="7687" max="7936" width="8.85546875" style="67"/>
    <col min="7937" max="7938" width="28.140625" style="67" customWidth="1"/>
    <col min="7939" max="7942" width="9.7109375" style="67" customWidth="1"/>
    <col min="7943" max="8192" width="8.85546875" style="67"/>
    <col min="8193" max="8194" width="28.140625" style="67" customWidth="1"/>
    <col min="8195" max="8198" width="9.7109375" style="67" customWidth="1"/>
    <col min="8199" max="8448" width="8.85546875" style="67"/>
    <col min="8449" max="8450" width="28.140625" style="67" customWidth="1"/>
    <col min="8451" max="8454" width="9.7109375" style="67" customWidth="1"/>
    <col min="8455" max="8704" width="8.85546875" style="67"/>
    <col min="8705" max="8706" width="28.140625" style="67" customWidth="1"/>
    <col min="8707" max="8710" width="9.7109375" style="67" customWidth="1"/>
    <col min="8711" max="8960" width="8.85546875" style="67"/>
    <col min="8961" max="8962" width="28.140625" style="67" customWidth="1"/>
    <col min="8963" max="8966" width="9.7109375" style="67" customWidth="1"/>
    <col min="8967" max="9216" width="8.85546875" style="67"/>
    <col min="9217" max="9218" width="28.140625" style="67" customWidth="1"/>
    <col min="9219" max="9222" width="9.7109375" style="67" customWidth="1"/>
    <col min="9223" max="9472" width="8.85546875" style="67"/>
    <col min="9473" max="9474" width="28.140625" style="67" customWidth="1"/>
    <col min="9475" max="9478" width="9.7109375" style="67" customWidth="1"/>
    <col min="9479" max="9728" width="8.85546875" style="67"/>
    <col min="9729" max="9730" width="28.140625" style="67" customWidth="1"/>
    <col min="9731" max="9734" width="9.7109375" style="67" customWidth="1"/>
    <col min="9735" max="9984" width="8.85546875" style="67"/>
    <col min="9985" max="9986" width="28.140625" style="67" customWidth="1"/>
    <col min="9987" max="9990" width="9.7109375" style="67" customWidth="1"/>
    <col min="9991" max="10240" width="8.85546875" style="67"/>
    <col min="10241" max="10242" width="28.140625" style="67" customWidth="1"/>
    <col min="10243" max="10246" width="9.7109375" style="67" customWidth="1"/>
    <col min="10247" max="10496" width="8.85546875" style="67"/>
    <col min="10497" max="10498" width="28.140625" style="67" customWidth="1"/>
    <col min="10499" max="10502" width="9.7109375" style="67" customWidth="1"/>
    <col min="10503" max="10752" width="8.85546875" style="67"/>
    <col min="10753" max="10754" width="28.140625" style="67" customWidth="1"/>
    <col min="10755" max="10758" width="9.7109375" style="67" customWidth="1"/>
    <col min="10759" max="11008" width="8.85546875" style="67"/>
    <col min="11009" max="11010" width="28.140625" style="67" customWidth="1"/>
    <col min="11011" max="11014" width="9.7109375" style="67" customWidth="1"/>
    <col min="11015" max="11264" width="8.85546875" style="67"/>
    <col min="11265" max="11266" width="28.140625" style="67" customWidth="1"/>
    <col min="11267" max="11270" width="9.7109375" style="67" customWidth="1"/>
    <col min="11271" max="11520" width="8.85546875" style="67"/>
    <col min="11521" max="11522" width="28.140625" style="67" customWidth="1"/>
    <col min="11523" max="11526" width="9.7109375" style="67" customWidth="1"/>
    <col min="11527" max="11776" width="8.85546875" style="67"/>
    <col min="11777" max="11778" width="28.140625" style="67" customWidth="1"/>
    <col min="11779" max="11782" width="9.7109375" style="67" customWidth="1"/>
    <col min="11783" max="12032" width="8.85546875" style="67"/>
    <col min="12033" max="12034" width="28.140625" style="67" customWidth="1"/>
    <col min="12035" max="12038" width="9.7109375" style="67" customWidth="1"/>
    <col min="12039" max="12288" width="8.85546875" style="67"/>
    <col min="12289" max="12290" width="28.140625" style="67" customWidth="1"/>
    <col min="12291" max="12294" width="9.7109375" style="67" customWidth="1"/>
    <col min="12295" max="12544" width="8.85546875" style="67"/>
    <col min="12545" max="12546" width="28.140625" style="67" customWidth="1"/>
    <col min="12547" max="12550" width="9.7109375" style="67" customWidth="1"/>
    <col min="12551" max="12800" width="8.85546875" style="67"/>
    <col min="12801" max="12802" width="28.140625" style="67" customWidth="1"/>
    <col min="12803" max="12806" width="9.7109375" style="67" customWidth="1"/>
    <col min="12807" max="13056" width="8.85546875" style="67"/>
    <col min="13057" max="13058" width="28.140625" style="67" customWidth="1"/>
    <col min="13059" max="13062" width="9.7109375" style="67" customWidth="1"/>
    <col min="13063" max="13312" width="8.85546875" style="67"/>
    <col min="13313" max="13314" width="28.140625" style="67" customWidth="1"/>
    <col min="13315" max="13318" width="9.7109375" style="67" customWidth="1"/>
    <col min="13319" max="13568" width="8.85546875" style="67"/>
    <col min="13569" max="13570" width="28.140625" style="67" customWidth="1"/>
    <col min="13571" max="13574" width="9.7109375" style="67" customWidth="1"/>
    <col min="13575" max="13824" width="8.85546875" style="67"/>
    <col min="13825" max="13826" width="28.140625" style="67" customWidth="1"/>
    <col min="13827" max="13830" width="9.7109375" style="67" customWidth="1"/>
    <col min="13831" max="14080" width="8.85546875" style="67"/>
    <col min="14081" max="14082" width="28.140625" style="67" customWidth="1"/>
    <col min="14083" max="14086" width="9.7109375" style="67" customWidth="1"/>
    <col min="14087" max="14336" width="8.85546875" style="67"/>
    <col min="14337" max="14338" width="28.140625" style="67" customWidth="1"/>
    <col min="14339" max="14342" width="9.7109375" style="67" customWidth="1"/>
    <col min="14343" max="14592" width="8.85546875" style="67"/>
    <col min="14593" max="14594" width="28.140625" style="67" customWidth="1"/>
    <col min="14595" max="14598" width="9.7109375" style="67" customWidth="1"/>
    <col min="14599" max="14848" width="8.85546875" style="67"/>
    <col min="14849" max="14850" width="28.140625" style="67" customWidth="1"/>
    <col min="14851" max="14854" width="9.7109375" style="67" customWidth="1"/>
    <col min="14855" max="15104" width="8.85546875" style="67"/>
    <col min="15105" max="15106" width="28.140625" style="67" customWidth="1"/>
    <col min="15107" max="15110" width="9.7109375" style="67" customWidth="1"/>
    <col min="15111" max="15360" width="8.85546875" style="67"/>
    <col min="15361" max="15362" width="28.140625" style="67" customWidth="1"/>
    <col min="15363" max="15366" width="9.7109375" style="67" customWidth="1"/>
    <col min="15367" max="15616" width="8.85546875" style="67"/>
    <col min="15617" max="15618" width="28.140625" style="67" customWidth="1"/>
    <col min="15619" max="15622" width="9.7109375" style="67" customWidth="1"/>
    <col min="15623" max="15872" width="8.85546875" style="67"/>
    <col min="15873" max="15874" width="28.140625" style="67" customWidth="1"/>
    <col min="15875" max="15878" width="9.7109375" style="67" customWidth="1"/>
    <col min="15879" max="16128" width="8.85546875" style="67"/>
    <col min="16129" max="16130" width="28.140625" style="67" customWidth="1"/>
    <col min="16131" max="16134" width="9.7109375" style="67" customWidth="1"/>
    <col min="16135" max="16384" width="8.85546875" style="67"/>
  </cols>
  <sheetData>
    <row r="1" spans="1:6" x14ac:dyDescent="0.25">
      <c r="A1" s="67" t="s">
        <v>254</v>
      </c>
    </row>
    <row r="4" spans="1:6" x14ac:dyDescent="0.25">
      <c r="A4" s="67" t="s">
        <v>255</v>
      </c>
      <c r="B4" s="67" t="s">
        <v>356</v>
      </c>
    </row>
    <row r="7" spans="1:6" x14ac:dyDescent="0.25">
      <c r="A7" s="67" t="s">
        <v>256</v>
      </c>
    </row>
    <row r="8" spans="1:6" x14ac:dyDescent="0.25">
      <c r="A8" s="67" t="s">
        <v>173</v>
      </c>
      <c r="B8" s="67" t="s">
        <v>174</v>
      </c>
      <c r="C8" s="67" t="s">
        <v>175</v>
      </c>
      <c r="D8" s="67" t="s">
        <v>176</v>
      </c>
      <c r="E8" s="67" t="s">
        <v>177</v>
      </c>
      <c r="F8" s="67" t="s">
        <v>178</v>
      </c>
    </row>
    <row r="9" spans="1:6" x14ac:dyDescent="0.25">
      <c r="A9" s="67" t="s">
        <v>136</v>
      </c>
      <c r="B9" s="67">
        <v>4256</v>
      </c>
      <c r="C9" s="67">
        <v>6180</v>
      </c>
      <c r="D9" s="67">
        <v>4608</v>
      </c>
      <c r="E9" s="67">
        <v>30.360000610351563</v>
      </c>
      <c r="F9" s="67">
        <v>264</v>
      </c>
    </row>
    <row r="10" spans="1:6" x14ac:dyDescent="0.25">
      <c r="A10" s="67" t="s">
        <v>164</v>
      </c>
      <c r="B10" s="67">
        <v>0</v>
      </c>
      <c r="C10" s="67">
        <v>1858</v>
      </c>
      <c r="D10" s="67">
        <v>848</v>
      </c>
      <c r="E10" s="67">
        <v>7.8400001525878906</v>
      </c>
      <c r="F10" s="67">
        <v>91</v>
      </c>
    </row>
    <row r="11" spans="1:6" x14ac:dyDescent="0.25">
      <c r="A11" s="67" t="s">
        <v>165</v>
      </c>
      <c r="B11" s="67">
        <v>0</v>
      </c>
      <c r="C11" s="67">
        <v>3478</v>
      </c>
      <c r="D11" s="67">
        <v>1284</v>
      </c>
      <c r="E11" s="67">
        <v>12.510000228881836</v>
      </c>
      <c r="F11" s="67">
        <v>140</v>
      </c>
    </row>
    <row r="12" spans="1:6" x14ac:dyDescent="0.25">
      <c r="A12" s="67" t="s">
        <v>214</v>
      </c>
      <c r="B12" s="67">
        <v>0</v>
      </c>
      <c r="C12" s="67">
        <v>4457</v>
      </c>
      <c r="D12" s="67">
        <v>1808</v>
      </c>
      <c r="E12" s="67">
        <v>16.790000915527344</v>
      </c>
      <c r="F12" s="67">
        <v>192</v>
      </c>
    </row>
    <row r="13" spans="1:6" x14ac:dyDescent="0.25">
      <c r="A13" s="67" t="s">
        <v>160</v>
      </c>
      <c r="B13" s="67">
        <v>0</v>
      </c>
      <c r="C13" s="67">
        <v>886</v>
      </c>
      <c r="D13" s="67">
        <v>335</v>
      </c>
      <c r="E13" s="67">
        <v>2.3299999237060547</v>
      </c>
      <c r="F13" s="67">
        <v>27</v>
      </c>
    </row>
    <row r="14" spans="1:6" x14ac:dyDescent="0.25">
      <c r="A14" s="67" t="s">
        <v>285</v>
      </c>
      <c r="B14" s="67">
        <v>0</v>
      </c>
      <c r="C14" s="67">
        <v>908</v>
      </c>
      <c r="D14" s="67">
        <v>319</v>
      </c>
      <c r="E14" s="67">
        <v>2.2400000095367432</v>
      </c>
      <c r="F14" s="67">
        <v>26</v>
      </c>
    </row>
    <row r="15" spans="1:6" x14ac:dyDescent="0.25">
      <c r="A15" s="67" t="s">
        <v>222</v>
      </c>
      <c r="B15" s="67">
        <v>408</v>
      </c>
      <c r="C15" s="67">
        <v>4227</v>
      </c>
      <c r="D15" s="67">
        <v>2334</v>
      </c>
      <c r="E15" s="67">
        <v>13.130000114440918</v>
      </c>
      <c r="F15" s="67">
        <v>126</v>
      </c>
    </row>
    <row r="16" spans="1:6" x14ac:dyDescent="0.25">
      <c r="A16" s="67" t="s">
        <v>158</v>
      </c>
      <c r="B16" s="67">
        <v>441</v>
      </c>
      <c r="C16" s="67">
        <v>4195</v>
      </c>
      <c r="D16" s="67">
        <v>2315</v>
      </c>
      <c r="E16" s="67">
        <v>12.739999771118164</v>
      </c>
      <c r="F16" s="67">
        <v>119</v>
      </c>
    </row>
    <row r="17" spans="1:6" x14ac:dyDescent="0.25">
      <c r="A17" s="67" t="s">
        <v>212</v>
      </c>
      <c r="B17" s="67">
        <v>266</v>
      </c>
      <c r="C17" s="67">
        <v>2412</v>
      </c>
      <c r="D17" s="67">
        <v>1421</v>
      </c>
      <c r="E17" s="67">
        <v>7.869999885559082</v>
      </c>
      <c r="F17" s="67">
        <v>73</v>
      </c>
    </row>
    <row r="18" spans="1:6" x14ac:dyDescent="0.25">
      <c r="A18" s="67" t="s">
        <v>208</v>
      </c>
      <c r="B18" s="67">
        <v>4737</v>
      </c>
      <c r="C18" s="67">
        <v>8558</v>
      </c>
      <c r="D18" s="67">
        <v>6282</v>
      </c>
      <c r="E18" s="67">
        <v>43.349998474121094</v>
      </c>
      <c r="F18" s="67">
        <v>382</v>
      </c>
    </row>
    <row r="19" spans="1:6" x14ac:dyDescent="0.25">
      <c r="A19" s="67" t="s">
        <v>137</v>
      </c>
      <c r="B19" s="67">
        <v>3336</v>
      </c>
      <c r="C19" s="67">
        <v>7440</v>
      </c>
      <c r="D19" s="67">
        <v>4709</v>
      </c>
      <c r="E19" s="67">
        <v>31.190000534057617</v>
      </c>
      <c r="F19" s="67">
        <v>302</v>
      </c>
    </row>
    <row r="20" spans="1:6" x14ac:dyDescent="0.25">
      <c r="A20" s="67" t="s">
        <v>138</v>
      </c>
      <c r="B20" s="67">
        <v>3531</v>
      </c>
      <c r="C20" s="67">
        <v>9642</v>
      </c>
      <c r="D20" s="67">
        <v>5253</v>
      </c>
      <c r="E20" s="67">
        <v>33.450000762939453</v>
      </c>
      <c r="F20" s="67">
        <v>334</v>
      </c>
    </row>
    <row r="21" spans="1:6" x14ac:dyDescent="0.25">
      <c r="A21" s="67" t="s">
        <v>139</v>
      </c>
      <c r="B21" s="67">
        <v>2617</v>
      </c>
      <c r="C21" s="67">
        <v>6288</v>
      </c>
      <c r="D21" s="67">
        <v>3810</v>
      </c>
      <c r="E21" s="67">
        <v>24.680000305175781</v>
      </c>
      <c r="F21" s="67">
        <v>236</v>
      </c>
    </row>
    <row r="22" spans="1:6" x14ac:dyDescent="0.25">
      <c r="A22" s="67" t="s">
        <v>227</v>
      </c>
      <c r="B22" s="67">
        <v>181</v>
      </c>
      <c r="C22" s="67">
        <v>440</v>
      </c>
      <c r="D22" s="67">
        <v>292</v>
      </c>
      <c r="E22" s="67">
        <v>2.3900001049041748</v>
      </c>
      <c r="F22" s="67">
        <v>23</v>
      </c>
    </row>
    <row r="23" spans="1:6" x14ac:dyDescent="0.25">
      <c r="A23" s="67" t="s">
        <v>127</v>
      </c>
      <c r="B23" s="67">
        <v>329</v>
      </c>
      <c r="C23" s="67">
        <v>2008</v>
      </c>
      <c r="D23" s="67">
        <v>1598</v>
      </c>
      <c r="E23" s="67">
        <v>10.060000419616699</v>
      </c>
      <c r="F23" s="67">
        <v>111</v>
      </c>
    </row>
    <row r="24" spans="1:6" x14ac:dyDescent="0.25">
      <c r="A24" s="67" t="s">
        <v>223</v>
      </c>
      <c r="B24" s="67">
        <v>543</v>
      </c>
      <c r="C24" s="67">
        <v>3424</v>
      </c>
      <c r="D24" s="67">
        <v>2834</v>
      </c>
      <c r="E24" s="67">
        <v>17.340000152587891</v>
      </c>
      <c r="F24" s="67">
        <v>206</v>
      </c>
    </row>
    <row r="25" spans="1:6" x14ac:dyDescent="0.25">
      <c r="A25" s="67" t="s">
        <v>213</v>
      </c>
      <c r="B25" s="67">
        <v>511</v>
      </c>
      <c r="C25" s="67">
        <v>3619</v>
      </c>
      <c r="D25" s="67">
        <v>2739</v>
      </c>
      <c r="E25" s="67">
        <v>16.569999694824219</v>
      </c>
      <c r="F25" s="67">
        <v>186</v>
      </c>
    </row>
    <row r="26" spans="1:6" x14ac:dyDescent="0.25">
      <c r="A26" s="67" t="s">
        <v>128</v>
      </c>
      <c r="B26" s="67">
        <v>263</v>
      </c>
      <c r="C26" s="67">
        <v>1882</v>
      </c>
      <c r="D26" s="67">
        <v>1505</v>
      </c>
      <c r="E26" s="67">
        <v>8.9499998092651367</v>
      </c>
      <c r="F26" s="67">
        <v>101</v>
      </c>
    </row>
    <row r="27" spans="1:6" x14ac:dyDescent="0.25">
      <c r="A27" s="67" t="s">
        <v>118</v>
      </c>
      <c r="B27" s="67">
        <v>71</v>
      </c>
      <c r="C27" s="67">
        <v>1285</v>
      </c>
      <c r="D27" s="67">
        <v>735</v>
      </c>
      <c r="E27" s="67">
        <v>4.9499998092651367</v>
      </c>
      <c r="F27" s="67">
        <v>54</v>
      </c>
    </row>
    <row r="28" spans="1:6" x14ac:dyDescent="0.25">
      <c r="A28" s="67" t="s">
        <v>129</v>
      </c>
      <c r="B28" s="67">
        <v>261</v>
      </c>
      <c r="C28" s="67">
        <v>2290</v>
      </c>
      <c r="D28" s="67">
        <v>1741</v>
      </c>
      <c r="E28" s="67">
        <v>11.420000076293945</v>
      </c>
      <c r="F28" s="67">
        <v>130</v>
      </c>
    </row>
    <row r="29" spans="1:6" x14ac:dyDescent="0.25">
      <c r="A29" s="67" t="s">
        <v>130</v>
      </c>
      <c r="B29" s="67">
        <v>480</v>
      </c>
      <c r="C29" s="67">
        <v>4770</v>
      </c>
      <c r="D29" s="67">
        <v>2523</v>
      </c>
      <c r="E29" s="67">
        <v>14.369999885559082</v>
      </c>
      <c r="F29" s="67">
        <v>137</v>
      </c>
    </row>
    <row r="30" spans="1:6" x14ac:dyDescent="0.25">
      <c r="A30" s="67" t="s">
        <v>317</v>
      </c>
      <c r="B30" s="67">
        <v>124</v>
      </c>
      <c r="C30" s="67">
        <v>0</v>
      </c>
      <c r="D30" s="67">
        <v>112</v>
      </c>
      <c r="E30" s="67">
        <v>0.93999999761581421</v>
      </c>
      <c r="F30" s="67">
        <v>9</v>
      </c>
    </row>
    <row r="31" spans="1:6" x14ac:dyDescent="0.25">
      <c r="A31" s="67" t="s">
        <v>207</v>
      </c>
      <c r="B31" s="67">
        <v>268</v>
      </c>
      <c r="C31" s="67">
        <v>3151</v>
      </c>
      <c r="D31" s="67">
        <v>1721</v>
      </c>
      <c r="E31" s="67">
        <v>9.3999996185302734</v>
      </c>
      <c r="F31" s="67">
        <v>93</v>
      </c>
    </row>
    <row r="32" spans="1:6" x14ac:dyDescent="0.25">
      <c r="A32" s="67" t="s">
        <v>119</v>
      </c>
      <c r="B32" s="67">
        <v>0</v>
      </c>
      <c r="C32" s="67">
        <v>1556</v>
      </c>
      <c r="D32" s="67">
        <v>869</v>
      </c>
      <c r="E32" s="67">
        <v>5.3299999237060547</v>
      </c>
      <c r="F32" s="67">
        <v>62</v>
      </c>
    </row>
    <row r="33" spans="1:6" x14ac:dyDescent="0.25">
      <c r="A33" s="67" t="s">
        <v>120</v>
      </c>
      <c r="B33" s="67">
        <v>17</v>
      </c>
      <c r="C33" s="67">
        <v>2181</v>
      </c>
      <c r="D33" s="67">
        <v>1191</v>
      </c>
      <c r="E33" s="67">
        <v>7.8000001907348633</v>
      </c>
      <c r="F33" s="67">
        <v>90</v>
      </c>
    </row>
    <row r="34" spans="1:6" x14ac:dyDescent="0.25">
      <c r="A34" s="67" t="s">
        <v>121</v>
      </c>
      <c r="B34" s="67">
        <v>78</v>
      </c>
      <c r="C34" s="67">
        <v>296</v>
      </c>
      <c r="D34" s="67">
        <v>203</v>
      </c>
      <c r="E34" s="67">
        <v>1.6499999761581421</v>
      </c>
      <c r="F34" s="67">
        <v>17</v>
      </c>
    </row>
    <row r="35" spans="1:6" x14ac:dyDescent="0.25">
      <c r="A35" s="67" t="s">
        <v>122</v>
      </c>
      <c r="B35" s="67">
        <v>0</v>
      </c>
      <c r="C35" s="67">
        <v>946</v>
      </c>
      <c r="D35" s="67">
        <v>467</v>
      </c>
      <c r="E35" s="67">
        <v>2.8900001049041748</v>
      </c>
      <c r="F35" s="67">
        <v>33</v>
      </c>
    </row>
    <row r="36" spans="1:6" x14ac:dyDescent="0.25">
      <c r="A36" s="67" t="s">
        <v>140</v>
      </c>
      <c r="B36" s="67">
        <v>3319</v>
      </c>
      <c r="C36" s="67">
        <v>7411</v>
      </c>
      <c r="D36" s="67">
        <v>4297</v>
      </c>
      <c r="E36" s="67">
        <v>28.989999771118164</v>
      </c>
      <c r="F36" s="67">
        <v>286</v>
      </c>
    </row>
    <row r="37" spans="1:6" x14ac:dyDescent="0.25">
      <c r="A37" s="67" t="s">
        <v>131</v>
      </c>
      <c r="B37" s="67">
        <v>115</v>
      </c>
      <c r="C37" s="67">
        <v>1401</v>
      </c>
      <c r="D37" s="67">
        <v>759</v>
      </c>
      <c r="E37" s="67">
        <v>4.8299999237060547</v>
      </c>
      <c r="F37" s="67">
        <v>48</v>
      </c>
    </row>
    <row r="38" spans="1:6" x14ac:dyDescent="0.25">
      <c r="A38" s="67" t="s">
        <v>132</v>
      </c>
      <c r="B38" s="67">
        <v>149</v>
      </c>
      <c r="C38" s="67">
        <v>1220</v>
      </c>
      <c r="D38" s="67">
        <v>961</v>
      </c>
      <c r="E38" s="67">
        <v>5.8299999237060547</v>
      </c>
      <c r="F38" s="67">
        <v>64</v>
      </c>
    </row>
    <row r="39" spans="1:6" x14ac:dyDescent="0.25">
      <c r="A39" s="67" t="s">
        <v>133</v>
      </c>
      <c r="B39" s="67">
        <v>150</v>
      </c>
      <c r="C39" s="67">
        <v>1019</v>
      </c>
      <c r="D39" s="67">
        <v>836</v>
      </c>
      <c r="E39" s="67">
        <v>5.3000001907348633</v>
      </c>
      <c r="F39" s="67">
        <v>62</v>
      </c>
    </row>
    <row r="40" spans="1:6" x14ac:dyDescent="0.25">
      <c r="A40" s="67" t="s">
        <v>123</v>
      </c>
      <c r="B40" s="67">
        <v>0</v>
      </c>
      <c r="C40" s="67">
        <v>820</v>
      </c>
      <c r="D40" s="67">
        <v>388</v>
      </c>
      <c r="E40" s="67">
        <v>2.4000000953674316</v>
      </c>
      <c r="F40" s="67">
        <v>28</v>
      </c>
    </row>
    <row r="41" spans="1:6" x14ac:dyDescent="0.25">
      <c r="A41" s="67" t="s">
        <v>141</v>
      </c>
      <c r="B41" s="67">
        <v>2767</v>
      </c>
      <c r="C41" s="67">
        <v>6615</v>
      </c>
      <c r="D41" s="67">
        <v>3956</v>
      </c>
      <c r="E41" s="67">
        <v>26.829999923706055</v>
      </c>
      <c r="F41" s="67">
        <v>252</v>
      </c>
    </row>
    <row r="42" spans="1:6" x14ac:dyDescent="0.25">
      <c r="A42" s="67" t="s">
        <v>134</v>
      </c>
      <c r="B42" s="67">
        <v>214</v>
      </c>
      <c r="C42" s="67">
        <v>2277</v>
      </c>
      <c r="D42" s="67">
        <v>1154</v>
      </c>
      <c r="E42" s="67">
        <v>6.1399998664855957</v>
      </c>
      <c r="F42" s="67">
        <v>59</v>
      </c>
    </row>
    <row r="43" spans="1:6" x14ac:dyDescent="0.25">
      <c r="A43" s="67" t="s">
        <v>135</v>
      </c>
      <c r="B43" s="67">
        <v>107</v>
      </c>
      <c r="C43" s="67">
        <v>1037</v>
      </c>
      <c r="D43" s="67">
        <v>787</v>
      </c>
      <c r="E43" s="67">
        <v>4.8600001335144043</v>
      </c>
      <c r="F43" s="67">
        <v>54</v>
      </c>
    </row>
    <row r="44" spans="1:6" x14ac:dyDescent="0.25">
      <c r="A44" s="67" t="s">
        <v>142</v>
      </c>
      <c r="B44" s="67">
        <v>92</v>
      </c>
      <c r="C44" s="67">
        <v>563</v>
      </c>
      <c r="D44" s="67">
        <v>350</v>
      </c>
      <c r="E44" s="67">
        <v>2.059999942779541</v>
      </c>
      <c r="F44" s="67">
        <v>20</v>
      </c>
    </row>
    <row r="45" spans="1:6" x14ac:dyDescent="0.25">
      <c r="A45" s="67" t="s">
        <v>143</v>
      </c>
      <c r="B45" s="67">
        <v>1942</v>
      </c>
      <c r="C45" s="67">
        <v>4197</v>
      </c>
      <c r="D45" s="67">
        <v>2838</v>
      </c>
      <c r="E45" s="67">
        <v>19.690000534057617</v>
      </c>
      <c r="F45" s="67">
        <v>180</v>
      </c>
    </row>
    <row r="46" spans="1:6" x14ac:dyDescent="0.25">
      <c r="A46" s="67" t="s">
        <v>124</v>
      </c>
      <c r="B46" s="67">
        <v>52</v>
      </c>
      <c r="C46" s="67">
        <v>1015</v>
      </c>
      <c r="D46" s="67">
        <v>565</v>
      </c>
      <c r="E46" s="67">
        <v>3.4500000476837158</v>
      </c>
      <c r="F46" s="67">
        <v>37</v>
      </c>
    </row>
    <row r="47" spans="1:6" x14ac:dyDescent="0.25">
      <c r="A47" s="67" t="s">
        <v>166</v>
      </c>
      <c r="B47" s="67">
        <v>128</v>
      </c>
      <c r="C47" s="67">
        <v>2995</v>
      </c>
      <c r="D47" s="67">
        <v>1540</v>
      </c>
      <c r="E47" s="67">
        <v>9.5799999237060547</v>
      </c>
      <c r="F47" s="67">
        <v>107</v>
      </c>
    </row>
    <row r="48" spans="1:6" x14ac:dyDescent="0.25">
      <c r="A48" s="67" t="s">
        <v>125</v>
      </c>
      <c r="B48" s="67">
        <v>78</v>
      </c>
      <c r="C48" s="67">
        <v>3101</v>
      </c>
      <c r="D48" s="67">
        <v>1631</v>
      </c>
      <c r="E48" s="67">
        <v>9.9300003051757813</v>
      </c>
      <c r="F48" s="67">
        <v>112</v>
      </c>
    </row>
    <row r="49" spans="1:6" x14ac:dyDescent="0.25">
      <c r="A49" s="67" t="s">
        <v>307</v>
      </c>
      <c r="B49" s="67">
        <v>21795</v>
      </c>
      <c r="C49" s="67">
        <v>37133</v>
      </c>
      <c r="D49" s="67">
        <v>25443</v>
      </c>
      <c r="E49" s="67">
        <v>169.44999694824219</v>
      </c>
      <c r="F49" s="67">
        <v>1490</v>
      </c>
    </row>
    <row r="50" spans="1:6" x14ac:dyDescent="0.25">
      <c r="A50" s="67" t="s">
        <v>304</v>
      </c>
      <c r="B50" s="67">
        <v>2</v>
      </c>
      <c r="C50" s="67">
        <v>1304</v>
      </c>
      <c r="D50" s="67">
        <v>707</v>
      </c>
      <c r="E50" s="67">
        <v>4.1399998664855957</v>
      </c>
      <c r="F50" s="67">
        <v>47</v>
      </c>
    </row>
    <row r="51" spans="1:6" x14ac:dyDescent="0.25">
      <c r="A51" s="67" t="s">
        <v>209</v>
      </c>
      <c r="B51" s="67">
        <v>374</v>
      </c>
      <c r="C51" s="67">
        <v>2112</v>
      </c>
      <c r="D51" s="67">
        <v>1781</v>
      </c>
      <c r="E51" s="67">
        <v>11.079999923706055</v>
      </c>
      <c r="F51" s="67">
        <v>121</v>
      </c>
    </row>
    <row r="52" spans="1:6" x14ac:dyDescent="0.25">
      <c r="A52" s="67" t="s">
        <v>305</v>
      </c>
      <c r="B52" s="67">
        <v>328</v>
      </c>
      <c r="C52" s="67">
        <v>3241</v>
      </c>
      <c r="D52" s="67">
        <v>1699</v>
      </c>
      <c r="E52" s="67">
        <v>9.619999885559082</v>
      </c>
      <c r="F52" s="67">
        <v>93</v>
      </c>
    </row>
    <row r="53" spans="1:6" x14ac:dyDescent="0.25">
      <c r="A53" s="67" t="s">
        <v>259</v>
      </c>
      <c r="B53" s="67">
        <v>56</v>
      </c>
      <c r="C53" s="67">
        <v>1894</v>
      </c>
      <c r="D53" s="67">
        <v>1149</v>
      </c>
      <c r="E53" s="67">
        <v>7.0999999046325684</v>
      </c>
      <c r="F53" s="67">
        <v>81</v>
      </c>
    </row>
    <row r="54" spans="1:6" x14ac:dyDescent="0.25">
      <c r="A54" s="67" t="s">
        <v>266</v>
      </c>
      <c r="B54" s="67">
        <v>320</v>
      </c>
      <c r="C54" s="67">
        <v>2200</v>
      </c>
      <c r="D54" s="67">
        <v>1800</v>
      </c>
      <c r="E54" s="67">
        <v>11.569999694824219</v>
      </c>
      <c r="F54" s="67">
        <v>131</v>
      </c>
    </row>
    <row r="55" spans="1:6" x14ac:dyDescent="0.25">
      <c r="A55" s="67" t="s">
        <v>298</v>
      </c>
      <c r="B55" s="67">
        <v>251</v>
      </c>
      <c r="C55" s="67">
        <v>2084</v>
      </c>
      <c r="D55" s="67">
        <v>1212</v>
      </c>
      <c r="E55" s="67">
        <v>7.1700000762939453</v>
      </c>
      <c r="F55" s="67">
        <v>67</v>
      </c>
    </row>
    <row r="56" spans="1:6" x14ac:dyDescent="0.25">
      <c r="A56" s="67" t="s">
        <v>299</v>
      </c>
      <c r="B56" s="67">
        <v>5245</v>
      </c>
      <c r="C56" s="67">
        <v>9442</v>
      </c>
      <c r="D56" s="67">
        <v>6884</v>
      </c>
      <c r="E56" s="67">
        <v>45.919998168945313</v>
      </c>
      <c r="F56" s="67">
        <v>403</v>
      </c>
    </row>
    <row r="57" spans="1:6" x14ac:dyDescent="0.25">
      <c r="A57" s="67" t="s">
        <v>308</v>
      </c>
      <c r="B57" s="67">
        <v>343</v>
      </c>
      <c r="C57" s="67">
        <v>913</v>
      </c>
      <c r="D57" s="67">
        <v>771</v>
      </c>
      <c r="E57" s="67">
        <v>8.1800003051757813</v>
      </c>
      <c r="F57" s="67">
        <v>58</v>
      </c>
    </row>
    <row r="58" spans="1:6" x14ac:dyDescent="0.25">
      <c r="A58" s="67" t="s">
        <v>126</v>
      </c>
      <c r="B58" s="67">
        <v>60545</v>
      </c>
      <c r="C58" s="67">
        <v>182371</v>
      </c>
      <c r="D58" s="67">
        <v>115364</v>
      </c>
      <c r="E58" s="67">
        <v>756.65997314453125</v>
      </c>
      <c r="F58" s="67">
        <v>7364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AFC01-0D13-4A81-8B6E-E425337F0553}">
  <sheetPr codeName="Foglio10"/>
  <dimension ref="A1:F55"/>
  <sheetViews>
    <sheetView zoomScaleNormal="100" workbookViewId="0">
      <selection sqref="A1:AA999"/>
    </sheetView>
  </sheetViews>
  <sheetFormatPr defaultRowHeight="15" x14ac:dyDescent="0.25"/>
  <cols>
    <col min="1" max="2" width="28.140625" style="67" customWidth="1"/>
    <col min="3" max="6" width="9.7109375" style="67" customWidth="1"/>
    <col min="7" max="256" width="8.85546875" style="67"/>
    <col min="257" max="258" width="28.140625" style="67" customWidth="1"/>
    <col min="259" max="262" width="9.7109375" style="67" customWidth="1"/>
    <col min="263" max="512" width="8.85546875" style="67"/>
    <col min="513" max="514" width="28.140625" style="67" customWidth="1"/>
    <col min="515" max="518" width="9.7109375" style="67" customWidth="1"/>
    <col min="519" max="768" width="8.85546875" style="67"/>
    <col min="769" max="770" width="28.140625" style="67" customWidth="1"/>
    <col min="771" max="774" width="9.7109375" style="67" customWidth="1"/>
    <col min="775" max="1024" width="8.85546875" style="67"/>
    <col min="1025" max="1026" width="28.140625" style="67" customWidth="1"/>
    <col min="1027" max="1030" width="9.7109375" style="67" customWidth="1"/>
    <col min="1031" max="1280" width="8.85546875" style="67"/>
    <col min="1281" max="1282" width="28.140625" style="67" customWidth="1"/>
    <col min="1283" max="1286" width="9.7109375" style="67" customWidth="1"/>
    <col min="1287" max="1536" width="8.85546875" style="67"/>
    <col min="1537" max="1538" width="28.140625" style="67" customWidth="1"/>
    <col min="1539" max="1542" width="9.7109375" style="67" customWidth="1"/>
    <col min="1543" max="1792" width="8.85546875" style="67"/>
    <col min="1793" max="1794" width="28.140625" style="67" customWidth="1"/>
    <col min="1795" max="1798" width="9.7109375" style="67" customWidth="1"/>
    <col min="1799" max="2048" width="8.85546875" style="67"/>
    <col min="2049" max="2050" width="28.140625" style="67" customWidth="1"/>
    <col min="2051" max="2054" width="9.7109375" style="67" customWidth="1"/>
    <col min="2055" max="2304" width="8.85546875" style="67"/>
    <col min="2305" max="2306" width="28.140625" style="67" customWidth="1"/>
    <col min="2307" max="2310" width="9.7109375" style="67" customWidth="1"/>
    <col min="2311" max="2560" width="8.85546875" style="67"/>
    <col min="2561" max="2562" width="28.140625" style="67" customWidth="1"/>
    <col min="2563" max="2566" width="9.7109375" style="67" customWidth="1"/>
    <col min="2567" max="2816" width="8.85546875" style="67"/>
    <col min="2817" max="2818" width="28.140625" style="67" customWidth="1"/>
    <col min="2819" max="2822" width="9.7109375" style="67" customWidth="1"/>
    <col min="2823" max="3072" width="8.85546875" style="67"/>
    <col min="3073" max="3074" width="28.140625" style="67" customWidth="1"/>
    <col min="3075" max="3078" width="9.7109375" style="67" customWidth="1"/>
    <col min="3079" max="3328" width="8.85546875" style="67"/>
    <col min="3329" max="3330" width="28.140625" style="67" customWidth="1"/>
    <col min="3331" max="3334" width="9.7109375" style="67" customWidth="1"/>
    <col min="3335" max="3584" width="8.85546875" style="67"/>
    <col min="3585" max="3586" width="28.140625" style="67" customWidth="1"/>
    <col min="3587" max="3590" width="9.7109375" style="67" customWidth="1"/>
    <col min="3591" max="3840" width="8.85546875" style="67"/>
    <col min="3841" max="3842" width="28.140625" style="67" customWidth="1"/>
    <col min="3843" max="3846" width="9.7109375" style="67" customWidth="1"/>
    <col min="3847" max="4096" width="8.85546875" style="67"/>
    <col min="4097" max="4098" width="28.140625" style="67" customWidth="1"/>
    <col min="4099" max="4102" width="9.7109375" style="67" customWidth="1"/>
    <col min="4103" max="4352" width="8.85546875" style="67"/>
    <col min="4353" max="4354" width="28.140625" style="67" customWidth="1"/>
    <col min="4355" max="4358" width="9.7109375" style="67" customWidth="1"/>
    <col min="4359" max="4608" width="8.85546875" style="67"/>
    <col min="4609" max="4610" width="28.140625" style="67" customWidth="1"/>
    <col min="4611" max="4614" width="9.7109375" style="67" customWidth="1"/>
    <col min="4615" max="4864" width="8.85546875" style="67"/>
    <col min="4865" max="4866" width="28.140625" style="67" customWidth="1"/>
    <col min="4867" max="4870" width="9.7109375" style="67" customWidth="1"/>
    <col min="4871" max="5120" width="8.85546875" style="67"/>
    <col min="5121" max="5122" width="28.140625" style="67" customWidth="1"/>
    <col min="5123" max="5126" width="9.7109375" style="67" customWidth="1"/>
    <col min="5127" max="5376" width="8.85546875" style="67"/>
    <col min="5377" max="5378" width="28.140625" style="67" customWidth="1"/>
    <col min="5379" max="5382" width="9.7109375" style="67" customWidth="1"/>
    <col min="5383" max="5632" width="8.85546875" style="67"/>
    <col min="5633" max="5634" width="28.140625" style="67" customWidth="1"/>
    <col min="5635" max="5638" width="9.7109375" style="67" customWidth="1"/>
    <col min="5639" max="5888" width="8.85546875" style="67"/>
    <col min="5889" max="5890" width="28.140625" style="67" customWidth="1"/>
    <col min="5891" max="5894" width="9.7109375" style="67" customWidth="1"/>
    <col min="5895" max="6144" width="8.85546875" style="67"/>
    <col min="6145" max="6146" width="28.140625" style="67" customWidth="1"/>
    <col min="6147" max="6150" width="9.7109375" style="67" customWidth="1"/>
    <col min="6151" max="6400" width="8.85546875" style="67"/>
    <col min="6401" max="6402" width="28.140625" style="67" customWidth="1"/>
    <col min="6403" max="6406" width="9.7109375" style="67" customWidth="1"/>
    <col min="6407" max="6656" width="8.85546875" style="67"/>
    <col min="6657" max="6658" width="28.140625" style="67" customWidth="1"/>
    <col min="6659" max="6662" width="9.7109375" style="67" customWidth="1"/>
    <col min="6663" max="6912" width="8.85546875" style="67"/>
    <col min="6913" max="6914" width="28.140625" style="67" customWidth="1"/>
    <col min="6915" max="6918" width="9.7109375" style="67" customWidth="1"/>
    <col min="6919" max="7168" width="8.85546875" style="67"/>
    <col min="7169" max="7170" width="28.140625" style="67" customWidth="1"/>
    <col min="7171" max="7174" width="9.7109375" style="67" customWidth="1"/>
    <col min="7175" max="7424" width="8.85546875" style="67"/>
    <col min="7425" max="7426" width="28.140625" style="67" customWidth="1"/>
    <col min="7427" max="7430" width="9.7109375" style="67" customWidth="1"/>
    <col min="7431" max="7680" width="8.85546875" style="67"/>
    <col min="7681" max="7682" width="28.140625" style="67" customWidth="1"/>
    <col min="7683" max="7686" width="9.7109375" style="67" customWidth="1"/>
    <col min="7687" max="7936" width="8.85546875" style="67"/>
    <col min="7937" max="7938" width="28.140625" style="67" customWidth="1"/>
    <col min="7939" max="7942" width="9.7109375" style="67" customWidth="1"/>
    <col min="7943" max="8192" width="8.85546875" style="67"/>
    <col min="8193" max="8194" width="28.140625" style="67" customWidth="1"/>
    <col min="8195" max="8198" width="9.7109375" style="67" customWidth="1"/>
    <col min="8199" max="8448" width="8.85546875" style="67"/>
    <col min="8449" max="8450" width="28.140625" style="67" customWidth="1"/>
    <col min="8451" max="8454" width="9.7109375" style="67" customWidth="1"/>
    <col min="8455" max="8704" width="8.85546875" style="67"/>
    <col min="8705" max="8706" width="28.140625" style="67" customWidth="1"/>
    <col min="8707" max="8710" width="9.7109375" style="67" customWidth="1"/>
    <col min="8711" max="8960" width="8.85546875" style="67"/>
    <col min="8961" max="8962" width="28.140625" style="67" customWidth="1"/>
    <col min="8963" max="8966" width="9.7109375" style="67" customWidth="1"/>
    <col min="8967" max="9216" width="8.85546875" style="67"/>
    <col min="9217" max="9218" width="28.140625" style="67" customWidth="1"/>
    <col min="9219" max="9222" width="9.7109375" style="67" customWidth="1"/>
    <col min="9223" max="9472" width="8.85546875" style="67"/>
    <col min="9473" max="9474" width="28.140625" style="67" customWidth="1"/>
    <col min="9475" max="9478" width="9.7109375" style="67" customWidth="1"/>
    <col min="9479" max="9728" width="8.85546875" style="67"/>
    <col min="9729" max="9730" width="28.140625" style="67" customWidth="1"/>
    <col min="9731" max="9734" width="9.7109375" style="67" customWidth="1"/>
    <col min="9735" max="9984" width="8.85546875" style="67"/>
    <col min="9985" max="9986" width="28.140625" style="67" customWidth="1"/>
    <col min="9987" max="9990" width="9.7109375" style="67" customWidth="1"/>
    <col min="9991" max="10240" width="8.85546875" style="67"/>
    <col min="10241" max="10242" width="28.140625" style="67" customWidth="1"/>
    <col min="10243" max="10246" width="9.7109375" style="67" customWidth="1"/>
    <col min="10247" max="10496" width="8.85546875" style="67"/>
    <col min="10497" max="10498" width="28.140625" style="67" customWidth="1"/>
    <col min="10499" max="10502" width="9.7109375" style="67" customWidth="1"/>
    <col min="10503" max="10752" width="8.85546875" style="67"/>
    <col min="10753" max="10754" width="28.140625" style="67" customWidth="1"/>
    <col min="10755" max="10758" width="9.7109375" style="67" customWidth="1"/>
    <col min="10759" max="11008" width="8.85546875" style="67"/>
    <col min="11009" max="11010" width="28.140625" style="67" customWidth="1"/>
    <col min="11011" max="11014" width="9.7109375" style="67" customWidth="1"/>
    <col min="11015" max="11264" width="8.85546875" style="67"/>
    <col min="11265" max="11266" width="28.140625" style="67" customWidth="1"/>
    <col min="11267" max="11270" width="9.7109375" style="67" customWidth="1"/>
    <col min="11271" max="11520" width="8.85546875" style="67"/>
    <col min="11521" max="11522" width="28.140625" style="67" customWidth="1"/>
    <col min="11523" max="11526" width="9.7109375" style="67" customWidth="1"/>
    <col min="11527" max="11776" width="8.85546875" style="67"/>
    <col min="11777" max="11778" width="28.140625" style="67" customWidth="1"/>
    <col min="11779" max="11782" width="9.7109375" style="67" customWidth="1"/>
    <col min="11783" max="12032" width="8.85546875" style="67"/>
    <col min="12033" max="12034" width="28.140625" style="67" customWidth="1"/>
    <col min="12035" max="12038" width="9.7109375" style="67" customWidth="1"/>
    <col min="12039" max="12288" width="8.85546875" style="67"/>
    <col min="12289" max="12290" width="28.140625" style="67" customWidth="1"/>
    <col min="12291" max="12294" width="9.7109375" style="67" customWidth="1"/>
    <col min="12295" max="12544" width="8.85546875" style="67"/>
    <col min="12545" max="12546" width="28.140625" style="67" customWidth="1"/>
    <col min="12547" max="12550" width="9.7109375" style="67" customWidth="1"/>
    <col min="12551" max="12800" width="8.85546875" style="67"/>
    <col min="12801" max="12802" width="28.140625" style="67" customWidth="1"/>
    <col min="12803" max="12806" width="9.7109375" style="67" customWidth="1"/>
    <col min="12807" max="13056" width="8.85546875" style="67"/>
    <col min="13057" max="13058" width="28.140625" style="67" customWidth="1"/>
    <col min="13059" max="13062" width="9.7109375" style="67" customWidth="1"/>
    <col min="13063" max="13312" width="8.85546875" style="67"/>
    <col min="13313" max="13314" width="28.140625" style="67" customWidth="1"/>
    <col min="13315" max="13318" width="9.7109375" style="67" customWidth="1"/>
    <col min="13319" max="13568" width="8.85546875" style="67"/>
    <col min="13569" max="13570" width="28.140625" style="67" customWidth="1"/>
    <col min="13571" max="13574" width="9.7109375" style="67" customWidth="1"/>
    <col min="13575" max="13824" width="8.85546875" style="67"/>
    <col min="13825" max="13826" width="28.140625" style="67" customWidth="1"/>
    <col min="13827" max="13830" width="9.7109375" style="67" customWidth="1"/>
    <col min="13831" max="14080" width="8.85546875" style="67"/>
    <col min="14081" max="14082" width="28.140625" style="67" customWidth="1"/>
    <col min="14083" max="14086" width="9.7109375" style="67" customWidth="1"/>
    <col min="14087" max="14336" width="8.85546875" style="67"/>
    <col min="14337" max="14338" width="28.140625" style="67" customWidth="1"/>
    <col min="14339" max="14342" width="9.7109375" style="67" customWidth="1"/>
    <col min="14343" max="14592" width="8.85546875" style="67"/>
    <col min="14593" max="14594" width="28.140625" style="67" customWidth="1"/>
    <col min="14595" max="14598" width="9.7109375" style="67" customWidth="1"/>
    <col min="14599" max="14848" width="8.85546875" style="67"/>
    <col min="14849" max="14850" width="28.140625" style="67" customWidth="1"/>
    <col min="14851" max="14854" width="9.7109375" style="67" customWidth="1"/>
    <col min="14855" max="15104" width="8.85546875" style="67"/>
    <col min="15105" max="15106" width="28.140625" style="67" customWidth="1"/>
    <col min="15107" max="15110" width="9.7109375" style="67" customWidth="1"/>
    <col min="15111" max="15360" width="8.85546875" style="67"/>
    <col min="15361" max="15362" width="28.140625" style="67" customWidth="1"/>
    <col min="15363" max="15366" width="9.7109375" style="67" customWidth="1"/>
    <col min="15367" max="15616" width="8.85546875" style="67"/>
    <col min="15617" max="15618" width="28.140625" style="67" customWidth="1"/>
    <col min="15619" max="15622" width="9.7109375" style="67" customWidth="1"/>
    <col min="15623" max="15872" width="8.85546875" style="67"/>
    <col min="15873" max="15874" width="28.140625" style="67" customWidth="1"/>
    <col min="15875" max="15878" width="9.7109375" style="67" customWidth="1"/>
    <col min="15879" max="16128" width="8.85546875" style="67"/>
    <col min="16129" max="16130" width="28.140625" style="67" customWidth="1"/>
    <col min="16131" max="16134" width="9.7109375" style="67" customWidth="1"/>
    <col min="16135" max="16384" width="8.85546875" style="67"/>
  </cols>
  <sheetData>
    <row r="1" spans="1:6" x14ac:dyDescent="0.25">
      <c r="A1" s="67" t="s">
        <v>254</v>
      </c>
    </row>
    <row r="4" spans="1:6" x14ac:dyDescent="0.25">
      <c r="A4" s="67" t="s">
        <v>255</v>
      </c>
      <c r="B4" s="67" t="s">
        <v>354</v>
      </c>
    </row>
    <row r="7" spans="1:6" x14ac:dyDescent="0.25">
      <c r="A7" s="67" t="s">
        <v>256</v>
      </c>
    </row>
    <row r="8" spans="1:6" x14ac:dyDescent="0.25">
      <c r="A8" s="67" t="s">
        <v>173</v>
      </c>
      <c r="B8" s="67" t="s">
        <v>174</v>
      </c>
      <c r="C8" s="67" t="s">
        <v>175</v>
      </c>
      <c r="D8" s="67" t="s">
        <v>176</v>
      </c>
      <c r="E8" s="67" t="s">
        <v>177</v>
      </c>
      <c r="F8" s="67" t="s">
        <v>178</v>
      </c>
    </row>
    <row r="9" spans="1:6" x14ac:dyDescent="0.25">
      <c r="A9" s="67" t="s">
        <v>136</v>
      </c>
      <c r="B9" s="67">
        <v>498</v>
      </c>
      <c r="C9" s="67">
        <v>10</v>
      </c>
      <c r="D9" s="67">
        <v>411</v>
      </c>
      <c r="E9" s="67">
        <v>3.559999942779541</v>
      </c>
      <c r="F9" s="67">
        <v>36</v>
      </c>
    </row>
    <row r="10" spans="1:6" x14ac:dyDescent="0.25">
      <c r="A10" s="67" t="s">
        <v>160</v>
      </c>
      <c r="B10" s="67">
        <v>32</v>
      </c>
      <c r="C10" s="67">
        <v>0</v>
      </c>
      <c r="D10" s="67">
        <v>15</v>
      </c>
      <c r="E10" s="67">
        <v>0.2199999988079071</v>
      </c>
      <c r="F10" s="67">
        <v>2</v>
      </c>
    </row>
    <row r="11" spans="1:6" x14ac:dyDescent="0.25">
      <c r="A11" s="67" t="s">
        <v>285</v>
      </c>
      <c r="B11" s="67">
        <v>37</v>
      </c>
      <c r="C11" s="67">
        <v>0</v>
      </c>
      <c r="D11" s="67">
        <v>22</v>
      </c>
      <c r="E11" s="67">
        <v>0.2199999988079071</v>
      </c>
      <c r="F11" s="67">
        <v>2</v>
      </c>
    </row>
    <row r="12" spans="1:6" x14ac:dyDescent="0.25">
      <c r="A12" s="67" t="s">
        <v>222</v>
      </c>
      <c r="B12" s="67">
        <v>49</v>
      </c>
      <c r="C12" s="67">
        <v>0</v>
      </c>
      <c r="D12" s="67">
        <v>45</v>
      </c>
      <c r="E12" s="67">
        <v>0.43000000715255737</v>
      </c>
      <c r="F12" s="67">
        <v>4</v>
      </c>
    </row>
    <row r="13" spans="1:6" x14ac:dyDescent="0.25">
      <c r="A13" s="67" t="s">
        <v>158</v>
      </c>
      <c r="B13" s="67">
        <v>58</v>
      </c>
      <c r="C13" s="67">
        <v>0</v>
      </c>
      <c r="D13" s="67">
        <v>54</v>
      </c>
      <c r="E13" s="67">
        <v>0.55000001192092896</v>
      </c>
      <c r="F13" s="67">
        <v>6</v>
      </c>
    </row>
    <row r="14" spans="1:6" x14ac:dyDescent="0.25">
      <c r="A14" s="67" t="s">
        <v>212</v>
      </c>
      <c r="B14" s="67">
        <v>48</v>
      </c>
      <c r="C14" s="67">
        <v>0</v>
      </c>
      <c r="D14" s="67">
        <v>40</v>
      </c>
      <c r="E14" s="67">
        <v>0.34999999403953552</v>
      </c>
      <c r="F14" s="67">
        <v>4</v>
      </c>
    </row>
    <row r="15" spans="1:6" x14ac:dyDescent="0.25">
      <c r="A15" s="67" t="s">
        <v>208</v>
      </c>
      <c r="B15" s="67">
        <v>546</v>
      </c>
      <c r="C15" s="67">
        <v>22</v>
      </c>
      <c r="D15" s="67">
        <v>427</v>
      </c>
      <c r="E15" s="67">
        <v>3.8499999046325684</v>
      </c>
      <c r="F15" s="67">
        <v>40</v>
      </c>
    </row>
    <row r="16" spans="1:6" x14ac:dyDescent="0.25">
      <c r="A16" s="67" t="s">
        <v>137</v>
      </c>
      <c r="B16" s="67">
        <v>415</v>
      </c>
      <c r="C16" s="67">
        <v>7</v>
      </c>
      <c r="D16" s="67">
        <v>326</v>
      </c>
      <c r="E16" s="67">
        <v>2.9600000381469727</v>
      </c>
      <c r="F16" s="67">
        <v>31</v>
      </c>
    </row>
    <row r="17" spans="1:6" x14ac:dyDescent="0.25">
      <c r="A17" s="67" t="s">
        <v>138</v>
      </c>
      <c r="B17" s="67">
        <v>538</v>
      </c>
      <c r="C17" s="67">
        <v>16</v>
      </c>
      <c r="D17" s="67">
        <v>452</v>
      </c>
      <c r="E17" s="67">
        <v>3.9700000286102295</v>
      </c>
      <c r="F17" s="67">
        <v>41</v>
      </c>
    </row>
    <row r="18" spans="1:6" x14ac:dyDescent="0.25">
      <c r="A18" s="67" t="s">
        <v>139</v>
      </c>
      <c r="B18" s="67">
        <v>686</v>
      </c>
      <c r="C18" s="67">
        <v>15</v>
      </c>
      <c r="D18" s="67">
        <v>520</v>
      </c>
      <c r="E18" s="67">
        <v>4.7199997901916504</v>
      </c>
      <c r="F18" s="67">
        <v>48</v>
      </c>
    </row>
    <row r="19" spans="1:6" x14ac:dyDescent="0.25">
      <c r="A19" s="67" t="s">
        <v>227</v>
      </c>
      <c r="B19" s="67">
        <v>0</v>
      </c>
      <c r="C19" s="67">
        <v>41</v>
      </c>
      <c r="D19" s="67">
        <v>55</v>
      </c>
      <c r="E19" s="67">
        <v>0.54000002145767212</v>
      </c>
      <c r="F19" s="67">
        <v>5</v>
      </c>
    </row>
    <row r="20" spans="1:6" x14ac:dyDescent="0.25">
      <c r="A20" s="67" t="s">
        <v>127</v>
      </c>
      <c r="B20" s="67">
        <v>61</v>
      </c>
      <c r="C20" s="67">
        <v>0</v>
      </c>
      <c r="D20" s="67">
        <v>43</v>
      </c>
      <c r="E20" s="67">
        <v>0.49000000953674316</v>
      </c>
      <c r="F20" s="67">
        <v>7</v>
      </c>
    </row>
    <row r="21" spans="1:6" x14ac:dyDescent="0.25">
      <c r="A21" s="67" t="s">
        <v>223</v>
      </c>
      <c r="B21" s="67">
        <v>119</v>
      </c>
      <c r="C21" s="67">
        <v>0</v>
      </c>
      <c r="D21" s="67">
        <v>99</v>
      </c>
      <c r="E21" s="67">
        <v>1</v>
      </c>
      <c r="F21" s="67">
        <v>13</v>
      </c>
    </row>
    <row r="22" spans="1:6" x14ac:dyDescent="0.25">
      <c r="A22" s="67" t="s">
        <v>213</v>
      </c>
      <c r="B22" s="67">
        <v>131</v>
      </c>
      <c r="C22" s="67">
        <v>0</v>
      </c>
      <c r="D22" s="67">
        <v>118</v>
      </c>
      <c r="E22" s="67">
        <v>1.3500000238418579</v>
      </c>
      <c r="F22" s="67">
        <v>17</v>
      </c>
    </row>
    <row r="23" spans="1:6" x14ac:dyDescent="0.25">
      <c r="A23" s="67" t="s">
        <v>128</v>
      </c>
      <c r="B23" s="67">
        <v>51</v>
      </c>
      <c r="C23" s="67">
        <v>0</v>
      </c>
      <c r="D23" s="67">
        <v>40</v>
      </c>
      <c r="E23" s="67">
        <v>0.37999999523162842</v>
      </c>
      <c r="F23" s="67">
        <v>4</v>
      </c>
    </row>
    <row r="24" spans="1:6" x14ac:dyDescent="0.25">
      <c r="A24" s="67" t="s">
        <v>118</v>
      </c>
      <c r="B24" s="67">
        <v>68</v>
      </c>
      <c r="C24" s="67">
        <v>0</v>
      </c>
      <c r="D24" s="67">
        <v>64</v>
      </c>
      <c r="E24" s="67">
        <v>0.54000002145767212</v>
      </c>
      <c r="F24" s="67">
        <v>5</v>
      </c>
    </row>
    <row r="25" spans="1:6" x14ac:dyDescent="0.25">
      <c r="A25" s="67" t="s">
        <v>129</v>
      </c>
      <c r="B25" s="67">
        <v>96</v>
      </c>
      <c r="C25" s="67">
        <v>0</v>
      </c>
      <c r="D25" s="67">
        <v>80</v>
      </c>
      <c r="E25" s="67">
        <v>0.77999997138977051</v>
      </c>
      <c r="F25" s="67">
        <v>12</v>
      </c>
    </row>
    <row r="26" spans="1:6" x14ac:dyDescent="0.25">
      <c r="A26" s="67" t="s">
        <v>130</v>
      </c>
      <c r="B26" s="67">
        <v>153</v>
      </c>
      <c r="C26" s="67">
        <v>0</v>
      </c>
      <c r="D26" s="67">
        <v>135</v>
      </c>
      <c r="E26" s="67">
        <v>1.190000057220459</v>
      </c>
      <c r="F26" s="67">
        <v>11</v>
      </c>
    </row>
    <row r="27" spans="1:6" x14ac:dyDescent="0.25">
      <c r="A27" s="67" t="s">
        <v>317</v>
      </c>
      <c r="B27" s="67">
        <v>124</v>
      </c>
      <c r="C27" s="67">
        <v>0</v>
      </c>
      <c r="D27" s="67">
        <v>112</v>
      </c>
      <c r="E27" s="67">
        <v>0.93999999761581421</v>
      </c>
      <c r="F27" s="67">
        <v>9</v>
      </c>
    </row>
    <row r="28" spans="1:6" x14ac:dyDescent="0.25">
      <c r="A28" s="67" t="s">
        <v>207</v>
      </c>
      <c r="B28" s="67">
        <v>63</v>
      </c>
      <c r="C28" s="67">
        <v>0</v>
      </c>
      <c r="D28" s="67">
        <v>56</v>
      </c>
      <c r="E28" s="67">
        <v>0.43000000715255737</v>
      </c>
      <c r="F28" s="67">
        <v>4</v>
      </c>
    </row>
    <row r="29" spans="1:6" x14ac:dyDescent="0.25">
      <c r="A29" s="67" t="s">
        <v>119</v>
      </c>
      <c r="B29" s="67">
        <v>107</v>
      </c>
      <c r="C29" s="67">
        <v>0</v>
      </c>
      <c r="D29" s="67">
        <v>113</v>
      </c>
      <c r="E29" s="67">
        <v>0.92000001668930054</v>
      </c>
      <c r="F29" s="67">
        <v>11</v>
      </c>
    </row>
    <row r="30" spans="1:6" x14ac:dyDescent="0.25">
      <c r="A30" s="67" t="s">
        <v>120</v>
      </c>
      <c r="B30" s="67">
        <v>100</v>
      </c>
      <c r="C30" s="67">
        <v>0</v>
      </c>
      <c r="D30" s="67">
        <v>92</v>
      </c>
      <c r="E30" s="67">
        <v>0.69999998807907104</v>
      </c>
      <c r="F30" s="67">
        <v>7</v>
      </c>
    </row>
    <row r="31" spans="1:6" x14ac:dyDescent="0.25">
      <c r="A31" s="67" t="s">
        <v>121</v>
      </c>
      <c r="B31" s="67">
        <v>50</v>
      </c>
      <c r="C31" s="67">
        <v>0</v>
      </c>
      <c r="D31" s="67">
        <v>44</v>
      </c>
      <c r="E31" s="67">
        <v>0.34999999403953552</v>
      </c>
      <c r="F31" s="67">
        <v>4</v>
      </c>
    </row>
    <row r="32" spans="1:6" x14ac:dyDescent="0.25">
      <c r="A32" s="67" t="s">
        <v>122</v>
      </c>
      <c r="B32" s="67">
        <v>65</v>
      </c>
      <c r="C32" s="67">
        <v>0</v>
      </c>
      <c r="D32" s="67">
        <v>74</v>
      </c>
      <c r="E32" s="67">
        <v>0.5899999737739563</v>
      </c>
      <c r="F32" s="67">
        <v>6</v>
      </c>
    </row>
    <row r="33" spans="1:6" x14ac:dyDescent="0.25">
      <c r="A33" s="67" t="s">
        <v>140</v>
      </c>
      <c r="B33" s="67">
        <v>1126</v>
      </c>
      <c r="C33" s="67">
        <v>53</v>
      </c>
      <c r="D33" s="67">
        <v>841</v>
      </c>
      <c r="E33" s="67">
        <v>7.6100001335144043</v>
      </c>
      <c r="F33" s="67">
        <v>77</v>
      </c>
    </row>
    <row r="34" spans="1:6" x14ac:dyDescent="0.25">
      <c r="A34" s="67" t="s">
        <v>131</v>
      </c>
      <c r="B34" s="67">
        <v>32</v>
      </c>
      <c r="C34" s="67">
        <v>0</v>
      </c>
      <c r="D34" s="67">
        <v>25</v>
      </c>
      <c r="E34" s="67">
        <v>0.2199999988079071</v>
      </c>
      <c r="F34" s="67">
        <v>2</v>
      </c>
    </row>
    <row r="35" spans="1:6" x14ac:dyDescent="0.25">
      <c r="A35" s="67" t="s">
        <v>132</v>
      </c>
      <c r="B35" s="67">
        <v>32</v>
      </c>
      <c r="C35" s="67">
        <v>0</v>
      </c>
      <c r="D35" s="67">
        <v>28</v>
      </c>
      <c r="E35" s="67">
        <v>0.23999999463558197</v>
      </c>
      <c r="F35" s="67">
        <v>3</v>
      </c>
    </row>
    <row r="36" spans="1:6" x14ac:dyDescent="0.25">
      <c r="A36" s="67" t="s">
        <v>133</v>
      </c>
      <c r="B36" s="67">
        <v>30</v>
      </c>
      <c r="C36" s="67">
        <v>0</v>
      </c>
      <c r="D36" s="67">
        <v>31</v>
      </c>
      <c r="E36" s="67">
        <v>0.30000001192092896</v>
      </c>
      <c r="F36" s="67">
        <v>4</v>
      </c>
    </row>
    <row r="37" spans="1:6" x14ac:dyDescent="0.25">
      <c r="A37" s="67" t="s">
        <v>123</v>
      </c>
      <c r="B37" s="67">
        <v>27</v>
      </c>
      <c r="C37" s="67">
        <v>0</v>
      </c>
      <c r="D37" s="67">
        <v>27</v>
      </c>
      <c r="E37" s="67">
        <v>0.2199999988079071</v>
      </c>
      <c r="F37" s="67">
        <v>2</v>
      </c>
    </row>
    <row r="38" spans="1:6" x14ac:dyDescent="0.25">
      <c r="A38" s="67" t="s">
        <v>141</v>
      </c>
      <c r="B38" s="67">
        <v>259</v>
      </c>
      <c r="C38" s="67">
        <v>8</v>
      </c>
      <c r="D38" s="67">
        <v>223</v>
      </c>
      <c r="E38" s="67">
        <v>2.0999999046325684</v>
      </c>
      <c r="F38" s="67">
        <v>20</v>
      </c>
    </row>
    <row r="39" spans="1:6" x14ac:dyDescent="0.25">
      <c r="A39" s="67" t="s">
        <v>134</v>
      </c>
      <c r="B39" s="67">
        <v>31</v>
      </c>
      <c r="C39" s="67">
        <v>0</v>
      </c>
      <c r="D39" s="67">
        <v>30</v>
      </c>
      <c r="E39" s="67">
        <v>0.31999999284744263</v>
      </c>
      <c r="F39" s="67">
        <v>4</v>
      </c>
    </row>
    <row r="40" spans="1:6" x14ac:dyDescent="0.25">
      <c r="A40" s="67" t="s">
        <v>135</v>
      </c>
      <c r="B40" s="67">
        <v>19</v>
      </c>
      <c r="C40" s="67">
        <v>0</v>
      </c>
      <c r="D40" s="67">
        <v>19</v>
      </c>
      <c r="E40" s="67">
        <v>0.18999999761581421</v>
      </c>
      <c r="F40" s="67">
        <v>3</v>
      </c>
    </row>
    <row r="41" spans="1:6" x14ac:dyDescent="0.25">
      <c r="A41" s="67" t="s">
        <v>142</v>
      </c>
      <c r="B41" s="67">
        <v>43</v>
      </c>
      <c r="C41" s="67">
        <v>0</v>
      </c>
      <c r="D41" s="67">
        <v>38</v>
      </c>
      <c r="E41" s="67">
        <v>0.37999999523162842</v>
      </c>
      <c r="F41" s="67">
        <v>4</v>
      </c>
    </row>
    <row r="42" spans="1:6" x14ac:dyDescent="0.25">
      <c r="A42" s="67" t="s">
        <v>143</v>
      </c>
      <c r="B42" s="67">
        <v>193</v>
      </c>
      <c r="C42" s="67">
        <v>1</v>
      </c>
      <c r="D42" s="67">
        <v>143</v>
      </c>
      <c r="E42" s="67">
        <v>1.3200000524520874</v>
      </c>
      <c r="F42" s="67">
        <v>13</v>
      </c>
    </row>
    <row r="43" spans="1:6" x14ac:dyDescent="0.25">
      <c r="A43" s="67" t="s">
        <v>124</v>
      </c>
      <c r="B43" s="67">
        <v>38</v>
      </c>
      <c r="C43" s="67">
        <v>0</v>
      </c>
      <c r="D43" s="67">
        <v>40</v>
      </c>
      <c r="E43" s="67">
        <v>0.34999999403953552</v>
      </c>
      <c r="F43" s="67">
        <v>4</v>
      </c>
    </row>
    <row r="44" spans="1:6" x14ac:dyDescent="0.25">
      <c r="A44" s="67" t="s">
        <v>166</v>
      </c>
      <c r="B44" s="67">
        <v>103</v>
      </c>
      <c r="C44" s="67">
        <v>0</v>
      </c>
      <c r="D44" s="67">
        <v>87</v>
      </c>
      <c r="E44" s="67">
        <v>0.69999998807907104</v>
      </c>
      <c r="F44" s="67">
        <v>7</v>
      </c>
    </row>
    <row r="45" spans="1:6" x14ac:dyDescent="0.25">
      <c r="A45" s="67" t="s">
        <v>125</v>
      </c>
      <c r="B45" s="67">
        <v>144</v>
      </c>
      <c r="C45" s="67">
        <v>0</v>
      </c>
      <c r="D45" s="67">
        <v>147</v>
      </c>
      <c r="E45" s="67">
        <v>1.2400000095367432</v>
      </c>
      <c r="F45" s="67">
        <v>12</v>
      </c>
    </row>
    <row r="46" spans="1:6" x14ac:dyDescent="0.25">
      <c r="A46" s="67" t="s">
        <v>307</v>
      </c>
      <c r="B46" s="67">
        <v>2339</v>
      </c>
      <c r="C46" s="67">
        <v>18</v>
      </c>
      <c r="D46" s="67">
        <v>1754</v>
      </c>
      <c r="E46" s="67">
        <v>16.100000381469727</v>
      </c>
      <c r="F46" s="67">
        <v>162</v>
      </c>
    </row>
    <row r="47" spans="1:6" x14ac:dyDescent="0.25">
      <c r="A47" s="67" t="s">
        <v>304</v>
      </c>
      <c r="B47" s="67">
        <v>51</v>
      </c>
      <c r="C47" s="67">
        <v>0</v>
      </c>
      <c r="D47" s="67">
        <v>50</v>
      </c>
      <c r="E47" s="67">
        <v>0.49000000953674316</v>
      </c>
      <c r="F47" s="67">
        <v>5</v>
      </c>
    </row>
    <row r="48" spans="1:6" x14ac:dyDescent="0.25">
      <c r="A48" s="67" t="s">
        <v>209</v>
      </c>
      <c r="B48" s="67">
        <v>48</v>
      </c>
      <c r="C48" s="67">
        <v>0</v>
      </c>
      <c r="D48" s="67">
        <v>46</v>
      </c>
      <c r="E48" s="67">
        <v>0.54000002145767212</v>
      </c>
      <c r="F48" s="67">
        <v>5</v>
      </c>
    </row>
    <row r="49" spans="1:6" x14ac:dyDescent="0.25">
      <c r="A49" s="67" t="s">
        <v>305</v>
      </c>
      <c r="B49" s="67">
        <v>74</v>
      </c>
      <c r="C49" s="67">
        <v>0</v>
      </c>
      <c r="D49" s="67">
        <v>65</v>
      </c>
      <c r="E49" s="67">
        <v>0.5899999737739563</v>
      </c>
      <c r="F49" s="67">
        <v>6</v>
      </c>
    </row>
    <row r="50" spans="1:6" x14ac:dyDescent="0.25">
      <c r="A50" s="67" t="s">
        <v>259</v>
      </c>
      <c r="B50" s="67">
        <v>97</v>
      </c>
      <c r="C50" s="67">
        <v>0</v>
      </c>
      <c r="D50" s="67">
        <v>100</v>
      </c>
      <c r="E50" s="67">
        <v>0.81000000238418579</v>
      </c>
      <c r="F50" s="67">
        <v>9</v>
      </c>
    </row>
    <row r="51" spans="1:6" x14ac:dyDescent="0.25">
      <c r="A51" s="67" t="s">
        <v>266</v>
      </c>
      <c r="B51" s="67">
        <v>98</v>
      </c>
      <c r="C51" s="67">
        <v>0</v>
      </c>
      <c r="D51" s="67">
        <v>92</v>
      </c>
      <c r="E51" s="67">
        <v>0.86000001430511475</v>
      </c>
      <c r="F51" s="67">
        <v>10</v>
      </c>
    </row>
    <row r="52" spans="1:6" x14ac:dyDescent="0.25">
      <c r="A52" s="67" t="s">
        <v>298</v>
      </c>
      <c r="B52" s="67">
        <v>48</v>
      </c>
      <c r="C52" s="67">
        <v>0</v>
      </c>
      <c r="D52" s="67">
        <v>36</v>
      </c>
      <c r="E52" s="67">
        <v>0.31999999284744263</v>
      </c>
      <c r="F52" s="67">
        <v>3</v>
      </c>
    </row>
    <row r="53" spans="1:6" x14ac:dyDescent="0.25">
      <c r="A53" s="67" t="s">
        <v>299</v>
      </c>
      <c r="B53" s="67">
        <v>534</v>
      </c>
      <c r="C53" s="67">
        <v>22</v>
      </c>
      <c r="D53" s="67">
        <v>490</v>
      </c>
      <c r="E53" s="67">
        <v>4.5900001525878906</v>
      </c>
      <c r="F53" s="67">
        <v>48</v>
      </c>
    </row>
    <row r="54" spans="1:6" x14ac:dyDescent="0.25">
      <c r="A54" s="67" t="s">
        <v>308</v>
      </c>
      <c r="B54" s="67">
        <v>0</v>
      </c>
      <c r="C54" s="67">
        <v>102</v>
      </c>
      <c r="D54" s="67">
        <v>158</v>
      </c>
      <c r="E54" s="67">
        <v>1.7300000190734863</v>
      </c>
      <c r="F54" s="67">
        <v>17</v>
      </c>
    </row>
    <row r="55" spans="1:6" x14ac:dyDescent="0.25">
      <c r="A55" s="67" t="s">
        <v>126</v>
      </c>
      <c r="B55" s="67">
        <v>9461</v>
      </c>
      <c r="C55" s="67">
        <v>315</v>
      </c>
      <c r="D55" s="67">
        <v>7907</v>
      </c>
      <c r="E55" s="67">
        <v>72.25</v>
      </c>
      <c r="F55" s="67">
        <v>749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CE94-8CE9-44FA-A71B-755A427828C8}">
  <sheetPr codeName="Foglio13"/>
  <dimension ref="A1:T62"/>
  <sheetViews>
    <sheetView workbookViewId="0">
      <selection activeCell="A37" sqref="A37:P39"/>
    </sheetView>
  </sheetViews>
  <sheetFormatPr defaultColWidth="9.140625" defaultRowHeight="15" x14ac:dyDescent="0.25"/>
  <cols>
    <col min="1" max="1" width="8.7109375" style="1" bestFit="1" customWidth="1"/>
    <col min="2" max="2" width="23.85546875" style="1" bestFit="1" customWidth="1"/>
    <col min="3" max="3" width="10.7109375" style="1" bestFit="1" customWidth="1"/>
    <col min="4" max="4" width="11" style="1" bestFit="1" customWidth="1"/>
    <col min="5" max="5" width="5.42578125" style="1" bestFit="1" customWidth="1"/>
    <col min="6" max="6" width="9.140625" style="1"/>
    <col min="7" max="7" width="6.5703125" style="1" bestFit="1" customWidth="1"/>
    <col min="8" max="8" width="8.28515625" style="1" bestFit="1" customWidth="1"/>
    <col min="9" max="9" width="8" style="1" bestFit="1" customWidth="1"/>
    <col min="10" max="10" width="8.140625" style="1" bestFit="1" customWidth="1"/>
    <col min="11" max="11" width="8.28515625" style="1" bestFit="1" customWidth="1"/>
    <col min="12" max="12" width="8" style="1" bestFit="1" customWidth="1"/>
    <col min="13" max="13" width="8.140625" style="1" bestFit="1" customWidth="1"/>
    <col min="14" max="14" width="8.28515625" style="1" bestFit="1" customWidth="1"/>
    <col min="15" max="15" width="8" style="1" bestFit="1" customWidth="1"/>
    <col min="16" max="16" width="8.140625" style="1" bestFit="1" customWidth="1"/>
    <col min="17" max="17" width="6.5703125" style="1" bestFit="1" customWidth="1"/>
    <col min="18" max="18" width="6" style="1" bestFit="1" customWidth="1"/>
    <col min="19" max="19" width="3.85546875" style="1" bestFit="1" customWidth="1"/>
    <col min="20" max="20" width="14.42578125" style="1" bestFit="1" customWidth="1"/>
    <col min="21" max="16384" width="9.140625" style="1"/>
  </cols>
  <sheetData>
    <row r="1" spans="1:20" s="67" customFormat="1" x14ac:dyDescent="0.25">
      <c r="A1" s="134" t="s">
        <v>179</v>
      </c>
      <c r="B1" s="134" t="s">
        <v>173</v>
      </c>
      <c r="C1" s="134" t="s">
        <v>174</v>
      </c>
      <c r="D1" s="134" t="s">
        <v>175</v>
      </c>
      <c r="E1" s="134" t="s">
        <v>176</v>
      </c>
      <c r="F1" s="134" t="s">
        <v>177</v>
      </c>
      <c r="G1" s="134" t="s">
        <v>178</v>
      </c>
      <c r="H1" s="134" t="s">
        <v>180</v>
      </c>
      <c r="I1" s="134" t="s">
        <v>181</v>
      </c>
      <c r="J1" s="134" t="s">
        <v>182</v>
      </c>
      <c r="K1" s="134" t="s">
        <v>180</v>
      </c>
      <c r="L1" s="134" t="s">
        <v>181</v>
      </c>
      <c r="M1" s="134" t="s">
        <v>182</v>
      </c>
      <c r="N1" s="134" t="s">
        <v>180</v>
      </c>
      <c r="O1" s="134" t="s">
        <v>181</v>
      </c>
      <c r="P1" s="134" t="s">
        <v>182</v>
      </c>
      <c r="Q1" s="134" t="s">
        <v>183</v>
      </c>
      <c r="R1" s="134" t="s">
        <v>184</v>
      </c>
      <c r="S1" s="134" t="s">
        <v>185</v>
      </c>
      <c r="T1" s="134" t="s">
        <v>186</v>
      </c>
    </row>
    <row r="2" spans="1:20" s="68" customFormat="1" x14ac:dyDescent="0.25">
      <c r="A2" s="106" t="s">
        <v>257</v>
      </c>
      <c r="B2" s="106" t="s">
        <v>119</v>
      </c>
      <c r="C2" s="108">
        <v>0</v>
      </c>
      <c r="D2" s="108">
        <v>0</v>
      </c>
      <c r="E2" s="108">
        <v>6</v>
      </c>
      <c r="F2" s="107" t="s">
        <v>306</v>
      </c>
      <c r="G2" s="108">
        <v>1</v>
      </c>
      <c r="H2" s="108"/>
      <c r="I2" s="108"/>
      <c r="J2" s="108"/>
      <c r="K2" s="106"/>
      <c r="L2" s="106"/>
      <c r="M2" s="106"/>
      <c r="N2" s="106">
        <v>1</v>
      </c>
      <c r="O2" s="106">
        <v>1</v>
      </c>
      <c r="P2" s="106">
        <v>0</v>
      </c>
      <c r="Q2" s="106"/>
      <c r="R2" s="106"/>
      <c r="S2" s="106"/>
      <c r="T2" s="106"/>
    </row>
    <row r="3" spans="1:20" s="68" customFormat="1" x14ac:dyDescent="0.25">
      <c r="A3" s="106" t="s">
        <v>257</v>
      </c>
      <c r="B3" s="106" t="s">
        <v>125</v>
      </c>
      <c r="C3" s="108">
        <v>0</v>
      </c>
      <c r="D3" s="108">
        <v>0</v>
      </c>
      <c r="E3" s="108">
        <v>34</v>
      </c>
      <c r="F3" s="107" t="s">
        <v>310</v>
      </c>
      <c r="G3" s="108">
        <v>2</v>
      </c>
      <c r="H3" s="108"/>
      <c r="I3" s="108"/>
      <c r="J3" s="108"/>
      <c r="K3" s="106"/>
      <c r="L3" s="106"/>
      <c r="M3" s="106"/>
      <c r="N3" s="106">
        <v>2</v>
      </c>
      <c r="O3" s="106">
        <v>2</v>
      </c>
      <c r="P3" s="106">
        <v>0</v>
      </c>
      <c r="Q3" s="106"/>
      <c r="R3" s="106"/>
      <c r="S3" s="106"/>
      <c r="T3" s="106"/>
    </row>
    <row r="4" spans="1:20" s="68" customFormat="1" x14ac:dyDescent="0.25">
      <c r="A4" s="106" t="s">
        <v>257</v>
      </c>
      <c r="B4" s="106" t="s">
        <v>136</v>
      </c>
      <c r="C4" s="108">
        <v>183</v>
      </c>
      <c r="D4" s="108">
        <v>1.25</v>
      </c>
      <c r="E4" s="108">
        <v>494</v>
      </c>
      <c r="F4" s="107" t="s">
        <v>318</v>
      </c>
      <c r="G4" s="108">
        <v>30</v>
      </c>
      <c r="H4" s="108">
        <v>30</v>
      </c>
      <c r="I4" s="108">
        <v>30</v>
      </c>
      <c r="J4" s="108">
        <v>0</v>
      </c>
      <c r="K4" s="106"/>
      <c r="L4" s="106"/>
      <c r="M4" s="106"/>
      <c r="N4" s="108"/>
      <c r="O4" s="108"/>
      <c r="P4" s="108"/>
      <c r="Q4" s="106"/>
      <c r="R4" s="106"/>
      <c r="S4" s="106"/>
      <c r="T4" s="106"/>
    </row>
    <row r="5" spans="1:20" s="68" customFormat="1" x14ac:dyDescent="0.25">
      <c r="A5" s="106" t="s">
        <v>257</v>
      </c>
      <c r="B5" s="106" t="s">
        <v>208</v>
      </c>
      <c r="C5" s="108">
        <v>280</v>
      </c>
      <c r="D5" s="108">
        <v>764</v>
      </c>
      <c r="E5" s="108">
        <v>501</v>
      </c>
      <c r="F5" s="107" t="s">
        <v>319</v>
      </c>
      <c r="G5" s="108">
        <v>29</v>
      </c>
      <c r="H5" s="108">
        <v>28</v>
      </c>
      <c r="I5" s="108">
        <v>28</v>
      </c>
      <c r="J5" s="108">
        <v>0</v>
      </c>
      <c r="K5" s="106"/>
      <c r="L5" s="106"/>
      <c r="M5" s="106"/>
      <c r="N5" s="106">
        <v>1</v>
      </c>
      <c r="O5" s="106">
        <v>1</v>
      </c>
      <c r="P5" s="106">
        <v>0</v>
      </c>
      <c r="Q5" s="106"/>
      <c r="R5" s="106"/>
      <c r="S5" s="106"/>
      <c r="T5" s="106"/>
    </row>
    <row r="6" spans="1:20" s="68" customFormat="1" x14ac:dyDescent="0.25">
      <c r="A6" s="106" t="s">
        <v>257</v>
      </c>
      <c r="B6" s="106" t="s">
        <v>137</v>
      </c>
      <c r="C6" s="108">
        <v>1.125</v>
      </c>
      <c r="D6" s="108">
        <v>1.8460000000000001</v>
      </c>
      <c r="E6" s="108">
        <v>1.47</v>
      </c>
      <c r="F6" s="107" t="s">
        <v>320</v>
      </c>
      <c r="G6" s="108">
        <v>73</v>
      </c>
      <c r="H6" s="108">
        <v>73</v>
      </c>
      <c r="I6" s="108">
        <v>73</v>
      </c>
      <c r="J6" s="108">
        <v>0</v>
      </c>
      <c r="K6" s="106"/>
      <c r="L6" s="106"/>
      <c r="M6" s="106"/>
      <c r="N6" s="106"/>
      <c r="O6" s="106"/>
      <c r="P6" s="106"/>
      <c r="Q6" s="106"/>
      <c r="R6" s="106"/>
      <c r="S6" s="106"/>
      <c r="T6" s="106"/>
    </row>
    <row r="7" spans="1:20" s="68" customFormat="1" x14ac:dyDescent="0.25">
      <c r="A7" s="106" t="s">
        <v>257</v>
      </c>
      <c r="B7" s="106" t="s">
        <v>138</v>
      </c>
      <c r="C7" s="108">
        <v>146</v>
      </c>
      <c r="D7" s="108">
        <v>112</v>
      </c>
      <c r="E7" s="108">
        <v>151</v>
      </c>
      <c r="F7" s="107" t="s">
        <v>321</v>
      </c>
      <c r="G7" s="108">
        <v>7</v>
      </c>
      <c r="H7" s="108">
        <v>7</v>
      </c>
      <c r="I7" s="108">
        <v>7</v>
      </c>
      <c r="J7" s="108">
        <v>0</v>
      </c>
      <c r="K7" s="106"/>
      <c r="L7" s="106"/>
      <c r="M7" s="106"/>
      <c r="N7" s="106"/>
      <c r="O7" s="106"/>
      <c r="P7" s="106"/>
      <c r="Q7" s="106"/>
      <c r="R7" s="106"/>
      <c r="S7" s="106"/>
      <c r="T7" s="106"/>
    </row>
    <row r="8" spans="1:20" s="68" customFormat="1" x14ac:dyDescent="0.25">
      <c r="A8" s="106" t="s">
        <v>257</v>
      </c>
      <c r="B8" s="106" t="s">
        <v>139</v>
      </c>
      <c r="C8" s="108">
        <v>162</v>
      </c>
      <c r="D8" s="108">
        <v>524</v>
      </c>
      <c r="E8" s="108">
        <v>314</v>
      </c>
      <c r="F8" s="107" t="s">
        <v>322</v>
      </c>
      <c r="G8" s="108">
        <v>18</v>
      </c>
      <c r="H8" s="108">
        <v>18</v>
      </c>
      <c r="I8" s="108">
        <v>18</v>
      </c>
      <c r="J8" s="108">
        <v>0</v>
      </c>
      <c r="K8" s="106"/>
      <c r="L8" s="106"/>
      <c r="M8" s="106"/>
      <c r="N8" s="106"/>
      <c r="O8" s="106"/>
      <c r="P8" s="106"/>
      <c r="Q8" s="106"/>
      <c r="R8" s="106"/>
      <c r="S8" s="106"/>
      <c r="T8" s="106"/>
    </row>
    <row r="9" spans="1:20" s="68" customFormat="1" x14ac:dyDescent="0.25">
      <c r="A9" s="106" t="s">
        <v>257</v>
      </c>
      <c r="B9" s="106" t="s">
        <v>140</v>
      </c>
      <c r="C9" s="108">
        <v>502</v>
      </c>
      <c r="D9" s="108">
        <v>507</v>
      </c>
      <c r="E9" s="108">
        <v>503</v>
      </c>
      <c r="F9" s="107" t="s">
        <v>323</v>
      </c>
      <c r="G9" s="108">
        <v>27</v>
      </c>
      <c r="H9" s="108">
        <v>27</v>
      </c>
      <c r="I9" s="108">
        <v>27</v>
      </c>
      <c r="J9" s="108">
        <v>0</v>
      </c>
      <c r="K9" s="106"/>
      <c r="L9" s="106"/>
      <c r="M9" s="106"/>
      <c r="N9" s="106"/>
      <c r="O9" s="106"/>
      <c r="P9" s="106"/>
      <c r="Q9" s="106"/>
      <c r="R9" s="106"/>
      <c r="S9" s="106"/>
      <c r="T9" s="106"/>
    </row>
    <row r="10" spans="1:20" s="68" customFormat="1" x14ac:dyDescent="0.25">
      <c r="A10" s="106" t="s">
        <v>257</v>
      </c>
      <c r="B10" s="106" t="s">
        <v>141</v>
      </c>
      <c r="C10" s="108">
        <v>382</v>
      </c>
      <c r="D10" s="108">
        <v>971</v>
      </c>
      <c r="E10" s="108">
        <v>602</v>
      </c>
      <c r="F10" s="107" t="s">
        <v>324</v>
      </c>
      <c r="G10" s="108">
        <v>32</v>
      </c>
      <c r="H10" s="108">
        <v>32</v>
      </c>
      <c r="I10" s="108">
        <v>32</v>
      </c>
      <c r="J10" s="108">
        <v>0</v>
      </c>
      <c r="K10" s="106"/>
      <c r="L10" s="106"/>
      <c r="M10" s="106"/>
      <c r="N10" s="106"/>
      <c r="O10" s="106"/>
      <c r="P10" s="106"/>
      <c r="Q10" s="106"/>
      <c r="R10" s="106"/>
      <c r="S10" s="106"/>
      <c r="T10" s="106"/>
    </row>
    <row r="11" spans="1:20" s="68" customFormat="1" x14ac:dyDescent="0.25">
      <c r="A11" s="106" t="s">
        <v>257</v>
      </c>
      <c r="B11" s="106" t="s">
        <v>143</v>
      </c>
      <c r="C11" s="108">
        <v>524</v>
      </c>
      <c r="D11" s="108">
        <v>647</v>
      </c>
      <c r="E11" s="108">
        <v>648</v>
      </c>
      <c r="F11" s="107" t="s">
        <v>325</v>
      </c>
      <c r="G11" s="108">
        <v>31</v>
      </c>
      <c r="H11" s="108">
        <v>31</v>
      </c>
      <c r="I11" s="108">
        <v>31</v>
      </c>
      <c r="J11" s="108">
        <v>0</v>
      </c>
      <c r="K11" s="106"/>
      <c r="L11" s="106"/>
      <c r="M11" s="106"/>
      <c r="N11" s="106"/>
      <c r="O11" s="106"/>
      <c r="P11" s="106"/>
      <c r="Q11" s="106"/>
      <c r="R11" s="106"/>
      <c r="S11" s="106"/>
      <c r="T11" s="106"/>
    </row>
    <row r="12" spans="1:20" s="68" customFormat="1" x14ac:dyDescent="0.25">
      <c r="A12" s="106" t="s">
        <v>257</v>
      </c>
      <c r="B12" s="106" t="s">
        <v>307</v>
      </c>
      <c r="C12" s="108">
        <v>1.782</v>
      </c>
      <c r="D12" s="108">
        <v>6.6790000000000003</v>
      </c>
      <c r="E12" s="108">
        <v>3.4670000000000001</v>
      </c>
      <c r="F12" s="107" t="s">
        <v>326</v>
      </c>
      <c r="G12" s="108">
        <v>209</v>
      </c>
      <c r="H12" s="108">
        <v>209</v>
      </c>
      <c r="I12" s="108">
        <v>209</v>
      </c>
      <c r="J12" s="108">
        <v>0</v>
      </c>
      <c r="K12" s="106"/>
      <c r="L12" s="106"/>
      <c r="M12" s="106"/>
      <c r="N12" s="106"/>
      <c r="O12" s="106"/>
      <c r="P12" s="106"/>
      <c r="Q12" s="106"/>
      <c r="R12" s="106"/>
      <c r="S12" s="106"/>
      <c r="T12" s="106"/>
    </row>
    <row r="13" spans="1:20" s="68" customFormat="1" x14ac:dyDescent="0.25">
      <c r="A13" s="109" t="s">
        <v>257</v>
      </c>
      <c r="B13" s="109" t="s">
        <v>299</v>
      </c>
      <c r="C13" s="111">
        <v>458</v>
      </c>
      <c r="D13" s="111">
        <v>1.175</v>
      </c>
      <c r="E13" s="111">
        <v>735</v>
      </c>
      <c r="F13" s="110" t="s">
        <v>327</v>
      </c>
      <c r="G13" s="111">
        <v>39</v>
      </c>
      <c r="H13" s="109">
        <v>39</v>
      </c>
      <c r="I13" s="109">
        <v>39</v>
      </c>
      <c r="J13" s="109">
        <v>0</v>
      </c>
      <c r="K13" s="109"/>
      <c r="L13" s="109"/>
      <c r="M13" s="109"/>
      <c r="N13" s="111"/>
      <c r="O13" s="111"/>
      <c r="P13" s="111"/>
      <c r="Q13" s="109"/>
      <c r="R13" s="109"/>
      <c r="S13" s="109"/>
      <c r="T13" s="109"/>
    </row>
    <row r="14" spans="1:20" s="68" customFormat="1" x14ac:dyDescent="0.25">
      <c r="A14" s="109" t="s">
        <v>257</v>
      </c>
      <c r="B14" s="109" t="s">
        <v>227</v>
      </c>
      <c r="C14" s="111">
        <v>181</v>
      </c>
      <c r="D14" s="111">
        <v>440</v>
      </c>
      <c r="E14" s="111">
        <v>292</v>
      </c>
      <c r="F14" s="110" t="s">
        <v>328</v>
      </c>
      <c r="G14" s="111">
        <v>23</v>
      </c>
      <c r="H14" s="109">
        <v>23</v>
      </c>
      <c r="I14" s="109">
        <v>23</v>
      </c>
      <c r="J14" s="109">
        <v>0</v>
      </c>
      <c r="K14" s="109"/>
      <c r="L14" s="109"/>
      <c r="M14" s="109"/>
      <c r="N14" s="111"/>
      <c r="O14" s="111"/>
      <c r="P14" s="111"/>
      <c r="Q14" s="109"/>
      <c r="R14" s="109"/>
      <c r="S14" s="109"/>
      <c r="T14" s="109"/>
    </row>
    <row r="15" spans="1:20" s="68" customFormat="1" x14ac:dyDescent="0.25">
      <c r="A15" s="109" t="s">
        <v>257</v>
      </c>
      <c r="B15" s="109" t="s">
        <v>308</v>
      </c>
      <c r="C15" s="111">
        <v>343</v>
      </c>
      <c r="D15" s="111">
        <v>913</v>
      </c>
      <c r="E15" s="111">
        <v>611</v>
      </c>
      <c r="F15" s="110" t="s">
        <v>329</v>
      </c>
      <c r="G15" s="111">
        <v>48</v>
      </c>
      <c r="H15" s="109">
        <v>45</v>
      </c>
      <c r="I15" s="109">
        <v>45</v>
      </c>
      <c r="J15" s="109">
        <v>0</v>
      </c>
      <c r="K15" s="109"/>
      <c r="L15" s="109"/>
      <c r="M15" s="109"/>
      <c r="N15" s="111">
        <v>3</v>
      </c>
      <c r="O15" s="111">
        <v>3</v>
      </c>
      <c r="P15" s="111">
        <v>0</v>
      </c>
      <c r="Q15" s="109"/>
      <c r="R15" s="109"/>
      <c r="S15" s="109"/>
      <c r="T15" s="109"/>
    </row>
    <row r="16" spans="1:20" s="68" customFormat="1" x14ac:dyDescent="0.25">
      <c r="A16" s="112" t="s">
        <v>257</v>
      </c>
      <c r="B16" s="112" t="s">
        <v>136</v>
      </c>
      <c r="C16" s="114">
        <v>229</v>
      </c>
      <c r="D16" s="114">
        <v>1.2509999999999999</v>
      </c>
      <c r="E16" s="114">
        <v>731</v>
      </c>
      <c r="F16" s="113" t="s">
        <v>330</v>
      </c>
      <c r="G16" s="114">
        <v>52</v>
      </c>
      <c r="H16" s="114">
        <v>28</v>
      </c>
      <c r="I16" s="114">
        <v>28</v>
      </c>
      <c r="J16" s="114">
        <v>0</v>
      </c>
      <c r="K16" s="112"/>
      <c r="L16" s="112"/>
      <c r="M16" s="112"/>
      <c r="N16" s="114">
        <v>24</v>
      </c>
      <c r="O16" s="114">
        <v>24</v>
      </c>
      <c r="P16" s="114">
        <v>0</v>
      </c>
      <c r="Q16" s="112"/>
      <c r="R16" s="112"/>
      <c r="S16" s="112"/>
      <c r="T16" s="112"/>
    </row>
    <row r="17" spans="1:20" s="68" customFormat="1" x14ac:dyDescent="0.25">
      <c r="A17" s="112" t="s">
        <v>257</v>
      </c>
      <c r="B17" s="112" t="s">
        <v>208</v>
      </c>
      <c r="C17" s="114">
        <v>306</v>
      </c>
      <c r="D17" s="114">
        <v>1.1299999999999999</v>
      </c>
      <c r="E17" s="114">
        <v>872</v>
      </c>
      <c r="F17" s="113" t="s">
        <v>331</v>
      </c>
      <c r="G17" s="114">
        <v>56</v>
      </c>
      <c r="H17" s="114">
        <v>41</v>
      </c>
      <c r="I17" s="114">
        <v>41</v>
      </c>
      <c r="J17" s="114">
        <v>0</v>
      </c>
      <c r="K17" s="112"/>
      <c r="L17" s="112"/>
      <c r="M17" s="112"/>
      <c r="N17" s="112">
        <v>15</v>
      </c>
      <c r="O17" s="112">
        <v>15</v>
      </c>
      <c r="P17" s="112">
        <v>0</v>
      </c>
      <c r="Q17" s="112"/>
      <c r="R17" s="112"/>
      <c r="S17" s="112"/>
      <c r="T17" s="112"/>
    </row>
    <row r="18" spans="1:20" s="68" customFormat="1" x14ac:dyDescent="0.25">
      <c r="A18" s="112" t="s">
        <v>257</v>
      </c>
      <c r="B18" s="112" t="s">
        <v>137</v>
      </c>
      <c r="C18" s="114">
        <v>162</v>
      </c>
      <c r="D18" s="114">
        <v>1.0589999999999999</v>
      </c>
      <c r="E18" s="114">
        <v>616</v>
      </c>
      <c r="F18" s="113" t="s">
        <v>332</v>
      </c>
      <c r="G18" s="114">
        <v>45</v>
      </c>
      <c r="H18" s="114">
        <v>17</v>
      </c>
      <c r="I18" s="114">
        <v>17</v>
      </c>
      <c r="J18" s="114">
        <v>0</v>
      </c>
      <c r="K18" s="112"/>
      <c r="L18" s="112"/>
      <c r="M18" s="112"/>
      <c r="N18" s="112">
        <v>28</v>
      </c>
      <c r="O18" s="112">
        <v>28</v>
      </c>
      <c r="P18" s="112">
        <v>0</v>
      </c>
      <c r="Q18" s="112"/>
      <c r="R18" s="112"/>
      <c r="S18" s="112"/>
      <c r="T18" s="112"/>
    </row>
    <row r="19" spans="1:20" s="68" customFormat="1" x14ac:dyDescent="0.25">
      <c r="A19" s="112" t="s">
        <v>257</v>
      </c>
      <c r="B19" s="112" t="s">
        <v>138</v>
      </c>
      <c r="C19" s="114">
        <v>194</v>
      </c>
      <c r="D19" s="114">
        <v>1.86</v>
      </c>
      <c r="E19" s="114">
        <v>1.099</v>
      </c>
      <c r="F19" s="113" t="s">
        <v>333</v>
      </c>
      <c r="G19" s="114">
        <v>73</v>
      </c>
      <c r="H19" s="114">
        <v>37</v>
      </c>
      <c r="I19" s="114">
        <v>37</v>
      </c>
      <c r="J19" s="114">
        <v>0</v>
      </c>
      <c r="K19" s="112"/>
      <c r="L19" s="112"/>
      <c r="M19" s="112"/>
      <c r="N19" s="112">
        <v>36</v>
      </c>
      <c r="O19" s="112">
        <v>36</v>
      </c>
      <c r="P19" s="112">
        <v>0</v>
      </c>
      <c r="Q19" s="112"/>
      <c r="R19" s="112"/>
      <c r="S19" s="112"/>
      <c r="T19" s="112"/>
    </row>
    <row r="20" spans="1:20" s="68" customFormat="1" x14ac:dyDescent="0.25">
      <c r="A20" s="112" t="s">
        <v>257</v>
      </c>
      <c r="B20" s="112" t="s">
        <v>139</v>
      </c>
      <c r="C20" s="114">
        <v>0</v>
      </c>
      <c r="D20" s="114">
        <v>1.1950000000000001</v>
      </c>
      <c r="E20" s="114">
        <v>471</v>
      </c>
      <c r="F20" s="113" t="s">
        <v>334</v>
      </c>
      <c r="G20" s="114">
        <v>40</v>
      </c>
      <c r="H20" s="114">
        <v>3</v>
      </c>
      <c r="I20" s="114">
        <v>3</v>
      </c>
      <c r="J20" s="114">
        <v>0</v>
      </c>
      <c r="K20" s="112"/>
      <c r="L20" s="112"/>
      <c r="M20" s="112"/>
      <c r="N20" s="114">
        <v>37</v>
      </c>
      <c r="O20" s="114">
        <v>37</v>
      </c>
      <c r="P20" s="114">
        <v>0</v>
      </c>
      <c r="Q20" s="112"/>
      <c r="R20" s="112"/>
      <c r="S20" s="112"/>
      <c r="T20" s="112"/>
    </row>
    <row r="21" spans="1:20" s="68" customFormat="1" x14ac:dyDescent="0.25">
      <c r="A21" s="112" t="s">
        <v>257</v>
      </c>
      <c r="B21" s="112" t="s">
        <v>140</v>
      </c>
      <c r="C21" s="114">
        <v>101</v>
      </c>
      <c r="D21" s="114">
        <v>1.891</v>
      </c>
      <c r="E21" s="114">
        <v>810</v>
      </c>
      <c r="F21" s="113" t="s">
        <v>335</v>
      </c>
      <c r="G21" s="114">
        <v>69</v>
      </c>
      <c r="H21" s="114">
        <v>8</v>
      </c>
      <c r="I21" s="114">
        <v>8</v>
      </c>
      <c r="J21" s="114">
        <v>0</v>
      </c>
      <c r="K21" s="112"/>
      <c r="L21" s="112"/>
      <c r="M21" s="112"/>
      <c r="N21" s="114">
        <v>61</v>
      </c>
      <c r="O21" s="114">
        <v>61</v>
      </c>
      <c r="P21" s="114">
        <v>0</v>
      </c>
      <c r="Q21" s="112"/>
      <c r="R21" s="112"/>
      <c r="S21" s="112"/>
      <c r="T21" s="112"/>
    </row>
    <row r="22" spans="1:20" s="68" customFormat="1" x14ac:dyDescent="0.25">
      <c r="A22" s="112" t="s">
        <v>257</v>
      </c>
      <c r="B22" s="112" t="s">
        <v>141</v>
      </c>
      <c r="C22" s="114">
        <v>148</v>
      </c>
      <c r="D22" s="114">
        <v>777</v>
      </c>
      <c r="E22" s="114">
        <v>480</v>
      </c>
      <c r="F22" s="113" t="s">
        <v>336</v>
      </c>
      <c r="G22" s="114">
        <v>32</v>
      </c>
      <c r="H22" s="114">
        <v>19</v>
      </c>
      <c r="I22" s="114">
        <v>19</v>
      </c>
      <c r="J22" s="114">
        <v>0</v>
      </c>
      <c r="K22" s="112"/>
      <c r="L22" s="112"/>
      <c r="M22" s="112"/>
      <c r="N22" s="114">
        <v>13</v>
      </c>
      <c r="O22" s="114">
        <v>13</v>
      </c>
      <c r="P22" s="114">
        <v>0</v>
      </c>
      <c r="Q22" s="112"/>
      <c r="R22" s="112"/>
      <c r="S22" s="112"/>
      <c r="T22" s="112"/>
    </row>
    <row r="23" spans="1:20" s="68" customFormat="1" x14ac:dyDescent="0.25">
      <c r="A23" s="112" t="s">
        <v>257</v>
      </c>
      <c r="B23" s="112" t="s">
        <v>143</v>
      </c>
      <c r="C23" s="114">
        <v>127</v>
      </c>
      <c r="D23" s="114">
        <v>656</v>
      </c>
      <c r="E23" s="114">
        <v>408</v>
      </c>
      <c r="F23" s="113" t="s">
        <v>337</v>
      </c>
      <c r="G23" s="114">
        <v>29</v>
      </c>
      <c r="H23" s="114">
        <v>19</v>
      </c>
      <c r="I23" s="114">
        <v>19</v>
      </c>
      <c r="J23" s="114">
        <v>0</v>
      </c>
      <c r="K23" s="112"/>
      <c r="L23" s="112"/>
      <c r="M23" s="112"/>
      <c r="N23" s="112">
        <v>10</v>
      </c>
      <c r="O23" s="112">
        <v>10</v>
      </c>
      <c r="P23" s="112">
        <v>0</v>
      </c>
      <c r="Q23" s="112"/>
      <c r="R23" s="112"/>
      <c r="S23" s="112"/>
      <c r="T23" s="112"/>
    </row>
    <row r="24" spans="1:20" s="68" customFormat="1" x14ac:dyDescent="0.25">
      <c r="A24" s="112" t="s">
        <v>257</v>
      </c>
      <c r="B24" s="112" t="s">
        <v>307</v>
      </c>
      <c r="C24" s="114">
        <v>31</v>
      </c>
      <c r="D24" s="114">
        <v>1.351</v>
      </c>
      <c r="E24" s="114">
        <v>607</v>
      </c>
      <c r="F24" s="113" t="s">
        <v>338</v>
      </c>
      <c r="G24" s="114">
        <v>52</v>
      </c>
      <c r="H24" s="114">
        <v>18</v>
      </c>
      <c r="I24" s="114">
        <v>18</v>
      </c>
      <c r="J24" s="114">
        <v>0</v>
      </c>
      <c r="K24" s="112"/>
      <c r="L24" s="112"/>
      <c r="M24" s="112"/>
      <c r="N24" s="114">
        <v>34</v>
      </c>
      <c r="O24" s="114">
        <v>34</v>
      </c>
      <c r="P24" s="114">
        <v>0</v>
      </c>
      <c r="Q24" s="112"/>
      <c r="R24" s="112"/>
      <c r="S24" s="112"/>
      <c r="T24" s="112"/>
    </row>
    <row r="25" spans="1:20" s="68" customFormat="1" x14ac:dyDescent="0.25">
      <c r="A25" s="112" t="s">
        <v>257</v>
      </c>
      <c r="B25" s="112" t="s">
        <v>299</v>
      </c>
      <c r="C25" s="114">
        <v>364</v>
      </c>
      <c r="D25" s="114">
        <v>809</v>
      </c>
      <c r="E25" s="114">
        <v>726</v>
      </c>
      <c r="F25" s="113" t="s">
        <v>339</v>
      </c>
      <c r="G25" s="114">
        <v>46</v>
      </c>
      <c r="H25" s="114">
        <v>22</v>
      </c>
      <c r="I25" s="114">
        <v>22</v>
      </c>
      <c r="J25" s="114">
        <v>0</v>
      </c>
      <c r="K25" s="112"/>
      <c r="L25" s="112"/>
      <c r="M25" s="112"/>
      <c r="N25" s="112">
        <v>24</v>
      </c>
      <c r="O25" s="112">
        <v>24</v>
      </c>
      <c r="P25" s="112">
        <v>0</v>
      </c>
      <c r="Q25" s="112"/>
      <c r="R25" s="112"/>
      <c r="S25" s="112"/>
      <c r="T25" s="112"/>
    </row>
    <row r="26" spans="1:20" s="68" customFormat="1" x14ac:dyDescent="0.25">
      <c r="A26" s="112" t="s">
        <v>257</v>
      </c>
      <c r="B26" s="112" t="s">
        <v>118</v>
      </c>
      <c r="C26" s="114">
        <v>71</v>
      </c>
      <c r="D26" s="114">
        <v>343</v>
      </c>
      <c r="E26" s="114">
        <v>240</v>
      </c>
      <c r="F26" s="113" t="s">
        <v>340</v>
      </c>
      <c r="G26" s="114">
        <v>16</v>
      </c>
      <c r="H26" s="114">
        <v>16</v>
      </c>
      <c r="I26" s="114">
        <v>16</v>
      </c>
      <c r="J26" s="114">
        <v>0</v>
      </c>
      <c r="K26" s="112"/>
      <c r="L26" s="112"/>
      <c r="M26" s="112"/>
      <c r="N26" s="114"/>
      <c r="O26" s="114"/>
      <c r="P26" s="114"/>
      <c r="Q26" s="112"/>
      <c r="R26" s="112"/>
      <c r="S26" s="112"/>
      <c r="T26" s="112"/>
    </row>
    <row r="27" spans="1:20" s="68" customFormat="1" x14ac:dyDescent="0.25">
      <c r="A27" s="112" t="s">
        <v>257</v>
      </c>
      <c r="B27" s="112" t="s">
        <v>119</v>
      </c>
      <c r="C27" s="114">
        <v>0</v>
      </c>
      <c r="D27" s="114">
        <v>174</v>
      </c>
      <c r="E27" s="114">
        <v>108</v>
      </c>
      <c r="F27" s="113" t="s">
        <v>341</v>
      </c>
      <c r="G27" s="114">
        <v>9</v>
      </c>
      <c r="H27" s="114">
        <v>8</v>
      </c>
      <c r="I27" s="114">
        <v>8</v>
      </c>
      <c r="J27" s="114">
        <v>0</v>
      </c>
      <c r="K27" s="112"/>
      <c r="L27" s="112"/>
      <c r="M27" s="112"/>
      <c r="N27" s="114">
        <v>1</v>
      </c>
      <c r="O27" s="114">
        <v>1</v>
      </c>
      <c r="P27" s="114">
        <v>0</v>
      </c>
      <c r="Q27" s="112"/>
      <c r="R27" s="112"/>
      <c r="S27" s="112"/>
      <c r="T27" s="112"/>
    </row>
    <row r="28" spans="1:20" s="68" customFormat="1" x14ac:dyDescent="0.25">
      <c r="A28" s="115" t="s">
        <v>257</v>
      </c>
      <c r="B28" s="115" t="s">
        <v>120</v>
      </c>
      <c r="C28" s="117">
        <v>17</v>
      </c>
      <c r="D28" s="117">
        <v>653</v>
      </c>
      <c r="E28" s="117">
        <v>323</v>
      </c>
      <c r="F28" s="116" t="s">
        <v>342</v>
      </c>
      <c r="G28" s="117">
        <v>24</v>
      </c>
      <c r="H28" s="115">
        <v>24</v>
      </c>
      <c r="I28" s="115">
        <v>24</v>
      </c>
      <c r="J28" s="115">
        <v>0</v>
      </c>
      <c r="K28" s="115"/>
      <c r="L28" s="115"/>
      <c r="M28" s="115"/>
      <c r="N28" s="117"/>
      <c r="O28" s="117"/>
      <c r="P28" s="117"/>
      <c r="Q28" s="115"/>
      <c r="R28" s="115"/>
      <c r="S28" s="115"/>
      <c r="T28" s="115"/>
    </row>
    <row r="29" spans="1:20" s="68" customFormat="1" x14ac:dyDescent="0.25">
      <c r="A29" s="115" t="s">
        <v>257</v>
      </c>
      <c r="B29" s="115" t="s">
        <v>121</v>
      </c>
      <c r="C29" s="117">
        <v>78</v>
      </c>
      <c r="D29" s="117">
        <v>49</v>
      </c>
      <c r="E29" s="117">
        <v>100</v>
      </c>
      <c r="F29" s="116" t="s">
        <v>341</v>
      </c>
      <c r="G29" s="117">
        <v>6</v>
      </c>
      <c r="H29" s="115">
        <v>6</v>
      </c>
      <c r="I29" s="115">
        <v>6</v>
      </c>
      <c r="J29" s="115">
        <v>0</v>
      </c>
      <c r="K29" s="115"/>
      <c r="L29" s="115"/>
      <c r="M29" s="115"/>
      <c r="N29" s="117"/>
      <c r="O29" s="117"/>
      <c r="P29" s="117"/>
      <c r="Q29" s="115"/>
      <c r="R29" s="115"/>
      <c r="S29" s="115"/>
      <c r="T29" s="115"/>
    </row>
    <row r="30" spans="1:20" s="68" customFormat="1" x14ac:dyDescent="0.25">
      <c r="A30" s="115" t="s">
        <v>257</v>
      </c>
      <c r="B30" s="115" t="s">
        <v>122</v>
      </c>
      <c r="C30" s="117">
        <v>0</v>
      </c>
      <c r="D30" s="117">
        <v>324</v>
      </c>
      <c r="E30" s="117">
        <v>125</v>
      </c>
      <c r="F30" s="116" t="s">
        <v>343</v>
      </c>
      <c r="G30" s="117">
        <v>9</v>
      </c>
      <c r="H30" s="115">
        <v>9</v>
      </c>
      <c r="I30" s="115">
        <v>9</v>
      </c>
      <c r="J30" s="115">
        <v>0</v>
      </c>
      <c r="K30" s="115"/>
      <c r="L30" s="115"/>
      <c r="M30" s="115"/>
      <c r="N30" s="117"/>
      <c r="O30" s="117"/>
      <c r="P30" s="117"/>
      <c r="Q30" s="115"/>
      <c r="R30" s="115"/>
      <c r="S30" s="115"/>
      <c r="T30" s="115"/>
    </row>
    <row r="31" spans="1:20" s="68" customFormat="1" x14ac:dyDescent="0.25">
      <c r="A31" s="115" t="s">
        <v>257</v>
      </c>
      <c r="B31" s="115" t="s">
        <v>123</v>
      </c>
      <c r="C31" s="117">
        <v>0</v>
      </c>
      <c r="D31" s="117">
        <v>436</v>
      </c>
      <c r="E31" s="117">
        <v>173</v>
      </c>
      <c r="F31" s="116" t="s">
        <v>344</v>
      </c>
      <c r="G31" s="117">
        <v>12</v>
      </c>
      <c r="H31" s="115">
        <v>12</v>
      </c>
      <c r="I31" s="115">
        <v>12</v>
      </c>
      <c r="J31" s="115">
        <v>0</v>
      </c>
      <c r="K31" s="115"/>
      <c r="L31" s="115"/>
      <c r="M31" s="115"/>
      <c r="N31" s="117"/>
      <c r="O31" s="117"/>
      <c r="P31" s="117"/>
      <c r="Q31" s="115"/>
      <c r="R31" s="115"/>
      <c r="S31" s="115"/>
      <c r="T31" s="115"/>
    </row>
    <row r="32" spans="1:20" s="68" customFormat="1" x14ac:dyDescent="0.25">
      <c r="A32" s="115" t="s">
        <v>257</v>
      </c>
      <c r="B32" s="115" t="s">
        <v>124</v>
      </c>
      <c r="C32" s="117">
        <v>52</v>
      </c>
      <c r="D32" s="117">
        <v>502</v>
      </c>
      <c r="E32" s="117">
        <v>267</v>
      </c>
      <c r="F32" s="116" t="s">
        <v>345</v>
      </c>
      <c r="G32" s="117">
        <v>16</v>
      </c>
      <c r="H32" s="115">
        <v>16</v>
      </c>
      <c r="I32" s="115">
        <v>16</v>
      </c>
      <c r="J32" s="115">
        <v>0</v>
      </c>
      <c r="K32" s="115"/>
      <c r="L32" s="115"/>
      <c r="M32" s="115"/>
      <c r="N32" s="117"/>
      <c r="O32" s="117"/>
      <c r="P32" s="117"/>
      <c r="Q32" s="115"/>
      <c r="R32" s="115"/>
      <c r="S32" s="115"/>
      <c r="T32" s="115"/>
    </row>
    <row r="33" spans="1:20" x14ac:dyDescent="0.25">
      <c r="A33" s="115" t="s">
        <v>257</v>
      </c>
      <c r="B33" s="115" t="s">
        <v>166</v>
      </c>
      <c r="C33" s="117">
        <v>128</v>
      </c>
      <c r="D33" s="117">
        <v>776</v>
      </c>
      <c r="E33" s="117">
        <v>441</v>
      </c>
      <c r="F33" s="116" t="s">
        <v>346</v>
      </c>
      <c r="G33" s="117">
        <v>28</v>
      </c>
      <c r="H33" s="115">
        <v>28</v>
      </c>
      <c r="I33" s="115">
        <v>28</v>
      </c>
      <c r="J33" s="115">
        <v>0</v>
      </c>
      <c r="K33" s="115"/>
      <c r="L33" s="115"/>
      <c r="M33" s="115"/>
      <c r="N33" s="117"/>
      <c r="O33" s="117"/>
      <c r="P33" s="117"/>
      <c r="Q33" s="115"/>
      <c r="R33" s="115"/>
      <c r="S33" s="115"/>
      <c r="T33" s="115"/>
    </row>
    <row r="34" spans="1:20" x14ac:dyDescent="0.25">
      <c r="A34" s="115" t="s">
        <v>257</v>
      </c>
      <c r="B34" s="115" t="s">
        <v>125</v>
      </c>
      <c r="C34" s="117">
        <v>78</v>
      </c>
      <c r="D34" s="117">
        <v>1.1080000000000001</v>
      </c>
      <c r="E34" s="117">
        <v>534</v>
      </c>
      <c r="F34" s="116" t="s">
        <v>347</v>
      </c>
      <c r="G34" s="117">
        <v>35</v>
      </c>
      <c r="H34" s="115">
        <v>35</v>
      </c>
      <c r="I34" s="115">
        <v>35</v>
      </c>
      <c r="J34" s="115">
        <v>0</v>
      </c>
      <c r="K34" s="115"/>
      <c r="L34" s="115"/>
      <c r="M34" s="115"/>
      <c r="N34" s="117"/>
      <c r="O34" s="117"/>
      <c r="P34" s="117"/>
      <c r="Q34" s="115"/>
      <c r="R34" s="115"/>
      <c r="S34" s="115"/>
      <c r="T34" s="115"/>
    </row>
    <row r="35" spans="1:20" x14ac:dyDescent="0.25">
      <c r="A35" s="115" t="s">
        <v>257</v>
      </c>
      <c r="B35" s="115" t="s">
        <v>304</v>
      </c>
      <c r="C35" s="117">
        <v>2</v>
      </c>
      <c r="D35" s="117">
        <v>384</v>
      </c>
      <c r="E35" s="117">
        <v>167</v>
      </c>
      <c r="F35" s="116" t="s">
        <v>348</v>
      </c>
      <c r="G35" s="117">
        <v>9</v>
      </c>
      <c r="H35" s="115">
        <v>9</v>
      </c>
      <c r="I35" s="115">
        <v>9</v>
      </c>
      <c r="J35" s="115">
        <v>0</v>
      </c>
      <c r="K35" s="115"/>
      <c r="L35" s="115"/>
      <c r="M35" s="115"/>
      <c r="N35" s="117"/>
      <c r="O35" s="117"/>
      <c r="P35" s="117"/>
      <c r="Q35" s="115"/>
      <c r="R35" s="115"/>
      <c r="S35" s="115"/>
      <c r="T35" s="115"/>
    </row>
    <row r="36" spans="1:20" x14ac:dyDescent="0.25">
      <c r="A36" s="115" t="s">
        <v>257</v>
      </c>
      <c r="B36" s="115" t="s">
        <v>259</v>
      </c>
      <c r="C36" s="117">
        <v>56</v>
      </c>
      <c r="D36" s="117">
        <v>679</v>
      </c>
      <c r="E36" s="117">
        <v>405</v>
      </c>
      <c r="F36" s="116" t="s">
        <v>349</v>
      </c>
      <c r="G36" s="117">
        <v>28</v>
      </c>
      <c r="H36" s="115">
        <v>28</v>
      </c>
      <c r="I36" s="115">
        <v>28</v>
      </c>
      <c r="J36" s="115">
        <v>0</v>
      </c>
      <c r="K36" s="115"/>
      <c r="L36" s="115"/>
      <c r="M36" s="115"/>
      <c r="N36" s="117"/>
      <c r="O36" s="117"/>
      <c r="P36" s="117"/>
      <c r="Q36" s="115"/>
      <c r="R36" s="115"/>
      <c r="S36" s="115"/>
      <c r="T36" s="115"/>
    </row>
    <row r="37" spans="1:20" x14ac:dyDescent="0.25">
      <c r="A37" s="115" t="s">
        <v>257</v>
      </c>
      <c r="B37" s="115" t="s">
        <v>164</v>
      </c>
      <c r="C37" s="117">
        <v>0</v>
      </c>
      <c r="D37" s="117">
        <v>1.8380000000000001</v>
      </c>
      <c r="E37" s="117">
        <v>694</v>
      </c>
      <c r="F37" s="116" t="s">
        <v>350</v>
      </c>
      <c r="G37" s="117">
        <v>69</v>
      </c>
      <c r="H37" s="115">
        <v>69</v>
      </c>
      <c r="I37" s="115">
        <v>69</v>
      </c>
      <c r="J37" s="115">
        <v>0</v>
      </c>
      <c r="K37" s="115"/>
      <c r="L37" s="115"/>
      <c r="M37" s="115"/>
      <c r="N37" s="117"/>
      <c r="O37" s="117"/>
      <c r="P37" s="117"/>
      <c r="Q37" s="115"/>
      <c r="R37" s="115"/>
      <c r="S37" s="115"/>
      <c r="T37" s="115"/>
    </row>
    <row r="38" spans="1:20" x14ac:dyDescent="0.25">
      <c r="A38" s="118" t="s">
        <v>257</v>
      </c>
      <c r="B38" s="118" t="s">
        <v>165</v>
      </c>
      <c r="C38" s="120">
        <v>0</v>
      </c>
      <c r="D38" s="120">
        <v>3.4540000000000002</v>
      </c>
      <c r="E38" s="120">
        <v>1.179</v>
      </c>
      <c r="F38" s="119" t="s">
        <v>351</v>
      </c>
      <c r="G38" s="120">
        <v>120</v>
      </c>
      <c r="H38" s="120">
        <v>120</v>
      </c>
      <c r="I38" s="120">
        <v>120</v>
      </c>
      <c r="J38" s="120">
        <v>0</v>
      </c>
      <c r="K38" s="118"/>
      <c r="L38" s="118"/>
      <c r="M38" s="118"/>
      <c r="N38" s="120"/>
      <c r="O38" s="120"/>
      <c r="P38" s="120"/>
      <c r="Q38" s="118"/>
      <c r="R38" s="118"/>
      <c r="S38" s="118"/>
      <c r="T38" s="118"/>
    </row>
    <row r="39" spans="1:20" x14ac:dyDescent="0.25">
      <c r="A39" s="118" t="s">
        <v>257</v>
      </c>
      <c r="B39" s="118" t="s">
        <v>214</v>
      </c>
      <c r="C39" s="120">
        <v>0</v>
      </c>
      <c r="D39" s="120">
        <v>4.4320000000000004</v>
      </c>
      <c r="E39" s="120">
        <v>1.6930000000000001</v>
      </c>
      <c r="F39" s="119" t="s">
        <v>352</v>
      </c>
      <c r="G39" s="120">
        <v>170</v>
      </c>
      <c r="H39" s="120">
        <v>164</v>
      </c>
      <c r="I39" s="120">
        <v>164</v>
      </c>
      <c r="J39" s="120">
        <v>0</v>
      </c>
      <c r="K39" s="118"/>
      <c r="L39" s="118"/>
      <c r="M39" s="118"/>
      <c r="N39" s="118">
        <v>6</v>
      </c>
      <c r="O39" s="118">
        <v>6</v>
      </c>
      <c r="P39" s="118">
        <v>0</v>
      </c>
      <c r="Q39" s="118"/>
      <c r="R39" s="118"/>
      <c r="S39" s="118"/>
      <c r="T39" s="118"/>
    </row>
    <row r="40" spans="1:20" x14ac:dyDescent="0.25">
      <c r="A40" s="118"/>
      <c r="B40" s="118"/>
      <c r="C40" s="120"/>
      <c r="D40" s="120"/>
      <c r="E40" s="120"/>
      <c r="F40" s="119"/>
      <c r="G40" s="120"/>
      <c r="H40" s="120"/>
      <c r="I40" s="120"/>
      <c r="J40" s="120"/>
      <c r="K40" s="118"/>
      <c r="L40" s="118"/>
      <c r="M40" s="118"/>
      <c r="N40" s="120"/>
      <c r="O40" s="120"/>
      <c r="P40" s="120"/>
      <c r="Q40" s="118"/>
      <c r="R40" s="118"/>
      <c r="S40" s="118"/>
      <c r="T40" s="118"/>
    </row>
    <row r="41" spans="1:20" x14ac:dyDescent="0.25">
      <c r="A41" s="118"/>
      <c r="B41" s="118"/>
      <c r="C41" s="120"/>
      <c r="D41" s="120"/>
      <c r="E41" s="120"/>
      <c r="F41" s="119"/>
      <c r="G41" s="120"/>
      <c r="H41" s="120"/>
      <c r="I41" s="120"/>
      <c r="J41" s="120"/>
      <c r="K41" s="118"/>
      <c r="L41" s="118"/>
      <c r="M41" s="118"/>
      <c r="N41" s="118"/>
      <c r="O41" s="118"/>
      <c r="P41" s="118"/>
      <c r="Q41" s="118"/>
      <c r="R41" s="118"/>
      <c r="S41" s="118"/>
      <c r="T41" s="118"/>
    </row>
    <row r="42" spans="1:20" x14ac:dyDescent="0.25">
      <c r="A42" s="118"/>
      <c r="B42" s="118"/>
      <c r="C42" s="120"/>
      <c r="D42" s="120"/>
      <c r="E42" s="120"/>
      <c r="F42" s="119"/>
      <c r="G42" s="120"/>
      <c r="H42" s="120"/>
      <c r="I42" s="120"/>
      <c r="J42" s="120"/>
      <c r="K42" s="118"/>
      <c r="L42" s="118"/>
      <c r="M42" s="118"/>
      <c r="N42" s="118"/>
      <c r="O42" s="118"/>
      <c r="P42" s="118"/>
      <c r="Q42" s="118"/>
      <c r="R42" s="118"/>
      <c r="S42" s="118"/>
      <c r="T42" s="118"/>
    </row>
    <row r="43" spans="1:20" x14ac:dyDescent="0.25">
      <c r="A43" s="118"/>
      <c r="B43" s="118"/>
      <c r="C43" s="120"/>
      <c r="D43" s="120"/>
      <c r="E43" s="120"/>
      <c r="F43" s="119"/>
      <c r="G43" s="120"/>
      <c r="H43" s="120"/>
      <c r="I43" s="120"/>
      <c r="J43" s="120"/>
      <c r="K43" s="118"/>
      <c r="L43" s="118"/>
      <c r="M43" s="118"/>
      <c r="N43" s="118"/>
      <c r="O43" s="118"/>
      <c r="P43" s="118"/>
      <c r="Q43" s="118"/>
      <c r="R43" s="118"/>
      <c r="S43" s="118"/>
      <c r="T43" s="118"/>
    </row>
    <row r="44" spans="1:20" x14ac:dyDescent="0.25">
      <c r="A44" s="118"/>
      <c r="B44" s="118"/>
      <c r="C44" s="120"/>
      <c r="D44" s="120"/>
      <c r="E44" s="120"/>
      <c r="F44" s="119"/>
      <c r="G44" s="120"/>
      <c r="H44" s="120"/>
      <c r="I44" s="120"/>
      <c r="J44" s="120"/>
      <c r="K44" s="118"/>
      <c r="L44" s="118"/>
      <c r="M44" s="118"/>
      <c r="N44" s="118"/>
      <c r="O44" s="118"/>
      <c r="P44" s="118"/>
      <c r="Q44" s="118"/>
      <c r="R44" s="118"/>
      <c r="S44" s="118"/>
      <c r="T44" s="118"/>
    </row>
    <row r="45" spans="1:20" x14ac:dyDescent="0.25">
      <c r="A45" s="118"/>
      <c r="B45" s="118"/>
      <c r="C45" s="120"/>
      <c r="D45" s="120"/>
      <c r="E45" s="120"/>
      <c r="F45" s="119"/>
      <c r="G45" s="120"/>
      <c r="H45" s="120"/>
      <c r="I45" s="120"/>
      <c r="J45" s="120"/>
      <c r="K45" s="118"/>
      <c r="L45" s="118"/>
      <c r="M45" s="118"/>
      <c r="N45" s="118"/>
      <c r="O45" s="118"/>
      <c r="P45" s="118"/>
      <c r="Q45" s="118"/>
      <c r="R45" s="118"/>
      <c r="S45" s="118"/>
      <c r="T45" s="118"/>
    </row>
    <row r="46" spans="1:20" x14ac:dyDescent="0.25">
      <c r="A46" s="118"/>
      <c r="B46" s="118"/>
      <c r="C46" s="120"/>
      <c r="D46" s="120"/>
      <c r="E46" s="120"/>
      <c r="F46" s="119"/>
      <c r="G46" s="120"/>
      <c r="H46" s="120"/>
      <c r="I46" s="120"/>
      <c r="J46" s="120"/>
      <c r="K46" s="118"/>
      <c r="L46" s="118"/>
      <c r="M46" s="118"/>
      <c r="N46" s="120"/>
      <c r="O46" s="120"/>
      <c r="P46" s="120"/>
      <c r="Q46" s="118"/>
      <c r="R46" s="118"/>
      <c r="S46" s="118"/>
      <c r="T46" s="118"/>
    </row>
    <row r="47" spans="1:20" x14ac:dyDescent="0.25">
      <c r="A47" s="118"/>
      <c r="B47" s="118"/>
      <c r="C47" s="120"/>
      <c r="D47" s="120"/>
      <c r="E47" s="120"/>
      <c r="F47" s="119"/>
      <c r="G47" s="120"/>
      <c r="H47" s="120"/>
      <c r="I47" s="120"/>
      <c r="J47" s="120"/>
      <c r="K47" s="118"/>
      <c r="L47" s="118"/>
      <c r="M47" s="118"/>
      <c r="N47" s="118"/>
      <c r="O47" s="118"/>
      <c r="P47" s="118"/>
      <c r="Q47" s="118"/>
      <c r="R47" s="118"/>
      <c r="S47" s="118"/>
      <c r="T47" s="118"/>
    </row>
    <row r="48" spans="1:20" x14ac:dyDescent="0.25">
      <c r="A48" s="121"/>
      <c r="B48" s="121"/>
      <c r="C48" s="123"/>
      <c r="D48" s="123"/>
      <c r="E48" s="123"/>
      <c r="F48" s="122"/>
      <c r="G48" s="123"/>
      <c r="H48" s="123"/>
      <c r="I48" s="123"/>
      <c r="J48" s="123"/>
      <c r="K48" s="121"/>
      <c r="L48" s="121"/>
      <c r="M48" s="121"/>
      <c r="N48" s="123"/>
      <c r="O48" s="123"/>
      <c r="P48" s="123"/>
      <c r="Q48" s="121"/>
      <c r="R48" s="121"/>
      <c r="S48" s="121"/>
      <c r="T48" s="121"/>
    </row>
    <row r="49" spans="1:20" x14ac:dyDescent="0.25">
      <c r="A49" s="121"/>
      <c r="B49" s="121"/>
      <c r="C49" s="123"/>
      <c r="D49" s="123"/>
      <c r="E49" s="123"/>
      <c r="F49" s="122"/>
      <c r="G49" s="123"/>
      <c r="H49" s="123"/>
      <c r="I49" s="123"/>
      <c r="J49" s="123"/>
      <c r="K49" s="121"/>
      <c r="L49" s="121"/>
      <c r="M49" s="121"/>
      <c r="N49" s="123"/>
      <c r="O49" s="123"/>
      <c r="P49" s="123"/>
      <c r="Q49" s="121"/>
      <c r="R49" s="121"/>
      <c r="S49" s="121"/>
      <c r="T49" s="121"/>
    </row>
    <row r="50" spans="1:20" x14ac:dyDescent="0.25">
      <c r="A50" s="121"/>
      <c r="B50" s="121"/>
      <c r="C50" s="123"/>
      <c r="D50" s="123"/>
      <c r="E50" s="123"/>
      <c r="F50" s="122"/>
      <c r="G50" s="123"/>
      <c r="H50" s="123"/>
      <c r="I50" s="123"/>
      <c r="J50" s="123"/>
      <c r="K50" s="121"/>
      <c r="L50" s="121"/>
      <c r="M50" s="121"/>
      <c r="N50" s="123"/>
      <c r="O50" s="123"/>
      <c r="P50" s="123"/>
      <c r="Q50" s="121"/>
      <c r="R50" s="121"/>
      <c r="S50" s="121"/>
      <c r="T50" s="121"/>
    </row>
    <row r="51" spans="1:20" x14ac:dyDescent="0.25">
      <c r="A51" s="121"/>
      <c r="B51" s="121"/>
      <c r="C51" s="123"/>
      <c r="D51" s="123"/>
      <c r="E51" s="123"/>
      <c r="F51" s="122"/>
      <c r="G51" s="123"/>
      <c r="H51" s="123"/>
      <c r="I51" s="123"/>
      <c r="J51" s="123"/>
      <c r="K51" s="121"/>
      <c r="L51" s="121"/>
      <c r="M51" s="121"/>
      <c r="N51" s="123"/>
      <c r="O51" s="123"/>
      <c r="P51" s="123"/>
      <c r="Q51" s="121"/>
      <c r="R51" s="121"/>
      <c r="S51" s="121"/>
      <c r="T51" s="121"/>
    </row>
    <row r="52" spans="1:20" x14ac:dyDescent="0.25">
      <c r="A52" s="121"/>
      <c r="B52" s="121"/>
      <c r="C52" s="123"/>
      <c r="D52" s="123"/>
      <c r="E52" s="123"/>
      <c r="F52" s="122"/>
      <c r="G52" s="123"/>
      <c r="H52" s="123"/>
      <c r="I52" s="123"/>
      <c r="J52" s="123"/>
      <c r="K52" s="121"/>
      <c r="L52" s="121"/>
      <c r="M52" s="121"/>
      <c r="N52" s="123"/>
      <c r="O52" s="123"/>
      <c r="P52" s="123"/>
      <c r="Q52" s="121"/>
      <c r="R52" s="121"/>
      <c r="S52" s="121"/>
      <c r="T52" s="121"/>
    </row>
    <row r="53" spans="1:20" x14ac:dyDescent="0.25">
      <c r="A53" s="121"/>
      <c r="B53" s="121"/>
      <c r="C53" s="123"/>
      <c r="D53" s="123"/>
      <c r="E53" s="123"/>
      <c r="F53" s="122"/>
      <c r="G53" s="123"/>
      <c r="H53" s="123"/>
      <c r="I53" s="123"/>
      <c r="J53" s="123"/>
      <c r="K53" s="121"/>
      <c r="L53" s="121"/>
      <c r="M53" s="121"/>
      <c r="N53" s="123"/>
      <c r="O53" s="123"/>
      <c r="P53" s="123"/>
      <c r="Q53" s="121"/>
      <c r="R53" s="121"/>
      <c r="S53" s="121"/>
      <c r="T53" s="121"/>
    </row>
    <row r="54" spans="1:20" x14ac:dyDescent="0.25">
      <c r="A54" s="121"/>
      <c r="B54" s="121"/>
      <c r="C54" s="123"/>
      <c r="D54" s="123"/>
      <c r="E54" s="123"/>
      <c r="F54" s="122"/>
      <c r="G54" s="123"/>
      <c r="H54" s="123"/>
      <c r="I54" s="123"/>
      <c r="J54" s="123"/>
      <c r="K54" s="121"/>
      <c r="L54" s="121"/>
      <c r="M54" s="121"/>
      <c r="N54" s="123"/>
      <c r="O54" s="123"/>
      <c r="P54" s="123"/>
      <c r="Q54" s="121"/>
      <c r="R54" s="121"/>
      <c r="S54" s="121"/>
      <c r="T54" s="121"/>
    </row>
    <row r="55" spans="1:20" x14ac:dyDescent="0.25">
      <c r="A55" s="121"/>
      <c r="B55" s="121"/>
      <c r="C55" s="123"/>
      <c r="D55" s="123"/>
      <c r="E55" s="123"/>
      <c r="F55" s="122"/>
      <c r="G55" s="123"/>
      <c r="H55" s="123"/>
      <c r="I55" s="123"/>
      <c r="J55" s="123"/>
      <c r="K55" s="121"/>
      <c r="L55" s="121"/>
      <c r="M55" s="121"/>
      <c r="N55" s="123"/>
      <c r="O55" s="123"/>
      <c r="P55" s="123"/>
      <c r="Q55" s="121"/>
      <c r="R55" s="121"/>
      <c r="S55" s="121"/>
      <c r="T55" s="121"/>
    </row>
    <row r="56" spans="1:20" x14ac:dyDescent="0.25">
      <c r="A56" s="121"/>
      <c r="B56" s="121"/>
      <c r="C56" s="123"/>
      <c r="D56" s="123"/>
      <c r="E56" s="123"/>
      <c r="F56" s="122"/>
      <c r="G56" s="123"/>
      <c r="H56" s="123"/>
      <c r="I56" s="123"/>
      <c r="J56" s="123"/>
      <c r="K56" s="121"/>
      <c r="L56" s="121"/>
      <c r="M56" s="121"/>
      <c r="N56" s="123"/>
      <c r="O56" s="123"/>
      <c r="P56" s="123"/>
      <c r="Q56" s="121"/>
      <c r="R56" s="121"/>
      <c r="S56" s="121"/>
      <c r="T56" s="121"/>
    </row>
    <row r="57" spans="1:20" x14ac:dyDescent="0.25">
      <c r="A57" s="121"/>
      <c r="B57" s="121"/>
      <c r="C57" s="123"/>
      <c r="D57" s="123"/>
      <c r="E57" s="123"/>
      <c r="F57" s="122"/>
      <c r="G57" s="123"/>
      <c r="H57" s="123"/>
      <c r="I57" s="123"/>
      <c r="J57" s="123"/>
      <c r="K57" s="121"/>
      <c r="L57" s="121"/>
      <c r="M57" s="121"/>
      <c r="N57" s="123"/>
      <c r="O57" s="123"/>
      <c r="P57" s="123"/>
      <c r="Q57" s="121"/>
      <c r="R57" s="121"/>
      <c r="S57" s="121"/>
      <c r="T57" s="121"/>
    </row>
    <row r="58" spans="1:20" x14ac:dyDescent="0.25">
      <c r="A58" s="121"/>
      <c r="B58" s="121"/>
      <c r="C58" s="123"/>
      <c r="D58" s="123"/>
      <c r="E58" s="123"/>
      <c r="F58" s="122"/>
      <c r="G58" s="123"/>
      <c r="H58" s="123"/>
      <c r="I58" s="123"/>
      <c r="J58" s="123"/>
      <c r="K58" s="121"/>
      <c r="L58" s="121"/>
      <c r="M58" s="121"/>
      <c r="N58" s="121"/>
      <c r="O58" s="121"/>
      <c r="P58" s="121"/>
      <c r="Q58" s="121"/>
      <c r="R58" s="121"/>
      <c r="S58" s="121"/>
      <c r="T58" s="121"/>
    </row>
    <row r="59" spans="1:20" x14ac:dyDescent="0.25">
      <c r="A59" s="124"/>
      <c r="B59" s="124"/>
      <c r="C59" s="126"/>
      <c r="D59" s="126"/>
      <c r="E59" s="126"/>
      <c r="F59" s="125"/>
      <c r="G59" s="126"/>
      <c r="H59" s="124"/>
      <c r="I59" s="124"/>
      <c r="J59" s="124"/>
      <c r="K59" s="124"/>
      <c r="L59" s="124"/>
      <c r="M59" s="124"/>
      <c r="N59" s="126"/>
      <c r="O59" s="126"/>
      <c r="P59" s="126"/>
      <c r="Q59" s="124"/>
      <c r="R59" s="124"/>
      <c r="S59" s="124"/>
      <c r="T59" s="124"/>
    </row>
    <row r="60" spans="1:20" x14ac:dyDescent="0.25">
      <c r="A60" s="124"/>
      <c r="B60" s="124"/>
      <c r="C60" s="126"/>
      <c r="D60" s="126"/>
      <c r="E60" s="126"/>
      <c r="F60" s="125"/>
      <c r="G60" s="126"/>
      <c r="H60" s="124"/>
      <c r="I60" s="124"/>
      <c r="J60" s="124"/>
      <c r="K60" s="124"/>
      <c r="L60" s="124"/>
      <c r="M60" s="124"/>
      <c r="N60" s="126"/>
      <c r="O60" s="126"/>
      <c r="P60" s="126"/>
      <c r="Q60" s="124"/>
      <c r="R60" s="124"/>
      <c r="S60" s="124"/>
      <c r="T60" s="124"/>
    </row>
    <row r="61" spans="1:20" x14ac:dyDescent="0.25">
      <c r="A61" s="124"/>
      <c r="B61" s="124"/>
      <c r="C61" s="126"/>
      <c r="D61" s="126"/>
      <c r="E61" s="126"/>
      <c r="F61" s="125"/>
      <c r="G61" s="126"/>
      <c r="H61" s="124"/>
      <c r="I61" s="124"/>
      <c r="J61" s="124"/>
      <c r="K61" s="124"/>
      <c r="L61" s="124"/>
      <c r="M61" s="124"/>
      <c r="N61" s="126"/>
      <c r="O61" s="126"/>
      <c r="P61" s="126"/>
      <c r="Q61" s="124"/>
      <c r="R61" s="124"/>
      <c r="S61" s="124"/>
      <c r="T61" s="124"/>
    </row>
    <row r="62" spans="1:20" x14ac:dyDescent="0.25">
      <c r="A62" s="102"/>
      <c r="B62" s="102"/>
      <c r="C62" s="104"/>
      <c r="D62" s="104"/>
      <c r="E62" s="104"/>
      <c r="F62" s="103"/>
      <c r="G62" s="104"/>
      <c r="H62" s="102"/>
      <c r="I62" s="102"/>
      <c r="J62" s="102"/>
      <c r="K62" s="102"/>
      <c r="L62" s="102"/>
      <c r="M62" s="102"/>
      <c r="N62" s="104"/>
      <c r="O62" s="104"/>
      <c r="P62" s="104"/>
      <c r="Q62" s="102"/>
      <c r="R62" s="102"/>
      <c r="S62" s="102"/>
      <c r="T62" s="10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97C10-CDFC-4EFA-87F6-AB9C03C6A49C}">
  <sheetPr codeName="Foglio11"/>
  <dimension ref="A1:F28"/>
  <sheetViews>
    <sheetView workbookViewId="0">
      <selection sqref="A1:AA999"/>
    </sheetView>
  </sheetViews>
  <sheetFormatPr defaultRowHeight="15" x14ac:dyDescent="0.25"/>
  <cols>
    <col min="1" max="2" width="28.140625" style="67" customWidth="1"/>
    <col min="3" max="6" width="9.7109375" style="67" customWidth="1"/>
    <col min="7" max="256" width="8.85546875" style="67"/>
    <col min="257" max="258" width="28.140625" style="67" customWidth="1"/>
    <col min="259" max="262" width="9.7109375" style="67" customWidth="1"/>
    <col min="263" max="512" width="8.85546875" style="67"/>
    <col min="513" max="514" width="28.140625" style="67" customWidth="1"/>
    <col min="515" max="518" width="9.7109375" style="67" customWidth="1"/>
    <col min="519" max="768" width="8.85546875" style="67"/>
    <col min="769" max="770" width="28.140625" style="67" customWidth="1"/>
    <col min="771" max="774" width="9.7109375" style="67" customWidth="1"/>
    <col min="775" max="1024" width="8.85546875" style="67"/>
    <col min="1025" max="1026" width="28.140625" style="67" customWidth="1"/>
    <col min="1027" max="1030" width="9.7109375" style="67" customWidth="1"/>
    <col min="1031" max="1280" width="8.85546875" style="67"/>
    <col min="1281" max="1282" width="28.140625" style="67" customWidth="1"/>
    <col min="1283" max="1286" width="9.7109375" style="67" customWidth="1"/>
    <col min="1287" max="1536" width="8.85546875" style="67"/>
    <col min="1537" max="1538" width="28.140625" style="67" customWidth="1"/>
    <col min="1539" max="1542" width="9.7109375" style="67" customWidth="1"/>
    <col min="1543" max="1792" width="8.85546875" style="67"/>
    <col min="1793" max="1794" width="28.140625" style="67" customWidth="1"/>
    <col min="1795" max="1798" width="9.7109375" style="67" customWidth="1"/>
    <col min="1799" max="2048" width="8.85546875" style="67"/>
    <col min="2049" max="2050" width="28.140625" style="67" customWidth="1"/>
    <col min="2051" max="2054" width="9.7109375" style="67" customWidth="1"/>
    <col min="2055" max="2304" width="8.85546875" style="67"/>
    <col min="2305" max="2306" width="28.140625" style="67" customWidth="1"/>
    <col min="2307" max="2310" width="9.7109375" style="67" customWidth="1"/>
    <col min="2311" max="2560" width="8.85546875" style="67"/>
    <col min="2561" max="2562" width="28.140625" style="67" customWidth="1"/>
    <col min="2563" max="2566" width="9.7109375" style="67" customWidth="1"/>
    <col min="2567" max="2816" width="8.85546875" style="67"/>
    <col min="2817" max="2818" width="28.140625" style="67" customWidth="1"/>
    <col min="2819" max="2822" width="9.7109375" style="67" customWidth="1"/>
    <col min="2823" max="3072" width="8.85546875" style="67"/>
    <col min="3073" max="3074" width="28.140625" style="67" customWidth="1"/>
    <col min="3075" max="3078" width="9.7109375" style="67" customWidth="1"/>
    <col min="3079" max="3328" width="8.85546875" style="67"/>
    <col min="3329" max="3330" width="28.140625" style="67" customWidth="1"/>
    <col min="3331" max="3334" width="9.7109375" style="67" customWidth="1"/>
    <col min="3335" max="3584" width="8.85546875" style="67"/>
    <col min="3585" max="3586" width="28.140625" style="67" customWidth="1"/>
    <col min="3587" max="3590" width="9.7109375" style="67" customWidth="1"/>
    <col min="3591" max="3840" width="8.85546875" style="67"/>
    <col min="3841" max="3842" width="28.140625" style="67" customWidth="1"/>
    <col min="3843" max="3846" width="9.7109375" style="67" customWidth="1"/>
    <col min="3847" max="4096" width="8.85546875" style="67"/>
    <col min="4097" max="4098" width="28.140625" style="67" customWidth="1"/>
    <col min="4099" max="4102" width="9.7109375" style="67" customWidth="1"/>
    <col min="4103" max="4352" width="8.85546875" style="67"/>
    <col min="4353" max="4354" width="28.140625" style="67" customWidth="1"/>
    <col min="4355" max="4358" width="9.7109375" style="67" customWidth="1"/>
    <col min="4359" max="4608" width="8.85546875" style="67"/>
    <col min="4609" max="4610" width="28.140625" style="67" customWidth="1"/>
    <col min="4611" max="4614" width="9.7109375" style="67" customWidth="1"/>
    <col min="4615" max="4864" width="8.85546875" style="67"/>
    <col min="4865" max="4866" width="28.140625" style="67" customWidth="1"/>
    <col min="4867" max="4870" width="9.7109375" style="67" customWidth="1"/>
    <col min="4871" max="5120" width="8.85546875" style="67"/>
    <col min="5121" max="5122" width="28.140625" style="67" customWidth="1"/>
    <col min="5123" max="5126" width="9.7109375" style="67" customWidth="1"/>
    <col min="5127" max="5376" width="8.85546875" style="67"/>
    <col min="5377" max="5378" width="28.140625" style="67" customWidth="1"/>
    <col min="5379" max="5382" width="9.7109375" style="67" customWidth="1"/>
    <col min="5383" max="5632" width="8.85546875" style="67"/>
    <col min="5633" max="5634" width="28.140625" style="67" customWidth="1"/>
    <col min="5635" max="5638" width="9.7109375" style="67" customWidth="1"/>
    <col min="5639" max="5888" width="8.85546875" style="67"/>
    <col min="5889" max="5890" width="28.140625" style="67" customWidth="1"/>
    <col min="5891" max="5894" width="9.7109375" style="67" customWidth="1"/>
    <col min="5895" max="6144" width="8.85546875" style="67"/>
    <col min="6145" max="6146" width="28.140625" style="67" customWidth="1"/>
    <col min="6147" max="6150" width="9.7109375" style="67" customWidth="1"/>
    <col min="6151" max="6400" width="8.85546875" style="67"/>
    <col min="6401" max="6402" width="28.140625" style="67" customWidth="1"/>
    <col min="6403" max="6406" width="9.7109375" style="67" customWidth="1"/>
    <col min="6407" max="6656" width="8.85546875" style="67"/>
    <col min="6657" max="6658" width="28.140625" style="67" customWidth="1"/>
    <col min="6659" max="6662" width="9.7109375" style="67" customWidth="1"/>
    <col min="6663" max="6912" width="8.85546875" style="67"/>
    <col min="6913" max="6914" width="28.140625" style="67" customWidth="1"/>
    <col min="6915" max="6918" width="9.7109375" style="67" customWidth="1"/>
    <col min="6919" max="7168" width="8.85546875" style="67"/>
    <col min="7169" max="7170" width="28.140625" style="67" customWidth="1"/>
    <col min="7171" max="7174" width="9.7109375" style="67" customWidth="1"/>
    <col min="7175" max="7424" width="8.85546875" style="67"/>
    <col min="7425" max="7426" width="28.140625" style="67" customWidth="1"/>
    <col min="7427" max="7430" width="9.7109375" style="67" customWidth="1"/>
    <col min="7431" max="7680" width="8.85546875" style="67"/>
    <col min="7681" max="7682" width="28.140625" style="67" customWidth="1"/>
    <col min="7683" max="7686" width="9.7109375" style="67" customWidth="1"/>
    <col min="7687" max="7936" width="8.85546875" style="67"/>
    <col min="7937" max="7938" width="28.140625" style="67" customWidth="1"/>
    <col min="7939" max="7942" width="9.7109375" style="67" customWidth="1"/>
    <col min="7943" max="8192" width="8.85546875" style="67"/>
    <col min="8193" max="8194" width="28.140625" style="67" customWidth="1"/>
    <col min="8195" max="8198" width="9.7109375" style="67" customWidth="1"/>
    <col min="8199" max="8448" width="8.85546875" style="67"/>
    <col min="8449" max="8450" width="28.140625" style="67" customWidth="1"/>
    <col min="8451" max="8454" width="9.7109375" style="67" customWidth="1"/>
    <col min="8455" max="8704" width="8.85546875" style="67"/>
    <col min="8705" max="8706" width="28.140625" style="67" customWidth="1"/>
    <col min="8707" max="8710" width="9.7109375" style="67" customWidth="1"/>
    <col min="8711" max="8960" width="8.85546875" style="67"/>
    <col min="8961" max="8962" width="28.140625" style="67" customWidth="1"/>
    <col min="8963" max="8966" width="9.7109375" style="67" customWidth="1"/>
    <col min="8967" max="9216" width="8.85546875" style="67"/>
    <col min="9217" max="9218" width="28.140625" style="67" customWidth="1"/>
    <col min="9219" max="9222" width="9.7109375" style="67" customWidth="1"/>
    <col min="9223" max="9472" width="8.85546875" style="67"/>
    <col min="9473" max="9474" width="28.140625" style="67" customWidth="1"/>
    <col min="9475" max="9478" width="9.7109375" style="67" customWidth="1"/>
    <col min="9479" max="9728" width="8.85546875" style="67"/>
    <col min="9729" max="9730" width="28.140625" style="67" customWidth="1"/>
    <col min="9731" max="9734" width="9.7109375" style="67" customWidth="1"/>
    <col min="9735" max="9984" width="8.85546875" style="67"/>
    <col min="9985" max="9986" width="28.140625" style="67" customWidth="1"/>
    <col min="9987" max="9990" width="9.7109375" style="67" customWidth="1"/>
    <col min="9991" max="10240" width="8.85546875" style="67"/>
    <col min="10241" max="10242" width="28.140625" style="67" customWidth="1"/>
    <col min="10243" max="10246" width="9.7109375" style="67" customWidth="1"/>
    <col min="10247" max="10496" width="8.85546875" style="67"/>
    <col min="10497" max="10498" width="28.140625" style="67" customWidth="1"/>
    <col min="10499" max="10502" width="9.7109375" style="67" customWidth="1"/>
    <col min="10503" max="10752" width="8.85546875" style="67"/>
    <col min="10753" max="10754" width="28.140625" style="67" customWidth="1"/>
    <col min="10755" max="10758" width="9.7109375" style="67" customWidth="1"/>
    <col min="10759" max="11008" width="8.85546875" style="67"/>
    <col min="11009" max="11010" width="28.140625" style="67" customWidth="1"/>
    <col min="11011" max="11014" width="9.7109375" style="67" customWidth="1"/>
    <col min="11015" max="11264" width="8.85546875" style="67"/>
    <col min="11265" max="11266" width="28.140625" style="67" customWidth="1"/>
    <col min="11267" max="11270" width="9.7109375" style="67" customWidth="1"/>
    <col min="11271" max="11520" width="8.85546875" style="67"/>
    <col min="11521" max="11522" width="28.140625" style="67" customWidth="1"/>
    <col min="11523" max="11526" width="9.7109375" style="67" customWidth="1"/>
    <col min="11527" max="11776" width="8.85546875" style="67"/>
    <col min="11777" max="11778" width="28.140625" style="67" customWidth="1"/>
    <col min="11779" max="11782" width="9.7109375" style="67" customWidth="1"/>
    <col min="11783" max="12032" width="8.85546875" style="67"/>
    <col min="12033" max="12034" width="28.140625" style="67" customWidth="1"/>
    <col min="12035" max="12038" width="9.7109375" style="67" customWidth="1"/>
    <col min="12039" max="12288" width="8.85546875" style="67"/>
    <col min="12289" max="12290" width="28.140625" style="67" customWidth="1"/>
    <col min="12291" max="12294" width="9.7109375" style="67" customWidth="1"/>
    <col min="12295" max="12544" width="8.85546875" style="67"/>
    <col min="12545" max="12546" width="28.140625" style="67" customWidth="1"/>
    <col min="12547" max="12550" width="9.7109375" style="67" customWidth="1"/>
    <col min="12551" max="12800" width="8.85546875" style="67"/>
    <col min="12801" max="12802" width="28.140625" style="67" customWidth="1"/>
    <col min="12803" max="12806" width="9.7109375" style="67" customWidth="1"/>
    <col min="12807" max="13056" width="8.85546875" style="67"/>
    <col min="13057" max="13058" width="28.140625" style="67" customWidth="1"/>
    <col min="13059" max="13062" width="9.7109375" style="67" customWidth="1"/>
    <col min="13063" max="13312" width="8.85546875" style="67"/>
    <col min="13313" max="13314" width="28.140625" style="67" customWidth="1"/>
    <col min="13315" max="13318" width="9.7109375" style="67" customWidth="1"/>
    <col min="13319" max="13568" width="8.85546875" style="67"/>
    <col min="13569" max="13570" width="28.140625" style="67" customWidth="1"/>
    <col min="13571" max="13574" width="9.7109375" style="67" customWidth="1"/>
    <col min="13575" max="13824" width="8.85546875" style="67"/>
    <col min="13825" max="13826" width="28.140625" style="67" customWidth="1"/>
    <col min="13827" max="13830" width="9.7109375" style="67" customWidth="1"/>
    <col min="13831" max="14080" width="8.85546875" style="67"/>
    <col min="14081" max="14082" width="28.140625" style="67" customWidth="1"/>
    <col min="14083" max="14086" width="9.7109375" style="67" customWidth="1"/>
    <col min="14087" max="14336" width="8.85546875" style="67"/>
    <col min="14337" max="14338" width="28.140625" style="67" customWidth="1"/>
    <col min="14339" max="14342" width="9.7109375" style="67" customWidth="1"/>
    <col min="14343" max="14592" width="8.85546875" style="67"/>
    <col min="14593" max="14594" width="28.140625" style="67" customWidth="1"/>
    <col min="14595" max="14598" width="9.7109375" style="67" customWidth="1"/>
    <col min="14599" max="14848" width="8.85546875" style="67"/>
    <col min="14849" max="14850" width="28.140625" style="67" customWidth="1"/>
    <col min="14851" max="14854" width="9.7109375" style="67" customWidth="1"/>
    <col min="14855" max="15104" width="8.85546875" style="67"/>
    <col min="15105" max="15106" width="28.140625" style="67" customWidth="1"/>
    <col min="15107" max="15110" width="9.7109375" style="67" customWidth="1"/>
    <col min="15111" max="15360" width="8.85546875" style="67"/>
    <col min="15361" max="15362" width="28.140625" style="67" customWidth="1"/>
    <col min="15363" max="15366" width="9.7109375" style="67" customWidth="1"/>
    <col min="15367" max="15616" width="8.85546875" style="67"/>
    <col min="15617" max="15618" width="28.140625" style="67" customWidth="1"/>
    <col min="15619" max="15622" width="9.7109375" style="67" customWidth="1"/>
    <col min="15623" max="15872" width="8.85546875" style="67"/>
    <col min="15873" max="15874" width="28.140625" style="67" customWidth="1"/>
    <col min="15875" max="15878" width="9.7109375" style="67" customWidth="1"/>
    <col min="15879" max="16128" width="8.85546875" style="67"/>
    <col min="16129" max="16130" width="28.140625" style="67" customWidth="1"/>
    <col min="16131" max="16134" width="9.7109375" style="67" customWidth="1"/>
    <col min="16135" max="16384" width="8.85546875" style="67"/>
  </cols>
  <sheetData>
    <row r="1" spans="1:6" x14ac:dyDescent="0.25">
      <c r="A1" s="67" t="s">
        <v>254</v>
      </c>
    </row>
    <row r="4" spans="1:6" x14ac:dyDescent="0.25">
      <c r="A4" s="67" t="s">
        <v>255</v>
      </c>
      <c r="B4" s="67" t="s">
        <v>355</v>
      </c>
    </row>
    <row r="7" spans="1:6" x14ac:dyDescent="0.25">
      <c r="A7" s="67" t="s">
        <v>256</v>
      </c>
    </row>
    <row r="8" spans="1:6" x14ac:dyDescent="0.25">
      <c r="A8" s="67" t="s">
        <v>173</v>
      </c>
      <c r="B8" s="67" t="s">
        <v>174</v>
      </c>
      <c r="C8" s="67" t="s">
        <v>175</v>
      </c>
      <c r="D8" s="67" t="s">
        <v>176</v>
      </c>
      <c r="E8" s="67" t="s">
        <v>177</v>
      </c>
      <c r="F8" s="67" t="s">
        <v>178</v>
      </c>
    </row>
    <row r="9" spans="1:6" x14ac:dyDescent="0.25">
      <c r="A9" s="67" t="s">
        <v>164</v>
      </c>
      <c r="B9" s="67">
        <v>0</v>
      </c>
      <c r="C9" s="67">
        <v>51</v>
      </c>
      <c r="D9" s="67">
        <v>54</v>
      </c>
      <c r="E9" s="67">
        <v>1.3400000333786011</v>
      </c>
      <c r="F9" s="67">
        <v>14</v>
      </c>
    </row>
    <row r="10" spans="1:6" x14ac:dyDescent="0.25">
      <c r="A10" s="67" t="s">
        <v>165</v>
      </c>
      <c r="B10" s="67">
        <v>0</v>
      </c>
      <c r="C10" s="67">
        <v>43</v>
      </c>
      <c r="D10" s="67">
        <v>40</v>
      </c>
      <c r="E10" s="67">
        <v>1.059999942779541</v>
      </c>
      <c r="F10" s="67">
        <v>11</v>
      </c>
    </row>
    <row r="11" spans="1:6" x14ac:dyDescent="0.25">
      <c r="A11" s="67" t="s">
        <v>214</v>
      </c>
      <c r="B11" s="67">
        <v>0</v>
      </c>
      <c r="C11" s="67">
        <v>71</v>
      </c>
      <c r="D11" s="67">
        <v>80</v>
      </c>
      <c r="E11" s="67">
        <v>1.6299999952316284</v>
      </c>
      <c r="F11" s="67">
        <v>17</v>
      </c>
    </row>
    <row r="12" spans="1:6" x14ac:dyDescent="0.25">
      <c r="A12" s="67" t="s">
        <v>160</v>
      </c>
      <c r="B12" s="67">
        <v>0</v>
      </c>
      <c r="C12" s="67">
        <v>19</v>
      </c>
      <c r="D12" s="67">
        <v>6</v>
      </c>
      <c r="E12" s="67">
        <v>0.10000000149011612</v>
      </c>
      <c r="F12" s="67">
        <v>1</v>
      </c>
    </row>
    <row r="13" spans="1:6" x14ac:dyDescent="0.25">
      <c r="A13" s="67" t="s">
        <v>285</v>
      </c>
      <c r="B13" s="67">
        <v>3</v>
      </c>
      <c r="C13" s="67">
        <v>11</v>
      </c>
      <c r="D13" s="67">
        <v>5</v>
      </c>
      <c r="E13" s="67">
        <v>0.10000000149011612</v>
      </c>
      <c r="F13" s="67">
        <v>1</v>
      </c>
    </row>
    <row r="14" spans="1:6" x14ac:dyDescent="0.25">
      <c r="A14" s="67" t="s">
        <v>127</v>
      </c>
      <c r="B14" s="67">
        <v>3</v>
      </c>
      <c r="C14" s="67">
        <v>12</v>
      </c>
      <c r="D14" s="67">
        <v>6</v>
      </c>
      <c r="E14" s="67">
        <v>9.0000003576278687E-2</v>
      </c>
      <c r="F14" s="67">
        <v>1</v>
      </c>
    </row>
    <row r="15" spans="1:6" x14ac:dyDescent="0.25">
      <c r="A15" s="67" t="s">
        <v>213</v>
      </c>
      <c r="B15" s="67">
        <v>2</v>
      </c>
      <c r="C15" s="67">
        <v>4</v>
      </c>
      <c r="D15" s="67">
        <v>3</v>
      </c>
      <c r="E15" s="67">
        <v>9.0000003576278687E-2</v>
      </c>
      <c r="F15" s="67">
        <v>1</v>
      </c>
    </row>
    <row r="16" spans="1:6" x14ac:dyDescent="0.25">
      <c r="A16" s="67" t="s">
        <v>128</v>
      </c>
      <c r="B16" s="67">
        <v>2</v>
      </c>
      <c r="C16" s="67">
        <v>13</v>
      </c>
      <c r="D16" s="67">
        <v>12</v>
      </c>
      <c r="E16" s="67">
        <v>0.18000000715255737</v>
      </c>
      <c r="F16" s="67">
        <v>2</v>
      </c>
    </row>
    <row r="17" spans="1:6" x14ac:dyDescent="0.25">
      <c r="A17" s="67" t="s">
        <v>118</v>
      </c>
      <c r="B17" s="67">
        <v>1</v>
      </c>
      <c r="C17" s="67">
        <v>8</v>
      </c>
      <c r="D17" s="67">
        <v>8</v>
      </c>
      <c r="E17" s="67">
        <v>0.10999999940395355</v>
      </c>
      <c r="F17" s="67">
        <v>1</v>
      </c>
    </row>
    <row r="18" spans="1:6" x14ac:dyDescent="0.25">
      <c r="A18" s="67" t="s">
        <v>129</v>
      </c>
      <c r="B18" s="67">
        <v>2</v>
      </c>
      <c r="C18" s="67">
        <v>14</v>
      </c>
      <c r="D18" s="67">
        <v>8</v>
      </c>
      <c r="E18" s="67">
        <v>9.0000003576278687E-2</v>
      </c>
      <c r="F18" s="67">
        <v>1</v>
      </c>
    </row>
    <row r="19" spans="1:6" x14ac:dyDescent="0.25">
      <c r="A19" s="67" t="s">
        <v>121</v>
      </c>
      <c r="B19" s="67">
        <v>3</v>
      </c>
      <c r="C19" s="67">
        <v>20</v>
      </c>
      <c r="D19" s="67">
        <v>14</v>
      </c>
      <c r="E19" s="67">
        <v>0.33000001311302185</v>
      </c>
      <c r="F19" s="67">
        <v>3</v>
      </c>
    </row>
    <row r="20" spans="1:6" x14ac:dyDescent="0.25">
      <c r="A20" s="67" t="s">
        <v>122</v>
      </c>
      <c r="B20" s="67">
        <v>3</v>
      </c>
      <c r="C20" s="67">
        <v>18</v>
      </c>
      <c r="D20" s="67">
        <v>14</v>
      </c>
      <c r="E20" s="67">
        <v>0.2199999988079071</v>
      </c>
      <c r="F20" s="67">
        <v>2</v>
      </c>
    </row>
    <row r="21" spans="1:6" x14ac:dyDescent="0.25">
      <c r="A21" s="67" t="s">
        <v>132</v>
      </c>
      <c r="B21" s="67">
        <v>2</v>
      </c>
      <c r="C21" s="67">
        <v>29</v>
      </c>
      <c r="D21" s="67">
        <v>21</v>
      </c>
      <c r="E21" s="67">
        <v>0.25999999046325684</v>
      </c>
      <c r="F21" s="67">
        <v>3</v>
      </c>
    </row>
    <row r="22" spans="1:6" x14ac:dyDescent="0.25">
      <c r="A22" s="67" t="s">
        <v>133</v>
      </c>
      <c r="B22" s="67">
        <v>4</v>
      </c>
      <c r="C22" s="67">
        <v>17</v>
      </c>
      <c r="D22" s="67">
        <v>12</v>
      </c>
      <c r="E22" s="67">
        <v>0.18000000715255737</v>
      </c>
      <c r="F22" s="67">
        <v>2</v>
      </c>
    </row>
    <row r="23" spans="1:6" x14ac:dyDescent="0.25">
      <c r="A23" s="67" t="s">
        <v>123</v>
      </c>
      <c r="B23" s="67">
        <v>1</v>
      </c>
      <c r="C23" s="67">
        <v>17</v>
      </c>
      <c r="D23" s="67">
        <v>10</v>
      </c>
      <c r="E23" s="67">
        <v>0.2199999988079071</v>
      </c>
      <c r="F23" s="67">
        <v>2</v>
      </c>
    </row>
    <row r="24" spans="1:6" x14ac:dyDescent="0.25">
      <c r="A24" s="67" t="s">
        <v>135</v>
      </c>
      <c r="B24" s="67">
        <v>3</v>
      </c>
      <c r="C24" s="67">
        <v>8</v>
      </c>
      <c r="D24" s="67">
        <v>7</v>
      </c>
      <c r="E24" s="67">
        <v>9.0000003576278687E-2</v>
      </c>
      <c r="F24" s="67">
        <v>1</v>
      </c>
    </row>
    <row r="25" spans="1:6" x14ac:dyDescent="0.25">
      <c r="A25" s="67" t="s">
        <v>304</v>
      </c>
      <c r="B25" s="67">
        <v>5</v>
      </c>
      <c r="C25" s="67">
        <v>32</v>
      </c>
      <c r="D25" s="67">
        <v>18</v>
      </c>
      <c r="E25" s="67">
        <v>0.33000001311302185</v>
      </c>
      <c r="F25" s="67">
        <v>3</v>
      </c>
    </row>
    <row r="26" spans="1:6" x14ac:dyDescent="0.25">
      <c r="A26" s="67" t="s">
        <v>209</v>
      </c>
      <c r="B26" s="67">
        <v>3</v>
      </c>
      <c r="C26" s="67">
        <v>13</v>
      </c>
      <c r="D26" s="67">
        <v>9</v>
      </c>
      <c r="E26" s="67">
        <v>9.0000003576278687E-2</v>
      </c>
      <c r="F26" s="67">
        <v>1</v>
      </c>
    </row>
    <row r="27" spans="1:6" x14ac:dyDescent="0.25">
      <c r="A27" s="67" t="s">
        <v>259</v>
      </c>
      <c r="B27" s="67">
        <v>0</v>
      </c>
      <c r="C27" s="67">
        <v>12</v>
      </c>
      <c r="D27" s="67">
        <v>7</v>
      </c>
      <c r="E27" s="67">
        <v>0.10999999940395355</v>
      </c>
      <c r="F27" s="67">
        <v>1</v>
      </c>
    </row>
    <row r="28" spans="1:6" x14ac:dyDescent="0.25">
      <c r="A28" s="67" t="s">
        <v>126</v>
      </c>
      <c r="B28" s="67">
        <v>37</v>
      </c>
      <c r="C28" s="67">
        <v>412</v>
      </c>
      <c r="D28" s="67">
        <v>334</v>
      </c>
      <c r="E28" s="67">
        <v>6.619999885559082</v>
      </c>
      <c r="F28" s="67">
        <v>68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FFF50-F500-488B-9E6A-27C526602D6E}">
  <sheetPr codeName="Foglio4"/>
  <dimension ref="A1:P148"/>
  <sheetViews>
    <sheetView workbookViewId="0">
      <selection sqref="A1:A1048576"/>
    </sheetView>
  </sheetViews>
  <sheetFormatPr defaultRowHeight="15" x14ac:dyDescent="0.25"/>
  <cols>
    <col min="1" max="1" width="9.7109375" style="1" customWidth="1"/>
    <col min="2" max="2" width="6" style="67" bestFit="1" customWidth="1"/>
    <col min="3" max="3" width="7" style="67" bestFit="1" customWidth="1"/>
    <col min="4" max="4" width="6" style="67" bestFit="1" customWidth="1"/>
    <col min="5" max="5" width="15.28515625" style="67" bestFit="1" customWidth="1"/>
    <col min="6" max="6" width="5" style="67" bestFit="1" customWidth="1"/>
    <col min="7" max="7" width="9.140625" customWidth="1"/>
    <col min="8" max="8" width="9.7109375" customWidth="1"/>
    <col min="9" max="10" width="9.140625" customWidth="1"/>
    <col min="11" max="11" width="22.5703125" style="67" bestFit="1" customWidth="1"/>
    <col min="12" max="12" width="6" style="67" bestFit="1" customWidth="1"/>
    <col min="13" max="13" width="7" style="67" bestFit="1" customWidth="1"/>
    <col min="14" max="14" width="6" style="67" bestFit="1" customWidth="1"/>
    <col min="15" max="15" width="15.28515625" style="67" bestFit="1" customWidth="1"/>
    <col min="16" max="16" width="5" style="67" bestFit="1" customWidth="1"/>
  </cols>
  <sheetData>
    <row r="1" spans="1:16" x14ac:dyDescent="0.25">
      <c r="A1" s="1">
        <v>1265</v>
      </c>
      <c r="B1" s="67">
        <v>4683</v>
      </c>
      <c r="C1" s="67">
        <v>8387</v>
      </c>
      <c r="D1" s="67">
        <v>5547</v>
      </c>
      <c r="E1" s="67">
        <v>36.409999847412109</v>
      </c>
      <c r="F1" s="67">
        <v>323</v>
      </c>
      <c r="H1" t="str">
        <f>LEFT(K1,(SEARCH("-",K1)-1))</f>
        <v>1265</v>
      </c>
      <c r="K1" s="67" t="s">
        <v>136</v>
      </c>
      <c r="L1" s="67">
        <v>4683</v>
      </c>
      <c r="M1" s="67">
        <v>8387</v>
      </c>
      <c r="N1" s="67">
        <v>5547</v>
      </c>
      <c r="O1" s="67">
        <v>36.409999847412109</v>
      </c>
      <c r="P1" s="67">
        <v>323</v>
      </c>
    </row>
    <row r="2" spans="1:16" x14ac:dyDescent="0.25">
      <c r="A2" s="1">
        <v>1755</v>
      </c>
      <c r="B2" s="67">
        <v>0</v>
      </c>
      <c r="C2" s="67">
        <v>1858</v>
      </c>
      <c r="D2" s="67">
        <v>794</v>
      </c>
      <c r="E2" s="67">
        <v>7.630000114440918</v>
      </c>
      <c r="F2" s="67">
        <v>88</v>
      </c>
      <c r="H2" s="1" t="str">
        <f t="shared" ref="H2:H65" si="0">LEFT(K2,(SEARCH("-",K2)-1))</f>
        <v>1755</v>
      </c>
      <c r="K2" s="67" t="s">
        <v>164</v>
      </c>
      <c r="L2" s="67">
        <v>0</v>
      </c>
      <c r="M2" s="67">
        <v>1858</v>
      </c>
      <c r="N2" s="67">
        <v>794</v>
      </c>
      <c r="O2" s="67">
        <v>7.630000114440918</v>
      </c>
      <c r="P2" s="67">
        <v>88</v>
      </c>
    </row>
    <row r="3" spans="1:16" x14ac:dyDescent="0.25">
      <c r="A3" s="1">
        <v>1971</v>
      </c>
      <c r="B3" s="67">
        <v>0</v>
      </c>
      <c r="C3" s="67">
        <v>3478</v>
      </c>
      <c r="D3" s="67">
        <v>1284</v>
      </c>
      <c r="E3" s="67">
        <v>12.510000228881836</v>
      </c>
      <c r="F3" s="67">
        <v>140</v>
      </c>
      <c r="H3" s="1" t="str">
        <f t="shared" si="0"/>
        <v>1971</v>
      </c>
      <c r="K3" s="67" t="s">
        <v>165</v>
      </c>
      <c r="L3" s="67">
        <v>0</v>
      </c>
      <c r="M3" s="67">
        <v>3478</v>
      </c>
      <c r="N3" s="67">
        <v>1284</v>
      </c>
      <c r="O3" s="67">
        <v>12.510000228881836</v>
      </c>
      <c r="P3" s="67">
        <v>140</v>
      </c>
    </row>
    <row r="4" spans="1:16" x14ac:dyDescent="0.25">
      <c r="A4" s="1">
        <v>1984</v>
      </c>
      <c r="B4" s="67">
        <v>0</v>
      </c>
      <c r="C4" s="67">
        <v>4457</v>
      </c>
      <c r="D4" s="67">
        <v>1808</v>
      </c>
      <c r="E4" s="67">
        <v>16.790000915527344</v>
      </c>
      <c r="F4" s="67">
        <v>192</v>
      </c>
      <c r="H4" s="1" t="str">
        <f t="shared" si="0"/>
        <v>1984</v>
      </c>
      <c r="K4" s="67" t="s">
        <v>214</v>
      </c>
      <c r="L4" s="67">
        <v>0</v>
      </c>
      <c r="M4" s="67">
        <v>4457</v>
      </c>
      <c r="N4" s="67">
        <v>1808</v>
      </c>
      <c r="O4" s="67">
        <v>16.790000915527344</v>
      </c>
      <c r="P4" s="67">
        <v>192</v>
      </c>
    </row>
    <row r="5" spans="1:16" x14ac:dyDescent="0.25">
      <c r="A5" s="1">
        <v>2414</v>
      </c>
      <c r="B5" s="67">
        <v>0</v>
      </c>
      <c r="C5" s="67">
        <v>886</v>
      </c>
      <c r="D5" s="67">
        <v>335</v>
      </c>
      <c r="E5" s="67">
        <v>2.3299999237060547</v>
      </c>
      <c r="F5" s="67">
        <v>27</v>
      </c>
      <c r="H5" s="1" t="str">
        <f t="shared" si="0"/>
        <v>2414</v>
      </c>
      <c r="K5" s="67" t="s">
        <v>160</v>
      </c>
      <c r="L5" s="67">
        <v>0</v>
      </c>
      <c r="M5" s="67">
        <v>886</v>
      </c>
      <c r="N5" s="67">
        <v>335</v>
      </c>
      <c r="O5" s="67">
        <v>2.3299999237060547</v>
      </c>
      <c r="P5" s="67">
        <v>27</v>
      </c>
    </row>
    <row r="6" spans="1:16" x14ac:dyDescent="0.25">
      <c r="A6" s="1">
        <v>2435</v>
      </c>
      <c r="B6" s="67">
        <v>0</v>
      </c>
      <c r="C6" s="67">
        <v>908</v>
      </c>
      <c r="D6" s="67">
        <v>319</v>
      </c>
      <c r="E6" s="67">
        <v>2.2400000095367432</v>
      </c>
      <c r="F6" s="67">
        <v>26</v>
      </c>
      <c r="H6" s="1" t="str">
        <f t="shared" si="0"/>
        <v>2435</v>
      </c>
      <c r="K6" s="67" t="s">
        <v>285</v>
      </c>
      <c r="L6" s="67">
        <v>0</v>
      </c>
      <c r="M6" s="67">
        <v>908</v>
      </c>
      <c r="N6" s="67">
        <v>319</v>
      </c>
      <c r="O6" s="67">
        <v>2.2400000095367432</v>
      </c>
      <c r="P6" s="67">
        <v>26</v>
      </c>
    </row>
    <row r="7" spans="1:16" x14ac:dyDescent="0.25">
      <c r="A7" s="1">
        <v>2898</v>
      </c>
      <c r="B7" s="67">
        <v>408</v>
      </c>
      <c r="C7" s="67">
        <v>4227</v>
      </c>
      <c r="D7" s="67">
        <v>2334</v>
      </c>
      <c r="E7" s="67">
        <v>13.130000114440918</v>
      </c>
      <c r="F7" s="67">
        <v>126</v>
      </c>
      <c r="H7" s="1" t="str">
        <f t="shared" si="0"/>
        <v>2898</v>
      </c>
      <c r="K7" s="67" t="s">
        <v>222</v>
      </c>
      <c r="L7" s="67">
        <v>408</v>
      </c>
      <c r="M7" s="67">
        <v>4227</v>
      </c>
      <c r="N7" s="67">
        <v>2334</v>
      </c>
      <c r="O7" s="67">
        <v>13.130000114440918</v>
      </c>
      <c r="P7" s="67">
        <v>126</v>
      </c>
    </row>
    <row r="8" spans="1:16" x14ac:dyDescent="0.25">
      <c r="A8" s="1">
        <v>2917</v>
      </c>
      <c r="B8" s="67">
        <v>441</v>
      </c>
      <c r="C8" s="67">
        <v>4195</v>
      </c>
      <c r="D8" s="67">
        <v>2315</v>
      </c>
      <c r="E8" s="67">
        <v>12.739999771118164</v>
      </c>
      <c r="F8" s="67">
        <v>119</v>
      </c>
      <c r="H8" s="1" t="str">
        <f t="shared" si="0"/>
        <v>2917</v>
      </c>
      <c r="K8" s="67" t="s">
        <v>158</v>
      </c>
      <c r="L8" s="67">
        <v>441</v>
      </c>
      <c r="M8" s="67">
        <v>4195</v>
      </c>
      <c r="N8" s="67">
        <v>2315</v>
      </c>
      <c r="O8" s="67">
        <v>12.739999771118164</v>
      </c>
      <c r="P8" s="67">
        <v>119</v>
      </c>
    </row>
    <row r="9" spans="1:16" x14ac:dyDescent="0.25">
      <c r="A9" s="1">
        <v>2972</v>
      </c>
      <c r="B9" s="67">
        <v>266</v>
      </c>
      <c r="C9" s="67">
        <v>2412</v>
      </c>
      <c r="D9" s="67">
        <v>1421</v>
      </c>
      <c r="E9" s="67">
        <v>7.869999885559082</v>
      </c>
      <c r="F9" s="67">
        <v>73</v>
      </c>
      <c r="H9" s="1" t="str">
        <f t="shared" si="0"/>
        <v>2972</v>
      </c>
      <c r="K9" s="67" t="s">
        <v>212</v>
      </c>
      <c r="L9" s="67">
        <v>266</v>
      </c>
      <c r="M9" s="67">
        <v>2412</v>
      </c>
      <c r="N9" s="67">
        <v>1421</v>
      </c>
      <c r="O9" s="67">
        <v>7.869999885559082</v>
      </c>
      <c r="P9" s="67">
        <v>73</v>
      </c>
    </row>
    <row r="10" spans="1:16" x14ac:dyDescent="0.25">
      <c r="A10" s="1">
        <v>3503</v>
      </c>
      <c r="B10" s="67">
        <v>5266</v>
      </c>
      <c r="C10" s="67">
        <v>10366</v>
      </c>
      <c r="D10" s="67">
        <v>7336</v>
      </c>
      <c r="E10" s="67">
        <v>50.180000305175781</v>
      </c>
      <c r="F10" s="67">
        <v>446</v>
      </c>
      <c r="H10" s="1" t="str">
        <f t="shared" si="0"/>
        <v>3503</v>
      </c>
      <c r="K10" s="67" t="s">
        <v>208</v>
      </c>
      <c r="L10" s="67">
        <v>5266</v>
      </c>
      <c r="M10" s="67">
        <v>10366</v>
      </c>
      <c r="N10" s="67">
        <v>7336</v>
      </c>
      <c r="O10" s="67">
        <v>50.180000305175781</v>
      </c>
      <c r="P10" s="67">
        <v>446</v>
      </c>
    </row>
    <row r="11" spans="1:16" x14ac:dyDescent="0.25">
      <c r="A11" s="1">
        <v>3534</v>
      </c>
      <c r="B11" s="67">
        <v>4679</v>
      </c>
      <c r="C11" s="67">
        <v>9785</v>
      </c>
      <c r="D11" s="67">
        <v>6544</v>
      </c>
      <c r="E11" s="67">
        <v>43.310001373291016</v>
      </c>
      <c r="F11" s="67">
        <v>398</v>
      </c>
      <c r="H11" s="1" t="str">
        <f t="shared" si="0"/>
        <v>3534</v>
      </c>
      <c r="K11" s="67" t="s">
        <v>137</v>
      </c>
      <c r="L11" s="67">
        <v>4679</v>
      </c>
      <c r="M11" s="67">
        <v>9785</v>
      </c>
      <c r="N11" s="67">
        <v>6544</v>
      </c>
      <c r="O11" s="67">
        <v>43.310001373291016</v>
      </c>
      <c r="P11" s="67">
        <v>398</v>
      </c>
    </row>
    <row r="12" spans="1:16" x14ac:dyDescent="0.25">
      <c r="A12" s="1">
        <v>3591</v>
      </c>
      <c r="B12" s="67">
        <v>3997</v>
      </c>
      <c r="C12" s="67">
        <v>10564</v>
      </c>
      <c r="D12" s="67">
        <v>5906</v>
      </c>
      <c r="E12" s="67">
        <v>37.590000152587891</v>
      </c>
      <c r="F12" s="67">
        <v>368</v>
      </c>
      <c r="H12" s="1" t="str">
        <f t="shared" si="0"/>
        <v>3591</v>
      </c>
      <c r="K12" s="67" t="s">
        <v>138</v>
      </c>
      <c r="L12" s="67">
        <v>3997</v>
      </c>
      <c r="M12" s="67">
        <v>10564</v>
      </c>
      <c r="N12" s="67">
        <v>5906</v>
      </c>
      <c r="O12" s="67">
        <v>37.590000152587891</v>
      </c>
      <c r="P12" s="67">
        <v>368</v>
      </c>
    </row>
    <row r="13" spans="1:16" x14ac:dyDescent="0.25">
      <c r="A13" s="1">
        <v>3680</v>
      </c>
      <c r="B13" s="67">
        <v>3168</v>
      </c>
      <c r="C13" s="67">
        <v>8444</v>
      </c>
      <c r="D13" s="67">
        <v>5069</v>
      </c>
      <c r="E13" s="67">
        <v>32.639999389648438</v>
      </c>
      <c r="F13" s="67">
        <v>310</v>
      </c>
      <c r="H13" s="1" t="str">
        <f t="shared" si="0"/>
        <v>3680</v>
      </c>
      <c r="K13" s="67" t="s">
        <v>139</v>
      </c>
      <c r="L13" s="67">
        <v>3168</v>
      </c>
      <c r="M13" s="67">
        <v>8444</v>
      </c>
      <c r="N13" s="67">
        <v>5069</v>
      </c>
      <c r="O13" s="67">
        <v>32.639999389648438</v>
      </c>
      <c r="P13" s="67">
        <v>310</v>
      </c>
    </row>
    <row r="14" spans="1:16" x14ac:dyDescent="0.25">
      <c r="A14" s="1">
        <v>4518</v>
      </c>
      <c r="B14" s="67">
        <v>181</v>
      </c>
      <c r="C14" s="67">
        <v>440</v>
      </c>
      <c r="D14" s="67">
        <v>292</v>
      </c>
      <c r="E14" s="67">
        <v>2.3900001049041748</v>
      </c>
      <c r="F14" s="67">
        <v>23</v>
      </c>
      <c r="H14" s="1" t="str">
        <f t="shared" si="0"/>
        <v>4518</v>
      </c>
      <c r="K14" s="67" t="s">
        <v>227</v>
      </c>
      <c r="L14" s="67">
        <v>181</v>
      </c>
      <c r="M14" s="67">
        <v>440</v>
      </c>
      <c r="N14" s="67">
        <v>292</v>
      </c>
      <c r="O14" s="67">
        <v>2.3900001049041748</v>
      </c>
      <c r="P14" s="67">
        <v>23</v>
      </c>
    </row>
    <row r="15" spans="1:16" x14ac:dyDescent="0.25">
      <c r="A15" s="1">
        <v>5306</v>
      </c>
      <c r="B15" s="67">
        <v>329</v>
      </c>
      <c r="C15" s="67">
        <v>3335</v>
      </c>
      <c r="D15" s="67">
        <v>2030</v>
      </c>
      <c r="E15" s="67">
        <v>12.399999618530273</v>
      </c>
      <c r="F15" s="67">
        <v>139</v>
      </c>
      <c r="H15" s="1" t="str">
        <f t="shared" si="0"/>
        <v>5306</v>
      </c>
      <c r="K15" s="67" t="s">
        <v>127</v>
      </c>
      <c r="L15" s="67">
        <v>329</v>
      </c>
      <c r="M15" s="67">
        <v>3335</v>
      </c>
      <c r="N15" s="67">
        <v>2030</v>
      </c>
      <c r="O15" s="67">
        <v>12.399999618530273</v>
      </c>
      <c r="P15" s="67">
        <v>139</v>
      </c>
    </row>
    <row r="16" spans="1:16" x14ac:dyDescent="0.25">
      <c r="A16" s="1">
        <v>5349</v>
      </c>
      <c r="B16" s="67">
        <v>543</v>
      </c>
      <c r="C16" s="67">
        <v>5222</v>
      </c>
      <c r="D16" s="67">
        <v>3436</v>
      </c>
      <c r="E16" s="67">
        <v>20.680000305175781</v>
      </c>
      <c r="F16" s="67">
        <v>246</v>
      </c>
      <c r="H16" s="1" t="str">
        <f t="shared" si="0"/>
        <v>5349</v>
      </c>
      <c r="K16" s="67" t="s">
        <v>223</v>
      </c>
      <c r="L16" s="67">
        <v>543</v>
      </c>
      <c r="M16" s="67">
        <v>5222</v>
      </c>
      <c r="N16" s="67">
        <v>3436</v>
      </c>
      <c r="O16" s="67">
        <v>20.680000305175781</v>
      </c>
      <c r="P16" s="67">
        <v>246</v>
      </c>
    </row>
    <row r="17" spans="1:16" x14ac:dyDescent="0.25">
      <c r="A17" s="1">
        <v>5367</v>
      </c>
      <c r="B17" s="67">
        <v>511</v>
      </c>
      <c r="C17" s="67">
        <v>6133</v>
      </c>
      <c r="D17" s="67">
        <v>3597</v>
      </c>
      <c r="E17" s="67">
        <v>21.170000076293945</v>
      </c>
      <c r="F17" s="67">
        <v>241</v>
      </c>
      <c r="H17" s="1" t="str">
        <f t="shared" si="0"/>
        <v>5367</v>
      </c>
      <c r="K17" s="67" t="s">
        <v>213</v>
      </c>
      <c r="L17" s="67">
        <v>511</v>
      </c>
      <c r="M17" s="67">
        <v>6133</v>
      </c>
      <c r="N17" s="67">
        <v>3597</v>
      </c>
      <c r="O17" s="67">
        <v>21.170000076293945</v>
      </c>
      <c r="P17" s="67">
        <v>241</v>
      </c>
    </row>
    <row r="18" spans="1:16" x14ac:dyDescent="0.25">
      <c r="A18" s="1">
        <v>5405</v>
      </c>
      <c r="B18" s="67">
        <v>263</v>
      </c>
      <c r="C18" s="67">
        <v>2682</v>
      </c>
      <c r="D18" s="67">
        <v>1785</v>
      </c>
      <c r="E18" s="67">
        <v>10.539999961853027</v>
      </c>
      <c r="F18" s="67">
        <v>120</v>
      </c>
      <c r="H18" s="1" t="str">
        <f t="shared" si="0"/>
        <v>5405</v>
      </c>
      <c r="K18" s="67" t="s">
        <v>128</v>
      </c>
      <c r="L18" s="67">
        <v>263</v>
      </c>
      <c r="M18" s="67">
        <v>2682</v>
      </c>
      <c r="N18" s="67">
        <v>1785</v>
      </c>
      <c r="O18" s="67">
        <v>10.539999961853027</v>
      </c>
      <c r="P18" s="67">
        <v>120</v>
      </c>
    </row>
    <row r="19" spans="1:16" x14ac:dyDescent="0.25">
      <c r="A19" s="1">
        <v>5641</v>
      </c>
      <c r="B19" s="67">
        <v>307</v>
      </c>
      <c r="C19" s="67">
        <v>2812</v>
      </c>
      <c r="D19" s="67">
        <v>1693</v>
      </c>
      <c r="E19" s="67">
        <v>10.989999771118164</v>
      </c>
      <c r="F19" s="67">
        <v>111</v>
      </c>
      <c r="H19" s="1" t="str">
        <f t="shared" si="0"/>
        <v>5641</v>
      </c>
      <c r="K19" s="67" t="s">
        <v>118</v>
      </c>
      <c r="L19" s="67">
        <v>307</v>
      </c>
      <c r="M19" s="67">
        <v>2812</v>
      </c>
      <c r="N19" s="67">
        <v>1693</v>
      </c>
      <c r="O19" s="67">
        <v>10.989999771118164</v>
      </c>
      <c r="P19" s="67">
        <v>111</v>
      </c>
    </row>
    <row r="20" spans="1:16" x14ac:dyDescent="0.25">
      <c r="A20" s="1">
        <v>6525</v>
      </c>
      <c r="B20" s="67">
        <v>261</v>
      </c>
      <c r="C20" s="67">
        <v>3374</v>
      </c>
      <c r="D20" s="67">
        <v>2126</v>
      </c>
      <c r="E20" s="67">
        <v>13.510000228881836</v>
      </c>
      <c r="F20" s="67">
        <v>155</v>
      </c>
      <c r="H20" s="1" t="str">
        <f t="shared" si="0"/>
        <v>6525</v>
      </c>
      <c r="K20" s="67" t="s">
        <v>129</v>
      </c>
      <c r="L20" s="67">
        <v>261</v>
      </c>
      <c r="M20" s="67">
        <v>3374</v>
      </c>
      <c r="N20" s="67">
        <v>2126</v>
      </c>
      <c r="O20" s="67">
        <v>13.510000228881836</v>
      </c>
      <c r="P20" s="67">
        <v>155</v>
      </c>
    </row>
    <row r="21" spans="1:16" x14ac:dyDescent="0.25">
      <c r="A21" s="1">
        <v>6760</v>
      </c>
      <c r="B21" s="67">
        <v>480</v>
      </c>
      <c r="C21" s="67">
        <v>4770</v>
      </c>
      <c r="D21" s="67">
        <v>2523</v>
      </c>
      <c r="E21" s="67">
        <v>14.369999885559082</v>
      </c>
      <c r="F21" s="67">
        <v>137</v>
      </c>
      <c r="H21" s="1" t="str">
        <f t="shared" si="0"/>
        <v>6760</v>
      </c>
      <c r="K21" s="67" t="s">
        <v>130</v>
      </c>
      <c r="L21" s="67">
        <v>480</v>
      </c>
      <c r="M21" s="67">
        <v>4770</v>
      </c>
      <c r="N21" s="67">
        <v>2523</v>
      </c>
      <c r="O21" s="67">
        <v>14.369999885559082</v>
      </c>
      <c r="P21" s="67">
        <v>137</v>
      </c>
    </row>
    <row r="22" spans="1:16" x14ac:dyDescent="0.25">
      <c r="A22" s="1">
        <v>7593</v>
      </c>
      <c r="B22" s="67">
        <v>268</v>
      </c>
      <c r="C22" s="67">
        <v>3151</v>
      </c>
      <c r="D22" s="67">
        <v>1721</v>
      </c>
      <c r="E22" s="67">
        <v>9.3999996185302734</v>
      </c>
      <c r="F22" s="67">
        <v>93</v>
      </c>
      <c r="H22" s="1" t="str">
        <f t="shared" si="0"/>
        <v>7593</v>
      </c>
      <c r="K22" s="67" t="s">
        <v>207</v>
      </c>
      <c r="L22" s="67">
        <v>268</v>
      </c>
      <c r="M22" s="67">
        <v>3151</v>
      </c>
      <c r="N22" s="67">
        <v>1721</v>
      </c>
      <c r="O22" s="67">
        <v>9.3999996185302734</v>
      </c>
      <c r="P22" s="67">
        <v>93</v>
      </c>
    </row>
    <row r="23" spans="1:16" x14ac:dyDescent="0.25">
      <c r="A23" s="1">
        <v>8364</v>
      </c>
      <c r="B23" s="67">
        <v>307</v>
      </c>
      <c r="C23" s="67">
        <v>3292</v>
      </c>
      <c r="D23" s="67">
        <v>2074</v>
      </c>
      <c r="E23" s="67">
        <v>13.319999694824219</v>
      </c>
      <c r="F23" s="67">
        <v>138</v>
      </c>
      <c r="H23" s="1" t="str">
        <f t="shared" si="0"/>
        <v>8364</v>
      </c>
      <c r="K23" s="67" t="s">
        <v>119</v>
      </c>
      <c r="L23" s="67">
        <v>307</v>
      </c>
      <c r="M23" s="67">
        <v>3292</v>
      </c>
      <c r="N23" s="67">
        <v>2074</v>
      </c>
      <c r="O23" s="67">
        <v>13.319999694824219</v>
      </c>
      <c r="P23" s="67">
        <v>138</v>
      </c>
    </row>
    <row r="24" spans="1:16" x14ac:dyDescent="0.25">
      <c r="A24" s="1">
        <v>8428</v>
      </c>
      <c r="B24" s="67">
        <v>325</v>
      </c>
      <c r="C24" s="67">
        <v>3886</v>
      </c>
      <c r="D24" s="67">
        <v>2229</v>
      </c>
      <c r="E24" s="67">
        <v>14.449999809265137</v>
      </c>
      <c r="F24" s="67">
        <v>154</v>
      </c>
      <c r="H24" s="1" t="str">
        <f t="shared" si="0"/>
        <v>8428</v>
      </c>
      <c r="K24" s="67" t="s">
        <v>120</v>
      </c>
      <c r="L24" s="67">
        <v>325</v>
      </c>
      <c r="M24" s="67">
        <v>3886</v>
      </c>
      <c r="N24" s="67">
        <v>2229</v>
      </c>
      <c r="O24" s="67">
        <v>14.449999809265137</v>
      </c>
      <c r="P24" s="67">
        <v>154</v>
      </c>
    </row>
    <row r="25" spans="1:16" x14ac:dyDescent="0.25">
      <c r="A25" s="1">
        <v>8453</v>
      </c>
      <c r="B25" s="67">
        <v>231</v>
      </c>
      <c r="C25" s="67">
        <v>1337</v>
      </c>
      <c r="D25" s="67">
        <v>857</v>
      </c>
      <c r="E25" s="67">
        <v>5.9800000190734863</v>
      </c>
      <c r="F25" s="67">
        <v>59</v>
      </c>
      <c r="H25" s="1" t="str">
        <f t="shared" si="0"/>
        <v>8453</v>
      </c>
      <c r="K25" s="67" t="s">
        <v>121</v>
      </c>
      <c r="L25" s="67">
        <v>231</v>
      </c>
      <c r="M25" s="67">
        <v>1337</v>
      </c>
      <c r="N25" s="67">
        <v>857</v>
      </c>
      <c r="O25" s="67">
        <v>5.9800000190734863</v>
      </c>
      <c r="P25" s="67">
        <v>59</v>
      </c>
    </row>
    <row r="26" spans="1:16" x14ac:dyDescent="0.25">
      <c r="A26" s="1">
        <v>8601</v>
      </c>
      <c r="B26" s="67">
        <v>184</v>
      </c>
      <c r="C26" s="67">
        <v>1672</v>
      </c>
      <c r="D26" s="67">
        <v>1008</v>
      </c>
      <c r="E26" s="67">
        <v>6.5199999809265137</v>
      </c>
      <c r="F26" s="67">
        <v>66</v>
      </c>
      <c r="H26" s="1" t="str">
        <f t="shared" si="0"/>
        <v>8601</v>
      </c>
      <c r="K26" s="67" t="s">
        <v>122</v>
      </c>
      <c r="L26" s="67">
        <v>184</v>
      </c>
      <c r="M26" s="67">
        <v>1672</v>
      </c>
      <c r="N26" s="67">
        <v>1008</v>
      </c>
      <c r="O26" s="67">
        <v>6.5199999809265137</v>
      </c>
      <c r="P26" s="67">
        <v>66</v>
      </c>
    </row>
    <row r="27" spans="1:16" x14ac:dyDescent="0.25">
      <c r="A27" s="1">
        <v>9226</v>
      </c>
      <c r="B27" s="67">
        <v>3999</v>
      </c>
      <c r="C27" s="67">
        <v>8928</v>
      </c>
      <c r="D27" s="67">
        <v>5294</v>
      </c>
      <c r="E27" s="67">
        <v>35.419998168945313</v>
      </c>
      <c r="F27" s="67">
        <v>341</v>
      </c>
      <c r="H27" s="1" t="str">
        <f t="shared" si="0"/>
        <v>9226</v>
      </c>
      <c r="K27" s="67" t="s">
        <v>140</v>
      </c>
      <c r="L27" s="67">
        <v>3999</v>
      </c>
      <c r="M27" s="67">
        <v>8928</v>
      </c>
      <c r="N27" s="67">
        <v>5294</v>
      </c>
      <c r="O27" s="67">
        <v>35.419998168945313</v>
      </c>
      <c r="P27" s="67">
        <v>341</v>
      </c>
    </row>
    <row r="28" spans="1:16" x14ac:dyDescent="0.25">
      <c r="A28" s="1">
        <v>10265</v>
      </c>
      <c r="B28" s="67">
        <v>115</v>
      </c>
      <c r="C28" s="67">
        <v>1401</v>
      </c>
      <c r="D28" s="67">
        <v>759</v>
      </c>
      <c r="E28" s="67">
        <v>4.8299999237060547</v>
      </c>
      <c r="F28" s="67">
        <v>48</v>
      </c>
      <c r="H28" s="1" t="str">
        <f t="shared" si="0"/>
        <v>10265</v>
      </c>
      <c r="K28" s="67" t="s">
        <v>131</v>
      </c>
      <c r="L28" s="67">
        <v>115</v>
      </c>
      <c r="M28" s="67">
        <v>1401</v>
      </c>
      <c r="N28" s="67">
        <v>759</v>
      </c>
      <c r="O28" s="67">
        <v>4.8299999237060547</v>
      </c>
      <c r="P28" s="67">
        <v>48</v>
      </c>
    </row>
    <row r="29" spans="1:16" x14ac:dyDescent="0.25">
      <c r="A29" s="1">
        <v>10504</v>
      </c>
      <c r="B29" s="67">
        <v>149</v>
      </c>
      <c r="C29" s="67">
        <v>1829</v>
      </c>
      <c r="D29" s="67">
        <v>1160</v>
      </c>
      <c r="E29" s="67">
        <v>6.9499998092651367</v>
      </c>
      <c r="F29" s="67">
        <v>79</v>
      </c>
      <c r="H29" s="1" t="str">
        <f t="shared" si="0"/>
        <v>10504</v>
      </c>
      <c r="K29" s="67" t="s">
        <v>132</v>
      </c>
      <c r="L29" s="67">
        <v>149</v>
      </c>
      <c r="M29" s="67">
        <v>1829</v>
      </c>
      <c r="N29" s="67">
        <v>1160</v>
      </c>
      <c r="O29" s="67">
        <v>6.9499998092651367</v>
      </c>
      <c r="P29" s="67">
        <v>79</v>
      </c>
    </row>
    <row r="30" spans="1:16" x14ac:dyDescent="0.25">
      <c r="A30" s="1">
        <v>11629</v>
      </c>
      <c r="B30" s="67">
        <v>150</v>
      </c>
      <c r="C30" s="67">
        <v>1357</v>
      </c>
      <c r="D30" s="67">
        <v>950</v>
      </c>
      <c r="E30" s="67">
        <v>5.9800000190734863</v>
      </c>
      <c r="F30" s="67">
        <v>71</v>
      </c>
      <c r="H30" s="1" t="str">
        <f t="shared" si="0"/>
        <v>11629</v>
      </c>
      <c r="K30" s="67" t="s">
        <v>133</v>
      </c>
      <c r="L30" s="67">
        <v>150</v>
      </c>
      <c r="M30" s="67">
        <v>1357</v>
      </c>
      <c r="N30" s="67">
        <v>950</v>
      </c>
      <c r="O30" s="67">
        <v>5.9800000190734863</v>
      </c>
      <c r="P30" s="67">
        <v>71</v>
      </c>
    </row>
    <row r="31" spans="1:16" x14ac:dyDescent="0.25">
      <c r="A31" s="1">
        <v>11796</v>
      </c>
      <c r="B31" s="67">
        <v>130</v>
      </c>
      <c r="C31" s="67">
        <v>917</v>
      </c>
      <c r="D31" s="67">
        <v>589</v>
      </c>
      <c r="E31" s="67">
        <v>4.1100001335144043</v>
      </c>
      <c r="F31" s="67">
        <v>42</v>
      </c>
      <c r="H31" s="1" t="str">
        <f t="shared" si="0"/>
        <v>11796</v>
      </c>
      <c r="K31" s="67" t="s">
        <v>123</v>
      </c>
      <c r="L31" s="67">
        <v>130</v>
      </c>
      <c r="M31" s="67">
        <v>917</v>
      </c>
      <c r="N31" s="67">
        <v>589</v>
      </c>
      <c r="O31" s="67">
        <v>4.1100001335144043</v>
      </c>
      <c r="P31" s="67">
        <v>42</v>
      </c>
    </row>
    <row r="32" spans="1:16" x14ac:dyDescent="0.25">
      <c r="A32" s="1">
        <v>12059</v>
      </c>
      <c r="B32" s="67">
        <v>3558</v>
      </c>
      <c r="C32" s="67">
        <v>8461</v>
      </c>
      <c r="D32" s="67">
        <v>5198</v>
      </c>
      <c r="E32" s="67">
        <v>34.830001831054688</v>
      </c>
      <c r="F32" s="67">
        <v>319</v>
      </c>
      <c r="H32" s="1" t="str">
        <f t="shared" si="0"/>
        <v>12059</v>
      </c>
      <c r="K32" s="67" t="s">
        <v>141</v>
      </c>
      <c r="L32" s="67">
        <v>3558</v>
      </c>
      <c r="M32" s="67">
        <v>8461</v>
      </c>
      <c r="N32" s="67">
        <v>5198</v>
      </c>
      <c r="O32" s="67">
        <v>34.830001831054688</v>
      </c>
      <c r="P32" s="67">
        <v>319</v>
      </c>
    </row>
    <row r="33" spans="1:16" x14ac:dyDescent="0.25">
      <c r="A33" s="1">
        <v>12093</v>
      </c>
      <c r="B33" s="67">
        <v>214</v>
      </c>
      <c r="C33" s="67">
        <v>2277</v>
      </c>
      <c r="D33" s="67">
        <v>1154</v>
      </c>
      <c r="E33" s="67">
        <v>6.1399998664855957</v>
      </c>
      <c r="F33" s="67">
        <v>59</v>
      </c>
      <c r="H33" s="1" t="str">
        <f t="shared" si="0"/>
        <v>12093</v>
      </c>
      <c r="K33" s="67" t="s">
        <v>134</v>
      </c>
      <c r="L33" s="67">
        <v>214</v>
      </c>
      <c r="M33" s="67">
        <v>2277</v>
      </c>
      <c r="N33" s="67">
        <v>1154</v>
      </c>
      <c r="O33" s="67">
        <v>6.1399998664855957</v>
      </c>
      <c r="P33" s="67">
        <v>59</v>
      </c>
    </row>
    <row r="34" spans="1:16" x14ac:dyDescent="0.25">
      <c r="A34" s="1">
        <v>12152</v>
      </c>
      <c r="B34" s="67">
        <v>107</v>
      </c>
      <c r="C34" s="67">
        <v>1478</v>
      </c>
      <c r="D34" s="67">
        <v>925</v>
      </c>
      <c r="E34" s="67">
        <v>5.6500000953674316</v>
      </c>
      <c r="F34" s="67">
        <v>63</v>
      </c>
      <c r="H34" s="1" t="str">
        <f t="shared" si="0"/>
        <v>12152</v>
      </c>
      <c r="K34" s="67" t="s">
        <v>135</v>
      </c>
      <c r="L34" s="67">
        <v>107</v>
      </c>
      <c r="M34" s="67">
        <v>1478</v>
      </c>
      <c r="N34" s="67">
        <v>925</v>
      </c>
      <c r="O34" s="67">
        <v>5.6500000953674316</v>
      </c>
      <c r="P34" s="67">
        <v>63</v>
      </c>
    </row>
    <row r="35" spans="1:16" x14ac:dyDescent="0.25">
      <c r="A35" s="1">
        <v>12154</v>
      </c>
      <c r="B35" s="67">
        <v>92</v>
      </c>
      <c r="C35" s="67">
        <v>563</v>
      </c>
      <c r="D35" s="67">
        <v>350</v>
      </c>
      <c r="E35" s="67">
        <v>2.059999942779541</v>
      </c>
      <c r="F35" s="67">
        <v>20</v>
      </c>
      <c r="H35" s="1" t="str">
        <f t="shared" si="0"/>
        <v>12154</v>
      </c>
      <c r="K35" s="67" t="s">
        <v>142</v>
      </c>
      <c r="L35" s="67">
        <v>92</v>
      </c>
      <c r="M35" s="67">
        <v>563</v>
      </c>
      <c r="N35" s="67">
        <v>350</v>
      </c>
      <c r="O35" s="67">
        <v>2.059999942779541</v>
      </c>
      <c r="P35" s="67">
        <v>20</v>
      </c>
    </row>
    <row r="36" spans="1:16" x14ac:dyDescent="0.25">
      <c r="A36" s="1">
        <v>12271</v>
      </c>
      <c r="B36" s="67">
        <v>2466</v>
      </c>
      <c r="C36" s="67">
        <v>5533</v>
      </c>
      <c r="D36" s="67">
        <v>3709</v>
      </c>
      <c r="E36" s="67">
        <v>25.559999465942383</v>
      </c>
      <c r="F36" s="67">
        <v>230</v>
      </c>
      <c r="H36" s="1" t="str">
        <f t="shared" si="0"/>
        <v>12271</v>
      </c>
      <c r="K36" s="67" t="s">
        <v>143</v>
      </c>
      <c r="L36" s="67">
        <v>2466</v>
      </c>
      <c r="M36" s="67">
        <v>5533</v>
      </c>
      <c r="N36" s="67">
        <v>3709</v>
      </c>
      <c r="O36" s="67">
        <v>25.559999465942383</v>
      </c>
      <c r="P36" s="67">
        <v>230</v>
      </c>
    </row>
    <row r="37" spans="1:16" x14ac:dyDescent="0.25">
      <c r="A37" s="1">
        <v>12899</v>
      </c>
      <c r="B37" s="67">
        <v>105</v>
      </c>
      <c r="C37" s="67">
        <v>1404</v>
      </c>
      <c r="D37" s="67">
        <v>795</v>
      </c>
      <c r="E37" s="67">
        <v>5.1100001335144043</v>
      </c>
      <c r="F37" s="67">
        <v>54</v>
      </c>
      <c r="H37" s="1" t="str">
        <f t="shared" si="0"/>
        <v>12899</v>
      </c>
      <c r="K37" s="67" t="s">
        <v>124</v>
      </c>
      <c r="L37" s="67">
        <v>105</v>
      </c>
      <c r="M37" s="67">
        <v>1404</v>
      </c>
      <c r="N37" s="67">
        <v>795</v>
      </c>
      <c r="O37" s="67">
        <v>5.1100001335144043</v>
      </c>
      <c r="P37" s="67">
        <v>54</v>
      </c>
    </row>
    <row r="38" spans="1:16" x14ac:dyDescent="0.25">
      <c r="A38" s="1">
        <v>14010</v>
      </c>
      <c r="B38" s="67">
        <v>523</v>
      </c>
      <c r="C38" s="67">
        <v>6105</v>
      </c>
      <c r="D38" s="67">
        <v>3194</v>
      </c>
      <c r="E38" s="67">
        <v>19.739999771118164</v>
      </c>
      <c r="F38" s="67">
        <v>206</v>
      </c>
      <c r="H38" s="1" t="str">
        <f t="shared" si="0"/>
        <v>14010</v>
      </c>
      <c r="K38" s="67" t="s">
        <v>166</v>
      </c>
      <c r="L38" s="67">
        <v>523</v>
      </c>
      <c r="M38" s="67">
        <v>6105</v>
      </c>
      <c r="N38" s="67">
        <v>3194</v>
      </c>
      <c r="O38" s="67">
        <v>19.739999771118164</v>
      </c>
      <c r="P38" s="67">
        <v>206</v>
      </c>
    </row>
    <row r="39" spans="1:16" x14ac:dyDescent="0.25">
      <c r="A39" s="1">
        <v>14825</v>
      </c>
      <c r="B39" s="67">
        <v>547</v>
      </c>
      <c r="C39" s="67">
        <v>4691</v>
      </c>
      <c r="D39" s="67">
        <v>2752</v>
      </c>
      <c r="E39" s="67">
        <v>16.920000076293945</v>
      </c>
      <c r="F39" s="67">
        <v>180</v>
      </c>
      <c r="H39" s="1" t="str">
        <f t="shared" si="0"/>
        <v>14825</v>
      </c>
      <c r="K39" s="67" t="s">
        <v>125</v>
      </c>
      <c r="L39" s="67">
        <v>547</v>
      </c>
      <c r="M39" s="67">
        <v>4691</v>
      </c>
      <c r="N39" s="67">
        <v>2752</v>
      </c>
      <c r="O39" s="67">
        <v>16.920000076293945</v>
      </c>
      <c r="P39" s="67">
        <v>180</v>
      </c>
    </row>
    <row r="40" spans="1:16" x14ac:dyDescent="0.25">
      <c r="A40" s="1">
        <v>15733</v>
      </c>
      <c r="B40" s="67">
        <v>27093</v>
      </c>
      <c r="C40" s="67">
        <v>50790</v>
      </c>
      <c r="D40" s="67">
        <v>34252</v>
      </c>
      <c r="E40" s="67">
        <v>228.97999572753906</v>
      </c>
      <c r="F40" s="67">
        <v>1993</v>
      </c>
      <c r="H40" s="1" t="str">
        <f t="shared" si="0"/>
        <v>15733</v>
      </c>
      <c r="K40" s="67" t="s">
        <v>307</v>
      </c>
      <c r="L40" s="67">
        <v>27093</v>
      </c>
      <c r="M40" s="67">
        <v>50790</v>
      </c>
      <c r="N40" s="67">
        <v>34252</v>
      </c>
      <c r="O40" s="67">
        <v>228.97999572753906</v>
      </c>
      <c r="P40" s="67">
        <v>1993</v>
      </c>
    </row>
    <row r="41" spans="1:16" x14ac:dyDescent="0.25">
      <c r="A41" s="1">
        <v>16037</v>
      </c>
      <c r="B41" s="67">
        <v>225</v>
      </c>
      <c r="C41" s="67">
        <v>2203</v>
      </c>
      <c r="D41" s="67">
        <v>1300</v>
      </c>
      <c r="E41" s="67">
        <v>7.809999942779541</v>
      </c>
      <c r="F41" s="67">
        <v>83</v>
      </c>
      <c r="H41" s="1" t="str">
        <f t="shared" si="0"/>
        <v>16037</v>
      </c>
      <c r="K41" s="67" t="s">
        <v>304</v>
      </c>
      <c r="L41" s="67">
        <v>225</v>
      </c>
      <c r="M41" s="67">
        <v>2203</v>
      </c>
      <c r="N41" s="67">
        <v>1300</v>
      </c>
      <c r="O41" s="67">
        <v>7.809999942779541</v>
      </c>
      <c r="P41" s="67">
        <v>83</v>
      </c>
    </row>
    <row r="42" spans="1:16" x14ac:dyDescent="0.25">
      <c r="A42" s="1">
        <v>16060</v>
      </c>
      <c r="B42" s="67">
        <v>374</v>
      </c>
      <c r="C42" s="67">
        <v>3098</v>
      </c>
      <c r="D42" s="67">
        <v>2141</v>
      </c>
      <c r="E42" s="67">
        <v>13.109999656677246</v>
      </c>
      <c r="F42" s="67">
        <v>145</v>
      </c>
      <c r="H42" s="1" t="str">
        <f t="shared" si="0"/>
        <v>16060</v>
      </c>
      <c r="K42" s="67" t="s">
        <v>209</v>
      </c>
      <c r="L42" s="67">
        <v>374</v>
      </c>
      <c r="M42" s="67">
        <v>3098</v>
      </c>
      <c r="N42" s="67">
        <v>2141</v>
      </c>
      <c r="O42" s="67">
        <v>13.109999656677246</v>
      </c>
      <c r="P42" s="67">
        <v>145</v>
      </c>
    </row>
    <row r="43" spans="1:16" x14ac:dyDescent="0.25">
      <c r="A43" s="1">
        <v>16269</v>
      </c>
      <c r="B43" s="67">
        <v>328</v>
      </c>
      <c r="C43" s="67">
        <v>3241</v>
      </c>
      <c r="D43" s="67">
        <v>1699</v>
      </c>
      <c r="E43" s="67">
        <v>9.619999885559082</v>
      </c>
      <c r="F43" s="67">
        <v>93</v>
      </c>
      <c r="H43" s="1" t="str">
        <f t="shared" si="0"/>
        <v>16269</v>
      </c>
      <c r="K43" s="67" t="s">
        <v>305</v>
      </c>
      <c r="L43" s="67">
        <v>328</v>
      </c>
      <c r="M43" s="67">
        <v>3241</v>
      </c>
      <c r="N43" s="67">
        <v>1699</v>
      </c>
      <c r="O43" s="67">
        <v>9.619999885559082</v>
      </c>
      <c r="P43" s="67">
        <v>93</v>
      </c>
    </row>
    <row r="44" spans="1:16" x14ac:dyDescent="0.25">
      <c r="A44" s="1">
        <v>16351</v>
      </c>
      <c r="B44" s="67">
        <v>428</v>
      </c>
      <c r="C44" s="67">
        <v>2992</v>
      </c>
      <c r="D44" s="67">
        <v>2101</v>
      </c>
      <c r="E44" s="67">
        <v>13.439999580383301</v>
      </c>
      <c r="F44" s="67">
        <v>137</v>
      </c>
      <c r="H44" s="1" t="str">
        <f t="shared" si="0"/>
        <v>16351</v>
      </c>
      <c r="K44" s="67" t="s">
        <v>259</v>
      </c>
      <c r="L44" s="67">
        <v>428</v>
      </c>
      <c r="M44" s="67">
        <v>2992</v>
      </c>
      <c r="N44" s="67">
        <v>2101</v>
      </c>
      <c r="O44" s="67">
        <v>13.439999580383301</v>
      </c>
      <c r="P44" s="67">
        <v>137</v>
      </c>
    </row>
    <row r="45" spans="1:16" x14ac:dyDescent="0.25">
      <c r="A45" s="1">
        <v>16564</v>
      </c>
      <c r="B45" s="67">
        <v>320</v>
      </c>
      <c r="C45" s="67">
        <v>2887</v>
      </c>
      <c r="D45" s="67">
        <v>2052</v>
      </c>
      <c r="E45" s="67">
        <v>13.060000419616699</v>
      </c>
      <c r="F45" s="67">
        <v>148</v>
      </c>
      <c r="H45" s="1" t="str">
        <f t="shared" si="0"/>
        <v>16564</v>
      </c>
      <c r="K45" s="67" t="s">
        <v>266</v>
      </c>
      <c r="L45" s="67">
        <v>320</v>
      </c>
      <c r="M45" s="67">
        <v>2887</v>
      </c>
      <c r="N45" s="67">
        <v>2052</v>
      </c>
      <c r="O45" s="67">
        <v>13.060000419616699</v>
      </c>
      <c r="P45" s="67">
        <v>148</v>
      </c>
    </row>
    <row r="46" spans="1:16" x14ac:dyDescent="0.25">
      <c r="A46" s="1">
        <v>16647</v>
      </c>
      <c r="B46" s="67">
        <v>251</v>
      </c>
      <c r="C46" s="67">
        <v>2084</v>
      </c>
      <c r="D46" s="67">
        <v>1212</v>
      </c>
      <c r="E46" s="67">
        <v>7.1700000762939453</v>
      </c>
      <c r="F46" s="67">
        <v>67</v>
      </c>
      <c r="H46" s="1" t="str">
        <f t="shared" si="0"/>
        <v>16647</v>
      </c>
      <c r="K46" s="67" t="s">
        <v>298</v>
      </c>
      <c r="L46" s="67">
        <v>251</v>
      </c>
      <c r="M46" s="67">
        <v>2084</v>
      </c>
      <c r="N46" s="67">
        <v>1212</v>
      </c>
      <c r="O46" s="67">
        <v>7.1700000762939453</v>
      </c>
      <c r="P46" s="67">
        <v>67</v>
      </c>
    </row>
    <row r="47" spans="1:16" x14ac:dyDescent="0.25">
      <c r="A47" s="1">
        <v>16723</v>
      </c>
      <c r="B47" s="67">
        <v>5985</v>
      </c>
      <c r="C47" s="67">
        <v>12478</v>
      </c>
      <c r="D47" s="67">
        <v>8533</v>
      </c>
      <c r="E47" s="67">
        <v>56.619998931884766</v>
      </c>
      <c r="F47" s="67">
        <v>504</v>
      </c>
      <c r="H47" s="1" t="str">
        <f t="shared" si="0"/>
        <v>16723</v>
      </c>
      <c r="K47" s="67" t="s">
        <v>299</v>
      </c>
      <c r="L47" s="67">
        <v>5985</v>
      </c>
      <c r="M47" s="67">
        <v>12478</v>
      </c>
      <c r="N47" s="67">
        <v>8533</v>
      </c>
      <c r="O47" s="67">
        <v>56.619998931884766</v>
      </c>
      <c r="P47" s="67">
        <v>504</v>
      </c>
    </row>
    <row r="48" spans="1:16" x14ac:dyDescent="0.25">
      <c r="A48" s="1">
        <v>17019</v>
      </c>
      <c r="B48" s="67">
        <v>343</v>
      </c>
      <c r="C48" s="67">
        <v>913</v>
      </c>
      <c r="D48" s="67">
        <v>611</v>
      </c>
      <c r="E48" s="67">
        <v>7.5300002098083496</v>
      </c>
      <c r="F48" s="67">
        <v>48</v>
      </c>
      <c r="H48" s="1" t="str">
        <f t="shared" si="0"/>
        <v>17019</v>
      </c>
      <c r="K48" s="67" t="s">
        <v>308</v>
      </c>
      <c r="L48" s="67">
        <v>343</v>
      </c>
      <c r="M48" s="67">
        <v>913</v>
      </c>
      <c r="N48" s="67">
        <v>611</v>
      </c>
      <c r="O48" s="67">
        <v>7.5300002098083496</v>
      </c>
      <c r="P48" s="67">
        <v>48</v>
      </c>
    </row>
    <row r="49" spans="1:16" x14ac:dyDescent="0.25">
      <c r="A49" s="1" t="e">
        <v>#VALUE!</v>
      </c>
      <c r="B49" s="67">
        <v>74600</v>
      </c>
      <c r="C49" s="67">
        <v>237703</v>
      </c>
      <c r="D49" s="67">
        <v>147113</v>
      </c>
      <c r="E49" s="67">
        <v>961.72998046875</v>
      </c>
      <c r="F49" s="67">
        <v>9248</v>
      </c>
      <c r="H49" s="1" t="e">
        <f t="shared" si="0"/>
        <v>#VALUE!</v>
      </c>
      <c r="K49" s="67" t="s">
        <v>126</v>
      </c>
      <c r="L49" s="67">
        <v>74600</v>
      </c>
      <c r="M49" s="67">
        <v>237703</v>
      </c>
      <c r="N49" s="67">
        <v>147113</v>
      </c>
      <c r="O49" s="67">
        <v>961.72998046875</v>
      </c>
      <c r="P49" s="67">
        <v>9248</v>
      </c>
    </row>
    <row r="50" spans="1:16" x14ac:dyDescent="0.25">
      <c r="A50" s="1" t="e">
        <v>#VALUE!</v>
      </c>
      <c r="H50" s="1" t="e">
        <f t="shared" si="0"/>
        <v>#VALUE!</v>
      </c>
    </row>
    <row r="51" spans="1:16" x14ac:dyDescent="0.25">
      <c r="A51" s="1" t="e">
        <v>#VALUE!</v>
      </c>
      <c r="H51" s="1" t="e">
        <f t="shared" si="0"/>
        <v>#VALUE!</v>
      </c>
    </row>
    <row r="52" spans="1:16" x14ac:dyDescent="0.25">
      <c r="A52" s="1" t="e">
        <v>#VALUE!</v>
      </c>
      <c r="H52" s="1" t="e">
        <f t="shared" si="0"/>
        <v>#VALUE!</v>
      </c>
    </row>
    <row r="53" spans="1:16" x14ac:dyDescent="0.25">
      <c r="A53" s="1" t="e">
        <v>#VALUE!</v>
      </c>
      <c r="H53" s="1" t="e">
        <f t="shared" si="0"/>
        <v>#VALUE!</v>
      </c>
    </row>
    <row r="54" spans="1:16" x14ac:dyDescent="0.25">
      <c r="A54" s="1" t="e">
        <v>#VALUE!</v>
      </c>
      <c r="H54" s="1" t="e">
        <f t="shared" si="0"/>
        <v>#VALUE!</v>
      </c>
    </row>
    <row r="55" spans="1:16" x14ac:dyDescent="0.25">
      <c r="A55" s="1" t="e">
        <v>#VALUE!</v>
      </c>
      <c r="H55" s="1" t="e">
        <f t="shared" si="0"/>
        <v>#VALUE!</v>
      </c>
    </row>
    <row r="56" spans="1:16" x14ac:dyDescent="0.25">
      <c r="A56" s="1" t="e">
        <v>#VALUE!</v>
      </c>
      <c r="H56" s="1" t="e">
        <f t="shared" si="0"/>
        <v>#VALUE!</v>
      </c>
    </row>
    <row r="57" spans="1:16" x14ac:dyDescent="0.25">
      <c r="A57" s="1" t="e">
        <v>#VALUE!</v>
      </c>
      <c r="H57" s="1" t="e">
        <f t="shared" si="0"/>
        <v>#VALUE!</v>
      </c>
    </row>
    <row r="58" spans="1:16" x14ac:dyDescent="0.25">
      <c r="A58" s="1" t="e">
        <v>#VALUE!</v>
      </c>
      <c r="H58" s="1" t="e">
        <f t="shared" si="0"/>
        <v>#VALUE!</v>
      </c>
    </row>
    <row r="59" spans="1:16" x14ac:dyDescent="0.25">
      <c r="A59" s="1" t="e">
        <v>#VALUE!</v>
      </c>
      <c r="H59" s="1" t="e">
        <f t="shared" si="0"/>
        <v>#VALUE!</v>
      </c>
    </row>
    <row r="60" spans="1:16" x14ac:dyDescent="0.25">
      <c r="A60" s="1" t="e">
        <v>#VALUE!</v>
      </c>
      <c r="H60" s="1" t="e">
        <f t="shared" si="0"/>
        <v>#VALUE!</v>
      </c>
    </row>
    <row r="61" spans="1:16" x14ac:dyDescent="0.25">
      <c r="A61" s="1" t="e">
        <v>#VALUE!</v>
      </c>
      <c r="H61" s="1" t="e">
        <f t="shared" si="0"/>
        <v>#VALUE!</v>
      </c>
    </row>
    <row r="62" spans="1:16" x14ac:dyDescent="0.25">
      <c r="A62" s="1" t="e">
        <v>#VALUE!</v>
      </c>
      <c r="H62" s="1" t="e">
        <f t="shared" si="0"/>
        <v>#VALUE!</v>
      </c>
    </row>
    <row r="63" spans="1:16" x14ac:dyDescent="0.25">
      <c r="A63" s="1" t="e">
        <v>#VALUE!</v>
      </c>
      <c r="H63" s="1" t="e">
        <f t="shared" si="0"/>
        <v>#VALUE!</v>
      </c>
    </row>
    <row r="64" spans="1:16" x14ac:dyDescent="0.25">
      <c r="A64" s="1" t="e">
        <v>#VALUE!</v>
      </c>
      <c r="H64" s="1" t="e">
        <f t="shared" si="0"/>
        <v>#VALUE!</v>
      </c>
    </row>
    <row r="65" spans="1:8" x14ac:dyDescent="0.25">
      <c r="A65" s="1" t="e">
        <v>#VALUE!</v>
      </c>
      <c r="H65" s="1" t="e">
        <f t="shared" si="0"/>
        <v>#VALUE!</v>
      </c>
    </row>
    <row r="66" spans="1:8" x14ac:dyDescent="0.25">
      <c r="A66" s="1" t="e">
        <v>#VALUE!</v>
      </c>
      <c r="H66" s="1" t="e">
        <f t="shared" ref="H66:H129" si="1">LEFT(K66,(SEARCH("-",K66)-1))</f>
        <v>#VALUE!</v>
      </c>
    </row>
    <row r="67" spans="1:8" x14ac:dyDescent="0.25">
      <c r="A67" s="1" t="e">
        <v>#VALUE!</v>
      </c>
      <c r="H67" s="1" t="e">
        <f t="shared" si="1"/>
        <v>#VALUE!</v>
      </c>
    </row>
    <row r="68" spans="1:8" x14ac:dyDescent="0.25">
      <c r="A68" s="1" t="e">
        <v>#VALUE!</v>
      </c>
      <c r="H68" s="1" t="e">
        <f t="shared" si="1"/>
        <v>#VALUE!</v>
      </c>
    </row>
    <row r="69" spans="1:8" x14ac:dyDescent="0.25">
      <c r="A69" s="1" t="e">
        <v>#VALUE!</v>
      </c>
      <c r="H69" s="1" t="e">
        <f t="shared" si="1"/>
        <v>#VALUE!</v>
      </c>
    </row>
    <row r="70" spans="1:8" x14ac:dyDescent="0.25">
      <c r="A70" s="1" t="e">
        <v>#VALUE!</v>
      </c>
      <c r="H70" s="1" t="e">
        <f t="shared" si="1"/>
        <v>#VALUE!</v>
      </c>
    </row>
    <row r="71" spans="1:8" x14ac:dyDescent="0.25">
      <c r="A71" s="1" t="e">
        <v>#VALUE!</v>
      </c>
      <c r="H71" s="1" t="e">
        <f t="shared" si="1"/>
        <v>#VALUE!</v>
      </c>
    </row>
    <row r="72" spans="1:8" x14ac:dyDescent="0.25">
      <c r="A72" s="1" t="e">
        <v>#VALUE!</v>
      </c>
      <c r="H72" s="1" t="e">
        <f t="shared" si="1"/>
        <v>#VALUE!</v>
      </c>
    </row>
    <row r="73" spans="1:8" x14ac:dyDescent="0.25">
      <c r="A73" s="1" t="e">
        <v>#VALUE!</v>
      </c>
      <c r="H73" s="1" t="e">
        <f t="shared" si="1"/>
        <v>#VALUE!</v>
      </c>
    </row>
    <row r="74" spans="1:8" x14ac:dyDescent="0.25">
      <c r="A74" s="1" t="e">
        <v>#VALUE!</v>
      </c>
      <c r="H74" s="1" t="e">
        <f t="shared" si="1"/>
        <v>#VALUE!</v>
      </c>
    </row>
    <row r="75" spans="1:8" x14ac:dyDescent="0.25">
      <c r="A75" s="1" t="e">
        <v>#VALUE!</v>
      </c>
      <c r="H75" s="1" t="e">
        <f t="shared" si="1"/>
        <v>#VALUE!</v>
      </c>
    </row>
    <row r="76" spans="1:8" x14ac:dyDescent="0.25">
      <c r="A76" s="1" t="e">
        <v>#VALUE!</v>
      </c>
      <c r="H76" s="1" t="e">
        <f t="shared" si="1"/>
        <v>#VALUE!</v>
      </c>
    </row>
    <row r="77" spans="1:8" x14ac:dyDescent="0.25">
      <c r="A77" s="1" t="e">
        <v>#VALUE!</v>
      </c>
      <c r="H77" s="1" t="e">
        <f t="shared" si="1"/>
        <v>#VALUE!</v>
      </c>
    </row>
    <row r="78" spans="1:8" x14ac:dyDescent="0.25">
      <c r="A78" s="1" t="e">
        <v>#VALUE!</v>
      </c>
      <c r="H78" s="1" t="e">
        <f t="shared" si="1"/>
        <v>#VALUE!</v>
      </c>
    </row>
    <row r="79" spans="1:8" x14ac:dyDescent="0.25">
      <c r="A79" s="1" t="e">
        <v>#VALUE!</v>
      </c>
      <c r="H79" s="1" t="e">
        <f t="shared" si="1"/>
        <v>#VALUE!</v>
      </c>
    </row>
    <row r="80" spans="1:8" x14ac:dyDescent="0.25">
      <c r="A80" s="1" t="e">
        <v>#VALUE!</v>
      </c>
      <c r="H80" s="1" t="e">
        <f t="shared" si="1"/>
        <v>#VALUE!</v>
      </c>
    </row>
    <row r="81" spans="1:8" x14ac:dyDescent="0.25">
      <c r="A81" s="1" t="e">
        <v>#VALUE!</v>
      </c>
      <c r="H81" s="1" t="e">
        <f t="shared" si="1"/>
        <v>#VALUE!</v>
      </c>
    </row>
    <row r="82" spans="1:8" x14ac:dyDescent="0.25">
      <c r="A82" s="1" t="e">
        <v>#VALUE!</v>
      </c>
      <c r="H82" s="1" t="e">
        <f t="shared" si="1"/>
        <v>#VALUE!</v>
      </c>
    </row>
    <row r="83" spans="1:8" x14ac:dyDescent="0.25">
      <c r="A83" s="1" t="e">
        <v>#VALUE!</v>
      </c>
      <c r="H83" s="1" t="e">
        <f t="shared" si="1"/>
        <v>#VALUE!</v>
      </c>
    </row>
    <row r="84" spans="1:8" x14ac:dyDescent="0.25">
      <c r="A84" s="1" t="e">
        <v>#VALUE!</v>
      </c>
      <c r="H84" s="1" t="e">
        <f t="shared" si="1"/>
        <v>#VALUE!</v>
      </c>
    </row>
    <row r="85" spans="1:8" x14ac:dyDescent="0.25">
      <c r="A85" s="1" t="e">
        <v>#VALUE!</v>
      </c>
      <c r="H85" s="1" t="e">
        <f t="shared" si="1"/>
        <v>#VALUE!</v>
      </c>
    </row>
    <row r="86" spans="1:8" x14ac:dyDescent="0.25">
      <c r="A86" s="1" t="e">
        <v>#VALUE!</v>
      </c>
      <c r="H86" s="1" t="e">
        <f t="shared" si="1"/>
        <v>#VALUE!</v>
      </c>
    </row>
    <row r="87" spans="1:8" x14ac:dyDescent="0.25">
      <c r="A87" s="1" t="e">
        <v>#VALUE!</v>
      </c>
      <c r="H87" s="1" t="e">
        <f t="shared" si="1"/>
        <v>#VALUE!</v>
      </c>
    </row>
    <row r="88" spans="1:8" x14ac:dyDescent="0.25">
      <c r="A88" s="1" t="e">
        <v>#VALUE!</v>
      </c>
      <c r="H88" s="1" t="e">
        <f t="shared" si="1"/>
        <v>#VALUE!</v>
      </c>
    </row>
    <row r="89" spans="1:8" x14ac:dyDescent="0.25">
      <c r="A89" s="1" t="e">
        <v>#VALUE!</v>
      </c>
      <c r="H89" s="1" t="e">
        <f t="shared" si="1"/>
        <v>#VALUE!</v>
      </c>
    </row>
    <row r="90" spans="1:8" x14ac:dyDescent="0.25">
      <c r="A90" s="1" t="e">
        <v>#VALUE!</v>
      </c>
      <c r="H90" s="1" t="e">
        <f t="shared" si="1"/>
        <v>#VALUE!</v>
      </c>
    </row>
    <row r="91" spans="1:8" x14ac:dyDescent="0.25">
      <c r="A91" s="1" t="e">
        <v>#VALUE!</v>
      </c>
      <c r="H91" s="1" t="e">
        <f t="shared" si="1"/>
        <v>#VALUE!</v>
      </c>
    </row>
    <row r="92" spans="1:8" x14ac:dyDescent="0.25">
      <c r="A92" s="1" t="e">
        <v>#VALUE!</v>
      </c>
      <c r="H92" s="1" t="e">
        <f t="shared" si="1"/>
        <v>#VALUE!</v>
      </c>
    </row>
    <row r="93" spans="1:8" x14ac:dyDescent="0.25">
      <c r="A93" s="1" t="e">
        <v>#VALUE!</v>
      </c>
      <c r="H93" s="1" t="e">
        <f t="shared" si="1"/>
        <v>#VALUE!</v>
      </c>
    </row>
    <row r="94" spans="1:8" x14ac:dyDescent="0.25">
      <c r="A94" s="1" t="e">
        <v>#VALUE!</v>
      </c>
      <c r="H94" s="1" t="e">
        <f t="shared" si="1"/>
        <v>#VALUE!</v>
      </c>
    </row>
    <row r="95" spans="1:8" x14ac:dyDescent="0.25">
      <c r="A95" s="1" t="e">
        <v>#VALUE!</v>
      </c>
      <c r="H95" s="1" t="e">
        <f t="shared" si="1"/>
        <v>#VALUE!</v>
      </c>
    </row>
    <row r="96" spans="1:8" x14ac:dyDescent="0.25">
      <c r="A96" s="1" t="e">
        <v>#VALUE!</v>
      </c>
      <c r="H96" s="1" t="e">
        <f t="shared" si="1"/>
        <v>#VALUE!</v>
      </c>
    </row>
    <row r="97" spans="1:8" x14ac:dyDescent="0.25">
      <c r="A97" s="1" t="e">
        <v>#VALUE!</v>
      </c>
      <c r="H97" s="1" t="e">
        <f t="shared" si="1"/>
        <v>#VALUE!</v>
      </c>
    </row>
    <row r="98" spans="1:8" x14ac:dyDescent="0.25">
      <c r="A98" s="1" t="e">
        <v>#VALUE!</v>
      </c>
      <c r="H98" s="1" t="e">
        <f t="shared" si="1"/>
        <v>#VALUE!</v>
      </c>
    </row>
    <row r="99" spans="1:8" x14ac:dyDescent="0.25">
      <c r="A99" s="1" t="e">
        <v>#VALUE!</v>
      </c>
      <c r="H99" s="1" t="e">
        <f t="shared" si="1"/>
        <v>#VALUE!</v>
      </c>
    </row>
    <row r="100" spans="1:8" x14ac:dyDescent="0.25">
      <c r="A100" s="1" t="e">
        <v>#VALUE!</v>
      </c>
      <c r="H100" s="1" t="e">
        <f t="shared" si="1"/>
        <v>#VALUE!</v>
      </c>
    </row>
    <row r="101" spans="1:8" x14ac:dyDescent="0.25">
      <c r="A101" s="1" t="e">
        <v>#VALUE!</v>
      </c>
      <c r="H101" s="1" t="e">
        <f t="shared" si="1"/>
        <v>#VALUE!</v>
      </c>
    </row>
    <row r="102" spans="1:8" x14ac:dyDescent="0.25">
      <c r="A102" s="1" t="e">
        <v>#VALUE!</v>
      </c>
      <c r="H102" s="1" t="e">
        <f t="shared" si="1"/>
        <v>#VALUE!</v>
      </c>
    </row>
    <row r="103" spans="1:8" x14ac:dyDescent="0.25">
      <c r="A103" s="1" t="e">
        <v>#VALUE!</v>
      </c>
      <c r="H103" s="1" t="e">
        <f t="shared" si="1"/>
        <v>#VALUE!</v>
      </c>
    </row>
    <row r="104" spans="1:8" x14ac:dyDescent="0.25">
      <c r="A104" s="1" t="e">
        <v>#VALUE!</v>
      </c>
      <c r="H104" s="1" t="e">
        <f t="shared" si="1"/>
        <v>#VALUE!</v>
      </c>
    </row>
    <row r="105" spans="1:8" x14ac:dyDescent="0.25">
      <c r="A105" s="1" t="e">
        <v>#VALUE!</v>
      </c>
      <c r="H105" s="1" t="e">
        <f t="shared" si="1"/>
        <v>#VALUE!</v>
      </c>
    </row>
    <row r="106" spans="1:8" x14ac:dyDescent="0.25">
      <c r="A106" s="1" t="e">
        <v>#VALUE!</v>
      </c>
      <c r="H106" s="1" t="e">
        <f t="shared" si="1"/>
        <v>#VALUE!</v>
      </c>
    </row>
    <row r="107" spans="1:8" x14ac:dyDescent="0.25">
      <c r="A107" s="1" t="e">
        <v>#VALUE!</v>
      </c>
      <c r="H107" s="1" t="e">
        <f t="shared" si="1"/>
        <v>#VALUE!</v>
      </c>
    </row>
    <row r="108" spans="1:8" x14ac:dyDescent="0.25">
      <c r="A108" s="1" t="e">
        <v>#VALUE!</v>
      </c>
      <c r="H108" s="1" t="e">
        <f t="shared" si="1"/>
        <v>#VALUE!</v>
      </c>
    </row>
    <row r="109" spans="1:8" x14ac:dyDescent="0.25">
      <c r="A109" s="1" t="e">
        <v>#VALUE!</v>
      </c>
      <c r="H109" s="1" t="e">
        <f t="shared" si="1"/>
        <v>#VALUE!</v>
      </c>
    </row>
    <row r="110" spans="1:8" x14ac:dyDescent="0.25">
      <c r="A110" s="1" t="e">
        <v>#VALUE!</v>
      </c>
      <c r="H110" s="1" t="e">
        <f t="shared" si="1"/>
        <v>#VALUE!</v>
      </c>
    </row>
    <row r="111" spans="1:8" x14ac:dyDescent="0.25">
      <c r="A111" s="1" t="e">
        <v>#VALUE!</v>
      </c>
      <c r="H111" s="1" t="e">
        <f t="shared" si="1"/>
        <v>#VALUE!</v>
      </c>
    </row>
    <row r="112" spans="1:8" x14ac:dyDescent="0.25">
      <c r="A112" s="1" t="e">
        <v>#VALUE!</v>
      </c>
      <c r="H112" s="1" t="e">
        <f t="shared" si="1"/>
        <v>#VALUE!</v>
      </c>
    </row>
    <row r="113" spans="1:8" x14ac:dyDescent="0.25">
      <c r="A113" s="1" t="e">
        <v>#VALUE!</v>
      </c>
      <c r="H113" s="1" t="e">
        <f t="shared" si="1"/>
        <v>#VALUE!</v>
      </c>
    </row>
    <row r="114" spans="1:8" x14ac:dyDescent="0.25">
      <c r="A114" s="1" t="e">
        <v>#VALUE!</v>
      </c>
      <c r="H114" s="1" t="e">
        <f t="shared" si="1"/>
        <v>#VALUE!</v>
      </c>
    </row>
    <row r="115" spans="1:8" x14ac:dyDescent="0.25">
      <c r="A115" s="1" t="e">
        <v>#VALUE!</v>
      </c>
      <c r="H115" s="1" t="e">
        <f t="shared" si="1"/>
        <v>#VALUE!</v>
      </c>
    </row>
    <row r="116" spans="1:8" x14ac:dyDescent="0.25">
      <c r="A116" s="1" t="e">
        <v>#VALUE!</v>
      </c>
      <c r="H116" s="1" t="e">
        <f t="shared" si="1"/>
        <v>#VALUE!</v>
      </c>
    </row>
    <row r="117" spans="1:8" x14ac:dyDescent="0.25">
      <c r="A117" s="1" t="e">
        <v>#VALUE!</v>
      </c>
      <c r="H117" s="1" t="e">
        <f t="shared" si="1"/>
        <v>#VALUE!</v>
      </c>
    </row>
    <row r="118" spans="1:8" x14ac:dyDescent="0.25">
      <c r="A118" s="1" t="e">
        <v>#VALUE!</v>
      </c>
      <c r="H118" s="1" t="e">
        <f t="shared" si="1"/>
        <v>#VALUE!</v>
      </c>
    </row>
    <row r="119" spans="1:8" x14ac:dyDescent="0.25">
      <c r="A119" s="1" t="e">
        <v>#VALUE!</v>
      </c>
      <c r="H119" s="1" t="e">
        <f t="shared" si="1"/>
        <v>#VALUE!</v>
      </c>
    </row>
    <row r="120" spans="1:8" x14ac:dyDescent="0.25">
      <c r="A120" s="1" t="e">
        <v>#VALUE!</v>
      </c>
      <c r="H120" s="1" t="e">
        <f t="shared" si="1"/>
        <v>#VALUE!</v>
      </c>
    </row>
    <row r="121" spans="1:8" x14ac:dyDescent="0.25">
      <c r="A121" s="1" t="e">
        <v>#VALUE!</v>
      </c>
      <c r="H121" s="1" t="e">
        <f t="shared" si="1"/>
        <v>#VALUE!</v>
      </c>
    </row>
    <row r="122" spans="1:8" x14ac:dyDescent="0.25">
      <c r="A122" s="1" t="e">
        <v>#VALUE!</v>
      </c>
      <c r="H122" s="1" t="e">
        <f t="shared" si="1"/>
        <v>#VALUE!</v>
      </c>
    </row>
    <row r="123" spans="1:8" x14ac:dyDescent="0.25">
      <c r="A123" s="1" t="e">
        <v>#VALUE!</v>
      </c>
      <c r="H123" s="1" t="e">
        <f t="shared" si="1"/>
        <v>#VALUE!</v>
      </c>
    </row>
    <row r="124" spans="1:8" x14ac:dyDescent="0.25">
      <c r="A124" s="1" t="e">
        <v>#VALUE!</v>
      </c>
      <c r="H124" s="1" t="e">
        <f t="shared" si="1"/>
        <v>#VALUE!</v>
      </c>
    </row>
    <row r="125" spans="1:8" x14ac:dyDescent="0.25">
      <c r="A125" s="1" t="e">
        <v>#VALUE!</v>
      </c>
      <c r="H125" s="1" t="e">
        <f t="shared" si="1"/>
        <v>#VALUE!</v>
      </c>
    </row>
    <row r="126" spans="1:8" x14ac:dyDescent="0.25">
      <c r="A126" s="1" t="e">
        <v>#VALUE!</v>
      </c>
      <c r="H126" s="1" t="e">
        <f t="shared" si="1"/>
        <v>#VALUE!</v>
      </c>
    </row>
    <row r="127" spans="1:8" x14ac:dyDescent="0.25">
      <c r="A127" s="1" t="e">
        <v>#VALUE!</v>
      </c>
      <c r="H127" s="1" t="e">
        <f t="shared" si="1"/>
        <v>#VALUE!</v>
      </c>
    </row>
    <row r="128" spans="1:8" x14ac:dyDescent="0.25">
      <c r="A128" s="1" t="e">
        <v>#VALUE!</v>
      </c>
      <c r="H128" s="1" t="e">
        <f t="shared" si="1"/>
        <v>#VALUE!</v>
      </c>
    </row>
    <row r="129" spans="1:8" x14ac:dyDescent="0.25">
      <c r="A129" s="1" t="e">
        <v>#VALUE!</v>
      </c>
      <c r="H129" s="1" t="e">
        <f t="shared" si="1"/>
        <v>#VALUE!</v>
      </c>
    </row>
    <row r="130" spans="1:8" x14ac:dyDescent="0.25">
      <c r="A130" s="1" t="e">
        <v>#VALUE!</v>
      </c>
      <c r="H130" s="1" t="e">
        <f t="shared" ref="H130:H148" si="2">LEFT(K130,(SEARCH("-",K130)-1))</f>
        <v>#VALUE!</v>
      </c>
    </row>
    <row r="131" spans="1:8" x14ac:dyDescent="0.25">
      <c r="A131" s="1" t="e">
        <v>#VALUE!</v>
      </c>
      <c r="H131" s="1" t="e">
        <f t="shared" si="2"/>
        <v>#VALUE!</v>
      </c>
    </row>
    <row r="132" spans="1:8" x14ac:dyDescent="0.25">
      <c r="A132" s="1" t="e">
        <v>#VALUE!</v>
      </c>
      <c r="H132" s="1" t="e">
        <f t="shared" si="2"/>
        <v>#VALUE!</v>
      </c>
    </row>
    <row r="133" spans="1:8" x14ac:dyDescent="0.25">
      <c r="A133" s="1" t="e">
        <v>#VALUE!</v>
      </c>
      <c r="H133" s="1" t="e">
        <f t="shared" si="2"/>
        <v>#VALUE!</v>
      </c>
    </row>
    <row r="134" spans="1:8" x14ac:dyDescent="0.25">
      <c r="A134" s="1" t="e">
        <v>#VALUE!</v>
      </c>
      <c r="H134" s="1" t="e">
        <f t="shared" si="2"/>
        <v>#VALUE!</v>
      </c>
    </row>
    <row r="135" spans="1:8" x14ac:dyDescent="0.25">
      <c r="A135" s="1" t="e">
        <v>#VALUE!</v>
      </c>
      <c r="H135" s="1" t="e">
        <f t="shared" si="2"/>
        <v>#VALUE!</v>
      </c>
    </row>
    <row r="136" spans="1:8" x14ac:dyDescent="0.25">
      <c r="A136" s="1" t="e">
        <v>#VALUE!</v>
      </c>
      <c r="H136" s="1" t="e">
        <f t="shared" si="2"/>
        <v>#VALUE!</v>
      </c>
    </row>
    <row r="137" spans="1:8" x14ac:dyDescent="0.25">
      <c r="A137" s="1" t="e">
        <v>#VALUE!</v>
      </c>
      <c r="H137" s="1" t="e">
        <f t="shared" si="2"/>
        <v>#VALUE!</v>
      </c>
    </row>
    <row r="138" spans="1:8" x14ac:dyDescent="0.25">
      <c r="A138" s="1" t="e">
        <v>#VALUE!</v>
      </c>
      <c r="H138" s="1" t="e">
        <f t="shared" si="2"/>
        <v>#VALUE!</v>
      </c>
    </row>
    <row r="139" spans="1:8" x14ac:dyDescent="0.25">
      <c r="A139" s="1" t="e">
        <v>#VALUE!</v>
      </c>
      <c r="H139" s="1" t="e">
        <f t="shared" si="2"/>
        <v>#VALUE!</v>
      </c>
    </row>
    <row r="140" spans="1:8" x14ac:dyDescent="0.25">
      <c r="A140" s="1" t="e">
        <v>#VALUE!</v>
      </c>
      <c r="H140" s="1" t="e">
        <f t="shared" si="2"/>
        <v>#VALUE!</v>
      </c>
    </row>
    <row r="141" spans="1:8" x14ac:dyDescent="0.25">
      <c r="A141" s="1" t="e">
        <v>#VALUE!</v>
      </c>
      <c r="H141" s="1" t="e">
        <f t="shared" si="2"/>
        <v>#VALUE!</v>
      </c>
    </row>
    <row r="142" spans="1:8" x14ac:dyDescent="0.25">
      <c r="A142" s="1" t="e">
        <v>#VALUE!</v>
      </c>
      <c r="H142" s="1" t="e">
        <f t="shared" si="2"/>
        <v>#VALUE!</v>
      </c>
    </row>
    <row r="143" spans="1:8" x14ac:dyDescent="0.25">
      <c r="A143" s="1" t="e">
        <v>#VALUE!</v>
      </c>
      <c r="H143" s="1" t="e">
        <f t="shared" si="2"/>
        <v>#VALUE!</v>
      </c>
    </row>
    <row r="144" spans="1:8" x14ac:dyDescent="0.25">
      <c r="A144" s="1" t="e">
        <v>#VALUE!</v>
      </c>
      <c r="H144" s="1" t="e">
        <f t="shared" si="2"/>
        <v>#VALUE!</v>
      </c>
    </row>
    <row r="145" spans="1:8" x14ac:dyDescent="0.25">
      <c r="A145" s="1" t="e">
        <v>#VALUE!</v>
      </c>
      <c r="H145" s="1" t="e">
        <f t="shared" si="2"/>
        <v>#VALUE!</v>
      </c>
    </row>
    <row r="146" spans="1:8" x14ac:dyDescent="0.25">
      <c r="A146" s="1" t="e">
        <v>#VALUE!</v>
      </c>
      <c r="H146" s="1" t="e">
        <f t="shared" si="2"/>
        <v>#VALUE!</v>
      </c>
    </row>
    <row r="147" spans="1:8" x14ac:dyDescent="0.25">
      <c r="A147" s="1" t="e">
        <v>#VALUE!</v>
      </c>
      <c r="H147" s="1" t="e">
        <f t="shared" si="2"/>
        <v>#VALUE!</v>
      </c>
    </row>
    <row r="148" spans="1:8" x14ac:dyDescent="0.25">
      <c r="A148" s="1" t="e">
        <v>#VALUE!</v>
      </c>
      <c r="H148" s="1" t="e">
        <f t="shared" si="2"/>
        <v>#VALUE!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ACA71-3748-4001-9AC3-258C1A4791C6}">
  <sheetPr codeName="Foglio5"/>
  <dimension ref="A1:P148"/>
  <sheetViews>
    <sheetView workbookViewId="0">
      <selection sqref="A1:A1048576"/>
    </sheetView>
  </sheetViews>
  <sheetFormatPr defaultRowHeight="15" x14ac:dyDescent="0.25"/>
  <cols>
    <col min="1" max="1" width="9.7109375" style="1" customWidth="1"/>
    <col min="2" max="2" width="28.140625" style="67" customWidth="1"/>
    <col min="3" max="6" width="9.7109375" style="67" customWidth="1"/>
    <col min="7" max="7" width="9.140625" customWidth="1"/>
    <col min="8" max="8" width="9.7109375" style="1" customWidth="1"/>
    <col min="9" max="10" width="9.140625" style="1" customWidth="1"/>
    <col min="11" max="12" width="28.140625" style="67" customWidth="1"/>
    <col min="13" max="16" width="9.7109375" style="67" customWidth="1"/>
  </cols>
  <sheetData>
    <row r="1" spans="1:16" x14ac:dyDescent="0.25">
      <c r="A1" s="1">
        <v>1265</v>
      </c>
      <c r="B1" s="67">
        <v>498</v>
      </c>
      <c r="C1" s="67">
        <v>10</v>
      </c>
      <c r="D1" s="67">
        <v>411</v>
      </c>
      <c r="E1" s="67">
        <v>3.559999942779541</v>
      </c>
      <c r="F1" s="67">
        <v>36</v>
      </c>
      <c r="H1" s="1" t="str">
        <f>LEFT(K1,(SEARCH("-",K1)-1))</f>
        <v>1265</v>
      </c>
      <c r="K1" s="67" t="s">
        <v>136</v>
      </c>
      <c r="L1" s="67">
        <v>498</v>
      </c>
      <c r="M1" s="67">
        <v>10</v>
      </c>
      <c r="N1" s="67">
        <v>411</v>
      </c>
      <c r="O1" s="67">
        <v>3.559999942779541</v>
      </c>
      <c r="P1" s="67">
        <v>36</v>
      </c>
    </row>
    <row r="2" spans="1:16" x14ac:dyDescent="0.25">
      <c r="A2" s="1">
        <v>2414</v>
      </c>
      <c r="B2" s="67">
        <v>32</v>
      </c>
      <c r="C2" s="67">
        <v>0</v>
      </c>
      <c r="D2" s="67">
        <v>15</v>
      </c>
      <c r="E2" s="67">
        <v>0.2199999988079071</v>
      </c>
      <c r="F2" s="67">
        <v>2</v>
      </c>
      <c r="H2" s="1" t="str">
        <f t="shared" ref="H2:H65" si="0">LEFT(K2,(SEARCH("-",K2)-1))</f>
        <v>2414</v>
      </c>
      <c r="K2" s="67" t="s">
        <v>160</v>
      </c>
      <c r="L2" s="67">
        <v>32</v>
      </c>
      <c r="M2" s="67">
        <v>0</v>
      </c>
      <c r="N2" s="67">
        <v>15</v>
      </c>
      <c r="O2" s="67">
        <v>0.2199999988079071</v>
      </c>
      <c r="P2" s="67">
        <v>2</v>
      </c>
    </row>
    <row r="3" spans="1:16" x14ac:dyDescent="0.25">
      <c r="A3" s="1">
        <v>2435</v>
      </c>
      <c r="B3" s="67">
        <v>37</v>
      </c>
      <c r="C3" s="67">
        <v>0</v>
      </c>
      <c r="D3" s="67">
        <v>22</v>
      </c>
      <c r="E3" s="67">
        <v>0.2199999988079071</v>
      </c>
      <c r="F3" s="67">
        <v>2</v>
      </c>
      <c r="H3" s="1" t="str">
        <f t="shared" si="0"/>
        <v>2435</v>
      </c>
      <c r="K3" s="67" t="s">
        <v>285</v>
      </c>
      <c r="L3" s="67">
        <v>37</v>
      </c>
      <c r="M3" s="67">
        <v>0</v>
      </c>
      <c r="N3" s="67">
        <v>22</v>
      </c>
      <c r="O3" s="67">
        <v>0.2199999988079071</v>
      </c>
      <c r="P3" s="67">
        <v>2</v>
      </c>
    </row>
    <row r="4" spans="1:16" x14ac:dyDescent="0.25">
      <c r="A4" s="1">
        <v>2898</v>
      </c>
      <c r="B4" s="67">
        <v>49</v>
      </c>
      <c r="C4" s="67">
        <v>0</v>
      </c>
      <c r="D4" s="67">
        <v>45</v>
      </c>
      <c r="E4" s="67">
        <v>0.43000000715255737</v>
      </c>
      <c r="F4" s="67">
        <v>4</v>
      </c>
      <c r="H4" s="1" t="str">
        <f t="shared" si="0"/>
        <v>2898</v>
      </c>
      <c r="K4" s="67" t="s">
        <v>222</v>
      </c>
      <c r="L4" s="67">
        <v>49</v>
      </c>
      <c r="M4" s="67">
        <v>0</v>
      </c>
      <c r="N4" s="67">
        <v>45</v>
      </c>
      <c r="O4" s="67">
        <v>0.43000000715255737</v>
      </c>
      <c r="P4" s="67">
        <v>4</v>
      </c>
    </row>
    <row r="5" spans="1:16" x14ac:dyDescent="0.25">
      <c r="A5" s="1">
        <v>2917</v>
      </c>
      <c r="B5" s="67">
        <v>58</v>
      </c>
      <c r="C5" s="67">
        <v>0</v>
      </c>
      <c r="D5" s="67">
        <v>54</v>
      </c>
      <c r="E5" s="67">
        <v>0.55000001192092896</v>
      </c>
      <c r="F5" s="67">
        <v>6</v>
      </c>
      <c r="H5" s="1" t="str">
        <f t="shared" si="0"/>
        <v>2917</v>
      </c>
      <c r="K5" s="67" t="s">
        <v>158</v>
      </c>
      <c r="L5" s="67">
        <v>58</v>
      </c>
      <c r="M5" s="67">
        <v>0</v>
      </c>
      <c r="N5" s="67">
        <v>54</v>
      </c>
      <c r="O5" s="67">
        <v>0.55000001192092896</v>
      </c>
      <c r="P5" s="67">
        <v>6</v>
      </c>
    </row>
    <row r="6" spans="1:16" x14ac:dyDescent="0.25">
      <c r="A6" s="1">
        <v>2972</v>
      </c>
      <c r="B6" s="67">
        <v>48</v>
      </c>
      <c r="C6" s="67">
        <v>0</v>
      </c>
      <c r="D6" s="67">
        <v>40</v>
      </c>
      <c r="E6" s="67">
        <v>0.34999999403953552</v>
      </c>
      <c r="F6" s="67">
        <v>4</v>
      </c>
      <c r="H6" s="1" t="str">
        <f t="shared" si="0"/>
        <v>2972</v>
      </c>
      <c r="K6" s="67" t="s">
        <v>212</v>
      </c>
      <c r="L6" s="67">
        <v>48</v>
      </c>
      <c r="M6" s="67">
        <v>0</v>
      </c>
      <c r="N6" s="67">
        <v>40</v>
      </c>
      <c r="O6" s="67">
        <v>0.34999999403953552</v>
      </c>
      <c r="P6" s="67">
        <v>4</v>
      </c>
    </row>
    <row r="7" spans="1:16" x14ac:dyDescent="0.25">
      <c r="A7" s="1">
        <v>3503</v>
      </c>
      <c r="B7" s="67">
        <v>546</v>
      </c>
      <c r="C7" s="67">
        <v>22</v>
      </c>
      <c r="D7" s="67">
        <v>427</v>
      </c>
      <c r="E7" s="67">
        <v>3.8499999046325684</v>
      </c>
      <c r="F7" s="67">
        <v>40</v>
      </c>
      <c r="H7" s="1" t="str">
        <f t="shared" si="0"/>
        <v>3503</v>
      </c>
      <c r="K7" s="67" t="s">
        <v>208</v>
      </c>
      <c r="L7" s="67">
        <v>546</v>
      </c>
      <c r="M7" s="67">
        <v>22</v>
      </c>
      <c r="N7" s="67">
        <v>427</v>
      </c>
      <c r="O7" s="67">
        <v>3.8499999046325684</v>
      </c>
      <c r="P7" s="67">
        <v>40</v>
      </c>
    </row>
    <row r="8" spans="1:16" x14ac:dyDescent="0.25">
      <c r="A8" s="1">
        <v>3534</v>
      </c>
      <c r="B8" s="67">
        <v>415</v>
      </c>
      <c r="C8" s="67">
        <v>7</v>
      </c>
      <c r="D8" s="67">
        <v>326</v>
      </c>
      <c r="E8" s="67">
        <v>2.9600000381469727</v>
      </c>
      <c r="F8" s="67">
        <v>31</v>
      </c>
      <c r="H8" s="1" t="str">
        <f t="shared" si="0"/>
        <v>3534</v>
      </c>
      <c r="K8" s="67" t="s">
        <v>137</v>
      </c>
      <c r="L8" s="67">
        <v>415</v>
      </c>
      <c r="M8" s="67">
        <v>7</v>
      </c>
      <c r="N8" s="67">
        <v>326</v>
      </c>
      <c r="O8" s="67">
        <v>2.9600000381469727</v>
      </c>
      <c r="P8" s="67">
        <v>31</v>
      </c>
    </row>
    <row r="9" spans="1:16" x14ac:dyDescent="0.25">
      <c r="A9" s="1">
        <v>3591</v>
      </c>
      <c r="B9" s="67">
        <v>538</v>
      </c>
      <c r="C9" s="67">
        <v>16</v>
      </c>
      <c r="D9" s="67">
        <v>452</v>
      </c>
      <c r="E9" s="67">
        <v>3.9700000286102295</v>
      </c>
      <c r="F9" s="67">
        <v>41</v>
      </c>
      <c r="H9" s="1" t="str">
        <f t="shared" si="0"/>
        <v>3591</v>
      </c>
      <c r="K9" s="67" t="s">
        <v>138</v>
      </c>
      <c r="L9" s="67">
        <v>538</v>
      </c>
      <c r="M9" s="67">
        <v>16</v>
      </c>
      <c r="N9" s="67">
        <v>452</v>
      </c>
      <c r="O9" s="67">
        <v>3.9700000286102295</v>
      </c>
      <c r="P9" s="67">
        <v>41</v>
      </c>
    </row>
    <row r="10" spans="1:16" x14ac:dyDescent="0.25">
      <c r="A10" s="1">
        <v>3680</v>
      </c>
      <c r="B10" s="67">
        <v>686</v>
      </c>
      <c r="C10" s="67">
        <v>15</v>
      </c>
      <c r="D10" s="67">
        <v>520</v>
      </c>
      <c r="E10" s="67">
        <v>4.7199997901916504</v>
      </c>
      <c r="F10" s="67">
        <v>48</v>
      </c>
      <c r="H10" s="1" t="str">
        <f t="shared" si="0"/>
        <v>3680</v>
      </c>
      <c r="K10" s="67" t="s">
        <v>139</v>
      </c>
      <c r="L10" s="67">
        <v>686</v>
      </c>
      <c r="M10" s="67">
        <v>15</v>
      </c>
      <c r="N10" s="67">
        <v>520</v>
      </c>
      <c r="O10" s="67">
        <v>4.7199997901916504</v>
      </c>
      <c r="P10" s="67">
        <v>48</v>
      </c>
    </row>
    <row r="11" spans="1:16" x14ac:dyDescent="0.25">
      <c r="A11" s="1">
        <v>4518</v>
      </c>
      <c r="B11" s="67">
        <v>0</v>
      </c>
      <c r="C11" s="67">
        <v>41</v>
      </c>
      <c r="D11" s="67">
        <v>55</v>
      </c>
      <c r="E11" s="67">
        <v>0.54000002145767212</v>
      </c>
      <c r="F11" s="67">
        <v>5</v>
      </c>
      <c r="H11" s="1" t="str">
        <f t="shared" si="0"/>
        <v>4518</v>
      </c>
      <c r="K11" s="67" t="s">
        <v>227</v>
      </c>
      <c r="L11" s="67">
        <v>0</v>
      </c>
      <c r="M11" s="67">
        <v>41</v>
      </c>
      <c r="N11" s="67">
        <v>55</v>
      </c>
      <c r="O11" s="67">
        <v>0.54000002145767212</v>
      </c>
      <c r="P11" s="67">
        <v>5</v>
      </c>
    </row>
    <row r="12" spans="1:16" x14ac:dyDescent="0.25">
      <c r="A12" s="1">
        <v>5306</v>
      </c>
      <c r="B12" s="67">
        <v>61</v>
      </c>
      <c r="C12" s="67">
        <v>0</v>
      </c>
      <c r="D12" s="67">
        <v>43</v>
      </c>
      <c r="E12" s="67">
        <v>0.49000000953674316</v>
      </c>
      <c r="F12" s="67">
        <v>7</v>
      </c>
      <c r="H12" s="1" t="str">
        <f t="shared" si="0"/>
        <v>5306</v>
      </c>
      <c r="K12" s="67" t="s">
        <v>127</v>
      </c>
      <c r="L12" s="67">
        <v>61</v>
      </c>
      <c r="M12" s="67">
        <v>0</v>
      </c>
      <c r="N12" s="67">
        <v>43</v>
      </c>
      <c r="O12" s="67">
        <v>0.49000000953674316</v>
      </c>
      <c r="P12" s="67">
        <v>7</v>
      </c>
    </row>
    <row r="13" spans="1:16" x14ac:dyDescent="0.25">
      <c r="A13" s="1">
        <v>5349</v>
      </c>
      <c r="B13" s="67">
        <v>119</v>
      </c>
      <c r="C13" s="67">
        <v>0</v>
      </c>
      <c r="D13" s="67">
        <v>99</v>
      </c>
      <c r="E13" s="67">
        <v>1</v>
      </c>
      <c r="F13" s="67">
        <v>13</v>
      </c>
      <c r="H13" s="1" t="str">
        <f t="shared" si="0"/>
        <v>5349</v>
      </c>
      <c r="K13" s="67" t="s">
        <v>223</v>
      </c>
      <c r="L13" s="67">
        <v>119</v>
      </c>
      <c r="M13" s="67">
        <v>0</v>
      </c>
      <c r="N13" s="67">
        <v>99</v>
      </c>
      <c r="O13" s="67">
        <v>1</v>
      </c>
      <c r="P13" s="67">
        <v>13</v>
      </c>
    </row>
    <row r="14" spans="1:16" x14ac:dyDescent="0.25">
      <c r="A14" s="1">
        <v>5367</v>
      </c>
      <c r="B14" s="67">
        <v>131</v>
      </c>
      <c r="C14" s="67">
        <v>0</v>
      </c>
      <c r="D14" s="67">
        <v>118</v>
      </c>
      <c r="E14" s="67">
        <v>1.3500000238418579</v>
      </c>
      <c r="F14" s="67">
        <v>17</v>
      </c>
      <c r="H14" s="1" t="str">
        <f t="shared" si="0"/>
        <v>5367</v>
      </c>
      <c r="K14" s="67" t="s">
        <v>213</v>
      </c>
      <c r="L14" s="67">
        <v>131</v>
      </c>
      <c r="M14" s="67">
        <v>0</v>
      </c>
      <c r="N14" s="67">
        <v>118</v>
      </c>
      <c r="O14" s="67">
        <v>1.3500000238418579</v>
      </c>
      <c r="P14" s="67">
        <v>17</v>
      </c>
    </row>
    <row r="15" spans="1:16" x14ac:dyDescent="0.25">
      <c r="A15" s="1">
        <v>5405</v>
      </c>
      <c r="B15" s="67">
        <v>51</v>
      </c>
      <c r="C15" s="67">
        <v>0</v>
      </c>
      <c r="D15" s="67">
        <v>40</v>
      </c>
      <c r="E15" s="67">
        <v>0.37999999523162842</v>
      </c>
      <c r="F15" s="67">
        <v>4</v>
      </c>
      <c r="H15" s="1" t="str">
        <f t="shared" si="0"/>
        <v>5405</v>
      </c>
      <c r="K15" s="67" t="s">
        <v>128</v>
      </c>
      <c r="L15" s="67">
        <v>51</v>
      </c>
      <c r="M15" s="67">
        <v>0</v>
      </c>
      <c r="N15" s="67">
        <v>40</v>
      </c>
      <c r="O15" s="67">
        <v>0.37999999523162842</v>
      </c>
      <c r="P15" s="67">
        <v>4</v>
      </c>
    </row>
    <row r="16" spans="1:16" x14ac:dyDescent="0.25">
      <c r="A16" s="1">
        <v>5641</v>
      </c>
      <c r="B16" s="67">
        <v>68</v>
      </c>
      <c r="C16" s="67">
        <v>0</v>
      </c>
      <c r="D16" s="67">
        <v>64</v>
      </c>
      <c r="E16" s="67">
        <v>0.54000002145767212</v>
      </c>
      <c r="F16" s="67">
        <v>5</v>
      </c>
      <c r="H16" s="1" t="str">
        <f t="shared" si="0"/>
        <v>5641</v>
      </c>
      <c r="K16" s="67" t="s">
        <v>118</v>
      </c>
      <c r="L16" s="67">
        <v>68</v>
      </c>
      <c r="M16" s="67">
        <v>0</v>
      </c>
      <c r="N16" s="67">
        <v>64</v>
      </c>
      <c r="O16" s="67">
        <v>0.54000002145767212</v>
      </c>
      <c r="P16" s="67">
        <v>5</v>
      </c>
    </row>
    <row r="17" spans="1:16" x14ac:dyDescent="0.25">
      <c r="A17" s="1">
        <v>6525</v>
      </c>
      <c r="B17" s="67">
        <v>96</v>
      </c>
      <c r="C17" s="67">
        <v>0</v>
      </c>
      <c r="D17" s="67">
        <v>80</v>
      </c>
      <c r="E17" s="67">
        <v>0.77999997138977051</v>
      </c>
      <c r="F17" s="67">
        <v>12</v>
      </c>
      <c r="H17" s="1" t="str">
        <f t="shared" si="0"/>
        <v>6525</v>
      </c>
      <c r="K17" s="67" t="s">
        <v>129</v>
      </c>
      <c r="L17" s="67">
        <v>96</v>
      </c>
      <c r="M17" s="67">
        <v>0</v>
      </c>
      <c r="N17" s="67">
        <v>80</v>
      </c>
      <c r="O17" s="67">
        <v>0.77999997138977051</v>
      </c>
      <c r="P17" s="67">
        <v>12</v>
      </c>
    </row>
    <row r="18" spans="1:16" x14ac:dyDescent="0.25">
      <c r="A18" s="1">
        <v>6760</v>
      </c>
      <c r="B18" s="67">
        <v>153</v>
      </c>
      <c r="C18" s="67">
        <v>0</v>
      </c>
      <c r="D18" s="67">
        <v>135</v>
      </c>
      <c r="E18" s="67">
        <v>1.190000057220459</v>
      </c>
      <c r="F18" s="67">
        <v>11</v>
      </c>
      <c r="H18" s="1" t="str">
        <f t="shared" si="0"/>
        <v>6760</v>
      </c>
      <c r="K18" s="67" t="s">
        <v>130</v>
      </c>
      <c r="L18" s="67">
        <v>153</v>
      </c>
      <c r="M18" s="67">
        <v>0</v>
      </c>
      <c r="N18" s="67">
        <v>135</v>
      </c>
      <c r="O18" s="67">
        <v>1.190000057220459</v>
      </c>
      <c r="P18" s="67">
        <v>11</v>
      </c>
    </row>
    <row r="19" spans="1:16" x14ac:dyDescent="0.25">
      <c r="A19" s="1">
        <v>7501</v>
      </c>
      <c r="B19" s="67">
        <v>124</v>
      </c>
      <c r="C19" s="67">
        <v>0</v>
      </c>
      <c r="D19" s="67">
        <v>112</v>
      </c>
      <c r="E19" s="67">
        <v>0.93999999761581421</v>
      </c>
      <c r="F19" s="67">
        <v>9</v>
      </c>
      <c r="H19" s="1" t="str">
        <f t="shared" si="0"/>
        <v>7501</v>
      </c>
      <c r="K19" s="67" t="s">
        <v>317</v>
      </c>
      <c r="L19" s="67">
        <v>124</v>
      </c>
      <c r="M19" s="67">
        <v>0</v>
      </c>
      <c r="N19" s="67">
        <v>112</v>
      </c>
      <c r="O19" s="67">
        <v>0.93999999761581421</v>
      </c>
      <c r="P19" s="67">
        <v>9</v>
      </c>
    </row>
    <row r="20" spans="1:16" x14ac:dyDescent="0.25">
      <c r="A20" s="1">
        <v>7593</v>
      </c>
      <c r="B20" s="67">
        <v>63</v>
      </c>
      <c r="C20" s="67">
        <v>0</v>
      </c>
      <c r="D20" s="67">
        <v>56</v>
      </c>
      <c r="E20" s="67">
        <v>0.43000000715255737</v>
      </c>
      <c r="F20" s="67">
        <v>4</v>
      </c>
      <c r="H20" s="1" t="str">
        <f t="shared" si="0"/>
        <v>7593</v>
      </c>
      <c r="K20" s="67" t="s">
        <v>207</v>
      </c>
      <c r="L20" s="67">
        <v>63</v>
      </c>
      <c r="M20" s="67">
        <v>0</v>
      </c>
      <c r="N20" s="67">
        <v>56</v>
      </c>
      <c r="O20" s="67">
        <v>0.43000000715255737</v>
      </c>
      <c r="P20" s="67">
        <v>4</v>
      </c>
    </row>
    <row r="21" spans="1:16" x14ac:dyDescent="0.25">
      <c r="A21" s="1">
        <v>8364</v>
      </c>
      <c r="B21" s="67">
        <v>107</v>
      </c>
      <c r="C21" s="67">
        <v>0</v>
      </c>
      <c r="D21" s="67">
        <v>113</v>
      </c>
      <c r="E21" s="67">
        <v>0.92000001668930054</v>
      </c>
      <c r="F21" s="67">
        <v>11</v>
      </c>
      <c r="H21" s="1" t="str">
        <f t="shared" si="0"/>
        <v>8364</v>
      </c>
      <c r="K21" s="67" t="s">
        <v>119</v>
      </c>
      <c r="L21" s="67">
        <v>107</v>
      </c>
      <c r="M21" s="67">
        <v>0</v>
      </c>
      <c r="N21" s="67">
        <v>113</v>
      </c>
      <c r="O21" s="67">
        <v>0.92000001668930054</v>
      </c>
      <c r="P21" s="67">
        <v>11</v>
      </c>
    </row>
    <row r="22" spans="1:16" x14ac:dyDescent="0.25">
      <c r="A22" s="1">
        <v>8428</v>
      </c>
      <c r="B22" s="67">
        <v>100</v>
      </c>
      <c r="C22" s="67">
        <v>0</v>
      </c>
      <c r="D22" s="67">
        <v>92</v>
      </c>
      <c r="E22" s="67">
        <v>0.69999998807907104</v>
      </c>
      <c r="F22" s="67">
        <v>7</v>
      </c>
      <c r="H22" s="1" t="str">
        <f t="shared" si="0"/>
        <v>8428</v>
      </c>
      <c r="K22" s="67" t="s">
        <v>120</v>
      </c>
      <c r="L22" s="67">
        <v>100</v>
      </c>
      <c r="M22" s="67">
        <v>0</v>
      </c>
      <c r="N22" s="67">
        <v>92</v>
      </c>
      <c r="O22" s="67">
        <v>0.69999998807907104</v>
      </c>
      <c r="P22" s="67">
        <v>7</v>
      </c>
    </row>
    <row r="23" spans="1:16" x14ac:dyDescent="0.25">
      <c r="A23" s="1">
        <v>8453</v>
      </c>
      <c r="B23" s="67">
        <v>50</v>
      </c>
      <c r="C23" s="67">
        <v>0</v>
      </c>
      <c r="D23" s="67">
        <v>44</v>
      </c>
      <c r="E23" s="67">
        <v>0.34999999403953552</v>
      </c>
      <c r="F23" s="67">
        <v>4</v>
      </c>
      <c r="H23" s="1" t="str">
        <f t="shared" si="0"/>
        <v>8453</v>
      </c>
      <c r="K23" s="67" t="s">
        <v>121</v>
      </c>
      <c r="L23" s="67">
        <v>50</v>
      </c>
      <c r="M23" s="67">
        <v>0</v>
      </c>
      <c r="N23" s="67">
        <v>44</v>
      </c>
      <c r="O23" s="67">
        <v>0.34999999403953552</v>
      </c>
      <c r="P23" s="67">
        <v>4</v>
      </c>
    </row>
    <row r="24" spans="1:16" x14ac:dyDescent="0.25">
      <c r="A24" s="1">
        <v>8601</v>
      </c>
      <c r="B24" s="67">
        <v>65</v>
      </c>
      <c r="C24" s="67">
        <v>0</v>
      </c>
      <c r="D24" s="67">
        <v>74</v>
      </c>
      <c r="E24" s="67">
        <v>0.5899999737739563</v>
      </c>
      <c r="F24" s="67">
        <v>6</v>
      </c>
      <c r="H24" s="1" t="str">
        <f t="shared" si="0"/>
        <v>8601</v>
      </c>
      <c r="K24" s="67" t="s">
        <v>122</v>
      </c>
      <c r="L24" s="67">
        <v>65</v>
      </c>
      <c r="M24" s="67">
        <v>0</v>
      </c>
      <c r="N24" s="67">
        <v>74</v>
      </c>
      <c r="O24" s="67">
        <v>0.5899999737739563</v>
      </c>
      <c r="P24" s="67">
        <v>6</v>
      </c>
    </row>
    <row r="25" spans="1:16" x14ac:dyDescent="0.25">
      <c r="A25" s="1">
        <v>9226</v>
      </c>
      <c r="B25" s="67">
        <v>1126</v>
      </c>
      <c r="C25" s="67">
        <v>39</v>
      </c>
      <c r="D25" s="67">
        <v>815</v>
      </c>
      <c r="E25" s="67">
        <v>7.2899999618530273</v>
      </c>
      <c r="F25" s="67">
        <v>74</v>
      </c>
      <c r="H25" s="1" t="str">
        <f t="shared" si="0"/>
        <v>9226</v>
      </c>
      <c r="K25" s="67" t="s">
        <v>140</v>
      </c>
      <c r="L25" s="67">
        <v>1126</v>
      </c>
      <c r="M25" s="67">
        <v>39</v>
      </c>
      <c r="N25" s="67">
        <v>815</v>
      </c>
      <c r="O25" s="67">
        <v>7.2899999618530273</v>
      </c>
      <c r="P25" s="67">
        <v>74</v>
      </c>
    </row>
    <row r="26" spans="1:16" x14ac:dyDescent="0.25">
      <c r="A26" s="1">
        <v>10265</v>
      </c>
      <c r="B26" s="67">
        <v>32</v>
      </c>
      <c r="C26" s="67">
        <v>0</v>
      </c>
      <c r="D26" s="67">
        <v>25</v>
      </c>
      <c r="E26" s="67">
        <v>0.2199999988079071</v>
      </c>
      <c r="F26" s="67">
        <v>2</v>
      </c>
      <c r="H26" s="1" t="str">
        <f t="shared" si="0"/>
        <v>10265</v>
      </c>
      <c r="K26" s="67" t="s">
        <v>131</v>
      </c>
      <c r="L26" s="67">
        <v>32</v>
      </c>
      <c r="M26" s="67">
        <v>0</v>
      </c>
      <c r="N26" s="67">
        <v>25</v>
      </c>
      <c r="O26" s="67">
        <v>0.2199999988079071</v>
      </c>
      <c r="P26" s="67">
        <v>2</v>
      </c>
    </row>
    <row r="27" spans="1:16" x14ac:dyDescent="0.25">
      <c r="A27" s="1">
        <v>10504</v>
      </c>
      <c r="B27" s="67">
        <v>32</v>
      </c>
      <c r="C27" s="67">
        <v>0</v>
      </c>
      <c r="D27" s="67">
        <v>28</v>
      </c>
      <c r="E27" s="67">
        <v>0.23999999463558197</v>
      </c>
      <c r="F27" s="67">
        <v>3</v>
      </c>
      <c r="H27" s="1" t="str">
        <f t="shared" si="0"/>
        <v>10504</v>
      </c>
      <c r="K27" s="67" t="s">
        <v>132</v>
      </c>
      <c r="L27" s="67">
        <v>32</v>
      </c>
      <c r="M27" s="67">
        <v>0</v>
      </c>
      <c r="N27" s="67">
        <v>28</v>
      </c>
      <c r="O27" s="67">
        <v>0.23999999463558197</v>
      </c>
      <c r="P27" s="67">
        <v>3</v>
      </c>
    </row>
    <row r="28" spans="1:16" x14ac:dyDescent="0.25">
      <c r="A28" s="1">
        <v>11629</v>
      </c>
      <c r="B28" s="67">
        <v>30</v>
      </c>
      <c r="C28" s="67">
        <v>0</v>
      </c>
      <c r="D28" s="67">
        <v>31</v>
      </c>
      <c r="E28" s="67">
        <v>0.30000001192092896</v>
      </c>
      <c r="F28" s="67">
        <v>4</v>
      </c>
      <c r="H28" s="1" t="str">
        <f t="shared" si="0"/>
        <v>11629</v>
      </c>
      <c r="K28" s="67" t="s">
        <v>133</v>
      </c>
      <c r="L28" s="67">
        <v>30</v>
      </c>
      <c r="M28" s="67">
        <v>0</v>
      </c>
      <c r="N28" s="67">
        <v>31</v>
      </c>
      <c r="O28" s="67">
        <v>0.30000001192092896</v>
      </c>
      <c r="P28" s="67">
        <v>4</v>
      </c>
    </row>
    <row r="29" spans="1:16" x14ac:dyDescent="0.25">
      <c r="A29" s="1">
        <v>11796</v>
      </c>
      <c r="B29" s="67">
        <v>27</v>
      </c>
      <c r="C29" s="67">
        <v>0</v>
      </c>
      <c r="D29" s="67">
        <v>27</v>
      </c>
      <c r="E29" s="67">
        <v>0.2199999988079071</v>
      </c>
      <c r="F29" s="67">
        <v>2</v>
      </c>
      <c r="H29" s="1" t="str">
        <f t="shared" si="0"/>
        <v>11796</v>
      </c>
      <c r="K29" s="67" t="s">
        <v>123</v>
      </c>
      <c r="L29" s="67">
        <v>27</v>
      </c>
      <c r="M29" s="67">
        <v>0</v>
      </c>
      <c r="N29" s="67">
        <v>27</v>
      </c>
      <c r="O29" s="67">
        <v>0.2199999988079071</v>
      </c>
      <c r="P29" s="67">
        <v>2</v>
      </c>
    </row>
    <row r="30" spans="1:16" x14ac:dyDescent="0.25">
      <c r="A30" s="1">
        <v>12059</v>
      </c>
      <c r="B30" s="67">
        <v>259</v>
      </c>
      <c r="C30" s="67">
        <v>8</v>
      </c>
      <c r="D30" s="67">
        <v>223</v>
      </c>
      <c r="E30" s="67">
        <v>2.0999999046325684</v>
      </c>
      <c r="F30" s="67">
        <v>20</v>
      </c>
      <c r="H30" s="1" t="str">
        <f t="shared" si="0"/>
        <v>12059</v>
      </c>
      <c r="K30" s="67" t="s">
        <v>141</v>
      </c>
      <c r="L30" s="67">
        <v>259</v>
      </c>
      <c r="M30" s="67">
        <v>8</v>
      </c>
      <c r="N30" s="67">
        <v>223</v>
      </c>
      <c r="O30" s="67">
        <v>2.0999999046325684</v>
      </c>
      <c r="P30" s="67">
        <v>20</v>
      </c>
    </row>
    <row r="31" spans="1:16" x14ac:dyDescent="0.25">
      <c r="A31" s="1">
        <v>12093</v>
      </c>
      <c r="B31" s="67">
        <v>31</v>
      </c>
      <c r="C31" s="67">
        <v>0</v>
      </c>
      <c r="D31" s="67">
        <v>30</v>
      </c>
      <c r="E31" s="67">
        <v>0.31999999284744263</v>
      </c>
      <c r="F31" s="67">
        <v>4</v>
      </c>
      <c r="H31" s="1" t="str">
        <f t="shared" si="0"/>
        <v>12093</v>
      </c>
      <c r="K31" s="67" t="s">
        <v>134</v>
      </c>
      <c r="L31" s="67">
        <v>31</v>
      </c>
      <c r="M31" s="67">
        <v>0</v>
      </c>
      <c r="N31" s="67">
        <v>30</v>
      </c>
      <c r="O31" s="67">
        <v>0.31999999284744263</v>
      </c>
      <c r="P31" s="67">
        <v>4</v>
      </c>
    </row>
    <row r="32" spans="1:16" x14ac:dyDescent="0.25">
      <c r="A32" s="1">
        <v>12152</v>
      </c>
      <c r="B32" s="67">
        <v>19</v>
      </c>
      <c r="C32" s="67">
        <v>0</v>
      </c>
      <c r="D32" s="67">
        <v>19</v>
      </c>
      <c r="E32" s="67">
        <v>0.18999999761581421</v>
      </c>
      <c r="F32" s="67">
        <v>3</v>
      </c>
      <c r="H32" s="1" t="str">
        <f t="shared" si="0"/>
        <v>12152</v>
      </c>
      <c r="K32" s="67" t="s">
        <v>135</v>
      </c>
      <c r="L32" s="67">
        <v>19</v>
      </c>
      <c r="M32" s="67">
        <v>0</v>
      </c>
      <c r="N32" s="67">
        <v>19</v>
      </c>
      <c r="O32" s="67">
        <v>0.18999999761581421</v>
      </c>
      <c r="P32" s="67">
        <v>3</v>
      </c>
    </row>
    <row r="33" spans="1:16" x14ac:dyDescent="0.25">
      <c r="A33" s="1">
        <v>12154</v>
      </c>
      <c r="B33" s="67">
        <v>43</v>
      </c>
      <c r="C33" s="67">
        <v>0</v>
      </c>
      <c r="D33" s="67">
        <v>38</v>
      </c>
      <c r="E33" s="67">
        <v>0.37999999523162842</v>
      </c>
      <c r="F33" s="67">
        <v>4</v>
      </c>
      <c r="H33" s="1" t="str">
        <f t="shared" si="0"/>
        <v>12154</v>
      </c>
      <c r="K33" s="67" t="s">
        <v>142</v>
      </c>
      <c r="L33" s="67">
        <v>43</v>
      </c>
      <c r="M33" s="67">
        <v>0</v>
      </c>
      <c r="N33" s="67">
        <v>38</v>
      </c>
      <c r="O33" s="67">
        <v>0.37999999523162842</v>
      </c>
      <c r="P33" s="67">
        <v>4</v>
      </c>
    </row>
    <row r="34" spans="1:16" x14ac:dyDescent="0.25">
      <c r="A34" s="1">
        <v>12271</v>
      </c>
      <c r="B34" s="67">
        <v>193</v>
      </c>
      <c r="C34" s="67">
        <v>1</v>
      </c>
      <c r="D34" s="67">
        <v>143</v>
      </c>
      <c r="E34" s="67">
        <v>1.3200000524520874</v>
      </c>
      <c r="F34" s="67">
        <v>13</v>
      </c>
      <c r="H34" s="1" t="str">
        <f t="shared" si="0"/>
        <v>12271</v>
      </c>
      <c r="K34" s="67" t="s">
        <v>143</v>
      </c>
      <c r="L34" s="67">
        <v>193</v>
      </c>
      <c r="M34" s="67">
        <v>1</v>
      </c>
      <c r="N34" s="67">
        <v>143</v>
      </c>
      <c r="O34" s="67">
        <v>1.3200000524520874</v>
      </c>
      <c r="P34" s="67">
        <v>13</v>
      </c>
    </row>
    <row r="35" spans="1:16" x14ac:dyDescent="0.25">
      <c r="A35" s="1">
        <v>12899</v>
      </c>
      <c r="B35" s="67">
        <v>38</v>
      </c>
      <c r="C35" s="67">
        <v>0</v>
      </c>
      <c r="D35" s="67">
        <v>40</v>
      </c>
      <c r="E35" s="67">
        <v>0.34999999403953552</v>
      </c>
      <c r="F35" s="67">
        <v>4</v>
      </c>
      <c r="H35" s="1" t="str">
        <f t="shared" si="0"/>
        <v>12899</v>
      </c>
      <c r="K35" s="67" t="s">
        <v>124</v>
      </c>
      <c r="L35" s="67">
        <v>38</v>
      </c>
      <c r="M35" s="67">
        <v>0</v>
      </c>
      <c r="N35" s="67">
        <v>40</v>
      </c>
      <c r="O35" s="67">
        <v>0.34999999403953552</v>
      </c>
      <c r="P35" s="67">
        <v>4</v>
      </c>
    </row>
    <row r="36" spans="1:16" x14ac:dyDescent="0.25">
      <c r="A36" s="1">
        <v>14010</v>
      </c>
      <c r="B36" s="67">
        <v>103</v>
      </c>
      <c r="C36" s="67">
        <v>0</v>
      </c>
      <c r="D36" s="67">
        <v>87</v>
      </c>
      <c r="E36" s="67">
        <v>0.69999998807907104</v>
      </c>
      <c r="F36" s="67">
        <v>7</v>
      </c>
      <c r="H36" s="1" t="str">
        <f t="shared" si="0"/>
        <v>14010</v>
      </c>
      <c r="K36" s="67" t="s">
        <v>166</v>
      </c>
      <c r="L36" s="67">
        <v>103</v>
      </c>
      <c r="M36" s="67">
        <v>0</v>
      </c>
      <c r="N36" s="67">
        <v>87</v>
      </c>
      <c r="O36" s="67">
        <v>0.69999998807907104</v>
      </c>
      <c r="P36" s="67">
        <v>7</v>
      </c>
    </row>
    <row r="37" spans="1:16" x14ac:dyDescent="0.25">
      <c r="A37" s="1">
        <v>14825</v>
      </c>
      <c r="B37" s="67">
        <v>144</v>
      </c>
      <c r="C37" s="67">
        <v>0</v>
      </c>
      <c r="D37" s="67">
        <v>147</v>
      </c>
      <c r="E37" s="67">
        <v>1.2400000095367432</v>
      </c>
      <c r="F37" s="67">
        <v>12</v>
      </c>
      <c r="H37" s="1" t="str">
        <f t="shared" si="0"/>
        <v>14825</v>
      </c>
      <c r="K37" s="67" t="s">
        <v>125</v>
      </c>
      <c r="L37" s="67">
        <v>144</v>
      </c>
      <c r="M37" s="67">
        <v>0</v>
      </c>
      <c r="N37" s="67">
        <v>147</v>
      </c>
      <c r="O37" s="67">
        <v>1.2400000095367432</v>
      </c>
      <c r="P37" s="67">
        <v>12</v>
      </c>
    </row>
    <row r="38" spans="1:16" x14ac:dyDescent="0.25">
      <c r="A38" s="1">
        <v>15733</v>
      </c>
      <c r="B38" s="67">
        <v>2339</v>
      </c>
      <c r="C38" s="67">
        <v>18</v>
      </c>
      <c r="D38" s="67">
        <v>1754</v>
      </c>
      <c r="E38" s="67">
        <v>16.100000381469727</v>
      </c>
      <c r="F38" s="67">
        <v>162</v>
      </c>
      <c r="H38" s="1" t="str">
        <f t="shared" si="0"/>
        <v>15733</v>
      </c>
      <c r="K38" s="67" t="s">
        <v>307</v>
      </c>
      <c r="L38" s="67">
        <v>2339</v>
      </c>
      <c r="M38" s="67">
        <v>18</v>
      </c>
      <c r="N38" s="67">
        <v>1754</v>
      </c>
      <c r="O38" s="67">
        <v>16.100000381469727</v>
      </c>
      <c r="P38" s="67">
        <v>162</v>
      </c>
    </row>
    <row r="39" spans="1:16" x14ac:dyDescent="0.25">
      <c r="A39" s="1">
        <v>16037</v>
      </c>
      <c r="B39" s="67">
        <v>51</v>
      </c>
      <c r="C39" s="67">
        <v>0</v>
      </c>
      <c r="D39" s="67">
        <v>50</v>
      </c>
      <c r="E39" s="67">
        <v>0.49000000953674316</v>
      </c>
      <c r="F39" s="67">
        <v>5</v>
      </c>
      <c r="H39" s="1" t="str">
        <f t="shared" si="0"/>
        <v>16037</v>
      </c>
      <c r="K39" s="67" t="s">
        <v>304</v>
      </c>
      <c r="L39" s="67">
        <v>51</v>
      </c>
      <c r="M39" s="67">
        <v>0</v>
      </c>
      <c r="N39" s="67">
        <v>50</v>
      </c>
      <c r="O39" s="67">
        <v>0.49000000953674316</v>
      </c>
      <c r="P39" s="67">
        <v>5</v>
      </c>
    </row>
    <row r="40" spans="1:16" x14ac:dyDescent="0.25">
      <c r="A40" s="1">
        <v>16060</v>
      </c>
      <c r="B40" s="67">
        <v>48</v>
      </c>
      <c r="C40" s="67">
        <v>0</v>
      </c>
      <c r="D40" s="67">
        <v>46</v>
      </c>
      <c r="E40" s="67">
        <v>0.54000002145767212</v>
      </c>
      <c r="F40" s="67">
        <v>5</v>
      </c>
      <c r="H40" s="1" t="str">
        <f t="shared" si="0"/>
        <v>16060</v>
      </c>
      <c r="K40" s="67" t="s">
        <v>209</v>
      </c>
      <c r="L40" s="67">
        <v>48</v>
      </c>
      <c r="M40" s="67">
        <v>0</v>
      </c>
      <c r="N40" s="67">
        <v>46</v>
      </c>
      <c r="O40" s="67">
        <v>0.54000002145767212</v>
      </c>
      <c r="P40" s="67">
        <v>5</v>
      </c>
    </row>
    <row r="41" spans="1:16" x14ac:dyDescent="0.25">
      <c r="A41" s="1">
        <v>16269</v>
      </c>
      <c r="B41" s="67">
        <v>74</v>
      </c>
      <c r="C41" s="67">
        <v>0</v>
      </c>
      <c r="D41" s="67">
        <v>65</v>
      </c>
      <c r="E41" s="67">
        <v>0.5899999737739563</v>
      </c>
      <c r="F41" s="67">
        <v>6</v>
      </c>
      <c r="H41" s="1" t="str">
        <f t="shared" si="0"/>
        <v>16269</v>
      </c>
      <c r="K41" s="67" t="s">
        <v>305</v>
      </c>
      <c r="L41" s="67">
        <v>74</v>
      </c>
      <c r="M41" s="67">
        <v>0</v>
      </c>
      <c r="N41" s="67">
        <v>65</v>
      </c>
      <c r="O41" s="67">
        <v>0.5899999737739563</v>
      </c>
      <c r="P41" s="67">
        <v>6</v>
      </c>
    </row>
    <row r="42" spans="1:16" x14ac:dyDescent="0.25">
      <c r="A42" s="1">
        <v>16351</v>
      </c>
      <c r="B42" s="67">
        <v>97</v>
      </c>
      <c r="C42" s="67">
        <v>0</v>
      </c>
      <c r="D42" s="67">
        <v>100</v>
      </c>
      <c r="E42" s="67">
        <v>0.81000000238418579</v>
      </c>
      <c r="F42" s="67">
        <v>9</v>
      </c>
      <c r="H42" s="1" t="str">
        <f t="shared" si="0"/>
        <v>16351</v>
      </c>
      <c r="K42" s="67" t="s">
        <v>259</v>
      </c>
      <c r="L42" s="67">
        <v>97</v>
      </c>
      <c r="M42" s="67">
        <v>0</v>
      </c>
      <c r="N42" s="67">
        <v>100</v>
      </c>
      <c r="O42" s="67">
        <v>0.81000000238418579</v>
      </c>
      <c r="P42" s="67">
        <v>9</v>
      </c>
    </row>
    <row r="43" spans="1:16" x14ac:dyDescent="0.25">
      <c r="A43" s="1">
        <v>16564</v>
      </c>
      <c r="B43" s="67">
        <v>98</v>
      </c>
      <c r="C43" s="67">
        <v>0</v>
      </c>
      <c r="D43" s="67">
        <v>92</v>
      </c>
      <c r="E43" s="67">
        <v>0.86000001430511475</v>
      </c>
      <c r="F43" s="67">
        <v>10</v>
      </c>
      <c r="H43" s="1" t="str">
        <f t="shared" si="0"/>
        <v>16564</v>
      </c>
      <c r="K43" s="67" t="s">
        <v>266</v>
      </c>
      <c r="L43" s="67">
        <v>98</v>
      </c>
      <c r="M43" s="67">
        <v>0</v>
      </c>
      <c r="N43" s="67">
        <v>92</v>
      </c>
      <c r="O43" s="67">
        <v>0.86000001430511475</v>
      </c>
      <c r="P43" s="67">
        <v>10</v>
      </c>
    </row>
    <row r="44" spans="1:16" x14ac:dyDescent="0.25">
      <c r="A44" s="1">
        <v>16647</v>
      </c>
      <c r="B44" s="67">
        <v>48</v>
      </c>
      <c r="C44" s="67">
        <v>0</v>
      </c>
      <c r="D44" s="67">
        <v>36</v>
      </c>
      <c r="E44" s="67">
        <v>0.31999999284744263</v>
      </c>
      <c r="F44" s="67">
        <v>3</v>
      </c>
      <c r="H44" s="1" t="str">
        <f t="shared" si="0"/>
        <v>16647</v>
      </c>
      <c r="K44" s="67" t="s">
        <v>298</v>
      </c>
      <c r="L44" s="67">
        <v>48</v>
      </c>
      <c r="M44" s="67">
        <v>0</v>
      </c>
      <c r="N44" s="67">
        <v>36</v>
      </c>
      <c r="O44" s="67">
        <v>0.31999999284744263</v>
      </c>
      <c r="P44" s="67">
        <v>3</v>
      </c>
    </row>
    <row r="45" spans="1:16" x14ac:dyDescent="0.25">
      <c r="A45" s="1">
        <v>16723</v>
      </c>
      <c r="B45" s="67">
        <v>534</v>
      </c>
      <c r="C45" s="67">
        <v>22</v>
      </c>
      <c r="D45" s="67">
        <v>490</v>
      </c>
      <c r="E45" s="67">
        <v>4.5900001525878906</v>
      </c>
      <c r="F45" s="67">
        <v>48</v>
      </c>
      <c r="H45" s="1" t="str">
        <f t="shared" si="0"/>
        <v>16723</v>
      </c>
      <c r="K45" s="67" t="s">
        <v>299</v>
      </c>
      <c r="L45" s="67">
        <v>534</v>
      </c>
      <c r="M45" s="67">
        <v>22</v>
      </c>
      <c r="N45" s="67">
        <v>490</v>
      </c>
      <c r="O45" s="67">
        <v>4.5900001525878906</v>
      </c>
      <c r="P45" s="67">
        <v>48</v>
      </c>
    </row>
    <row r="46" spans="1:16" x14ac:dyDescent="0.25">
      <c r="A46" s="1">
        <v>17019</v>
      </c>
      <c r="B46" s="67">
        <v>0</v>
      </c>
      <c r="C46" s="67">
        <v>102</v>
      </c>
      <c r="D46" s="67">
        <v>158</v>
      </c>
      <c r="E46" s="67">
        <v>1.7300000190734863</v>
      </c>
      <c r="F46" s="67">
        <v>17</v>
      </c>
      <c r="H46" s="1" t="str">
        <f t="shared" si="0"/>
        <v>17019</v>
      </c>
      <c r="K46" s="67" t="s">
        <v>308</v>
      </c>
      <c r="L46" s="67">
        <v>0</v>
      </c>
      <c r="M46" s="67">
        <v>102</v>
      </c>
      <c r="N46" s="67">
        <v>158</v>
      </c>
      <c r="O46" s="67">
        <v>1.7300000190734863</v>
      </c>
      <c r="P46" s="67">
        <v>17</v>
      </c>
    </row>
    <row r="47" spans="1:16" x14ac:dyDescent="0.25">
      <c r="A47" s="1" t="e">
        <v>#VALUE!</v>
      </c>
      <c r="B47" s="67">
        <v>9461</v>
      </c>
      <c r="C47" s="67">
        <v>301</v>
      </c>
      <c r="D47" s="67">
        <v>7881</v>
      </c>
      <c r="E47" s="67">
        <v>71.930000305175781</v>
      </c>
      <c r="F47" s="67">
        <v>746</v>
      </c>
      <c r="H47" s="1" t="e">
        <f t="shared" si="0"/>
        <v>#VALUE!</v>
      </c>
      <c r="K47" s="67" t="s">
        <v>126</v>
      </c>
      <c r="L47" s="67">
        <v>9461</v>
      </c>
      <c r="M47" s="67">
        <v>301</v>
      </c>
      <c r="N47" s="67">
        <v>7881</v>
      </c>
      <c r="O47" s="67">
        <v>71.930000305175781</v>
      </c>
      <c r="P47" s="67">
        <v>746</v>
      </c>
    </row>
    <row r="48" spans="1:16" x14ac:dyDescent="0.25">
      <c r="A48" s="1" t="e">
        <v>#VALUE!</v>
      </c>
      <c r="H48" s="1" t="e">
        <f t="shared" si="0"/>
        <v>#VALUE!</v>
      </c>
    </row>
    <row r="49" spans="1:8" x14ac:dyDescent="0.25">
      <c r="A49" s="1" t="e">
        <v>#VALUE!</v>
      </c>
      <c r="H49" s="1" t="e">
        <f t="shared" si="0"/>
        <v>#VALUE!</v>
      </c>
    </row>
    <row r="50" spans="1:8" x14ac:dyDescent="0.25">
      <c r="A50" s="1" t="e">
        <v>#VALUE!</v>
      </c>
      <c r="H50" s="1" t="e">
        <f t="shared" si="0"/>
        <v>#VALUE!</v>
      </c>
    </row>
    <row r="51" spans="1:8" x14ac:dyDescent="0.25">
      <c r="A51" s="1" t="e">
        <v>#VALUE!</v>
      </c>
      <c r="H51" s="1" t="e">
        <f t="shared" si="0"/>
        <v>#VALUE!</v>
      </c>
    </row>
    <row r="52" spans="1:8" x14ac:dyDescent="0.25">
      <c r="A52" s="1" t="e">
        <v>#VALUE!</v>
      </c>
      <c r="H52" s="1" t="e">
        <f t="shared" si="0"/>
        <v>#VALUE!</v>
      </c>
    </row>
    <row r="53" spans="1:8" x14ac:dyDescent="0.25">
      <c r="A53" s="1" t="e">
        <v>#VALUE!</v>
      </c>
      <c r="H53" s="1" t="e">
        <f t="shared" si="0"/>
        <v>#VALUE!</v>
      </c>
    </row>
    <row r="54" spans="1:8" x14ac:dyDescent="0.25">
      <c r="A54" s="1" t="e">
        <v>#VALUE!</v>
      </c>
      <c r="H54" s="1" t="e">
        <f t="shared" si="0"/>
        <v>#VALUE!</v>
      </c>
    </row>
    <row r="55" spans="1:8" x14ac:dyDescent="0.25">
      <c r="A55" s="1" t="e">
        <v>#VALUE!</v>
      </c>
      <c r="H55" s="1" t="e">
        <f t="shared" si="0"/>
        <v>#VALUE!</v>
      </c>
    </row>
    <row r="56" spans="1:8" x14ac:dyDescent="0.25">
      <c r="A56" s="1" t="e">
        <v>#VALUE!</v>
      </c>
      <c r="H56" s="1" t="e">
        <f t="shared" si="0"/>
        <v>#VALUE!</v>
      </c>
    </row>
    <row r="57" spans="1:8" x14ac:dyDescent="0.25">
      <c r="A57" s="1" t="e">
        <v>#VALUE!</v>
      </c>
      <c r="H57" s="1" t="e">
        <f t="shared" si="0"/>
        <v>#VALUE!</v>
      </c>
    </row>
    <row r="58" spans="1:8" x14ac:dyDescent="0.25">
      <c r="A58" s="1" t="e">
        <v>#VALUE!</v>
      </c>
      <c r="H58" s="1" t="e">
        <f t="shared" si="0"/>
        <v>#VALUE!</v>
      </c>
    </row>
    <row r="59" spans="1:8" x14ac:dyDescent="0.25">
      <c r="A59" s="1" t="e">
        <v>#VALUE!</v>
      </c>
      <c r="H59" s="1" t="e">
        <f t="shared" si="0"/>
        <v>#VALUE!</v>
      </c>
    </row>
    <row r="60" spans="1:8" x14ac:dyDescent="0.25">
      <c r="A60" s="1" t="e">
        <v>#VALUE!</v>
      </c>
      <c r="H60" s="1" t="e">
        <f t="shared" si="0"/>
        <v>#VALUE!</v>
      </c>
    </row>
    <row r="61" spans="1:8" x14ac:dyDescent="0.25">
      <c r="A61" s="1" t="e">
        <v>#VALUE!</v>
      </c>
      <c r="H61" s="1" t="e">
        <f t="shared" si="0"/>
        <v>#VALUE!</v>
      </c>
    </row>
    <row r="62" spans="1:8" x14ac:dyDescent="0.25">
      <c r="A62" s="1" t="e">
        <v>#VALUE!</v>
      </c>
      <c r="H62" s="1" t="e">
        <f t="shared" si="0"/>
        <v>#VALUE!</v>
      </c>
    </row>
    <row r="63" spans="1:8" x14ac:dyDescent="0.25">
      <c r="A63" s="1" t="e">
        <v>#VALUE!</v>
      </c>
      <c r="H63" s="1" t="e">
        <f t="shared" si="0"/>
        <v>#VALUE!</v>
      </c>
    </row>
    <row r="64" spans="1:8" x14ac:dyDescent="0.25">
      <c r="A64" s="1" t="e">
        <v>#VALUE!</v>
      </c>
      <c r="H64" s="1" t="e">
        <f t="shared" si="0"/>
        <v>#VALUE!</v>
      </c>
    </row>
    <row r="65" spans="1:8" x14ac:dyDescent="0.25">
      <c r="A65" s="1" t="e">
        <v>#VALUE!</v>
      </c>
      <c r="H65" s="1" t="e">
        <f t="shared" si="0"/>
        <v>#VALUE!</v>
      </c>
    </row>
    <row r="66" spans="1:8" x14ac:dyDescent="0.25">
      <c r="A66" s="1" t="e">
        <v>#VALUE!</v>
      </c>
      <c r="H66" s="1" t="e">
        <f t="shared" ref="H66:H129" si="1">LEFT(K66,(SEARCH("-",K66)-1))</f>
        <v>#VALUE!</v>
      </c>
    </row>
    <row r="67" spans="1:8" x14ac:dyDescent="0.25">
      <c r="A67" s="1" t="e">
        <v>#VALUE!</v>
      </c>
      <c r="H67" s="1" t="e">
        <f t="shared" si="1"/>
        <v>#VALUE!</v>
      </c>
    </row>
    <row r="68" spans="1:8" x14ac:dyDescent="0.25">
      <c r="A68" s="1" t="e">
        <v>#VALUE!</v>
      </c>
      <c r="H68" s="1" t="e">
        <f t="shared" si="1"/>
        <v>#VALUE!</v>
      </c>
    </row>
    <row r="69" spans="1:8" x14ac:dyDescent="0.25">
      <c r="A69" s="1" t="e">
        <v>#VALUE!</v>
      </c>
      <c r="H69" s="1" t="e">
        <f t="shared" si="1"/>
        <v>#VALUE!</v>
      </c>
    </row>
    <row r="70" spans="1:8" x14ac:dyDescent="0.25">
      <c r="A70" s="1" t="e">
        <v>#VALUE!</v>
      </c>
      <c r="H70" s="1" t="e">
        <f t="shared" si="1"/>
        <v>#VALUE!</v>
      </c>
    </row>
    <row r="71" spans="1:8" x14ac:dyDescent="0.25">
      <c r="A71" s="1" t="e">
        <v>#VALUE!</v>
      </c>
      <c r="H71" s="1" t="e">
        <f t="shared" si="1"/>
        <v>#VALUE!</v>
      </c>
    </row>
    <row r="72" spans="1:8" x14ac:dyDescent="0.25">
      <c r="A72" s="1" t="e">
        <v>#VALUE!</v>
      </c>
      <c r="H72" s="1" t="e">
        <f t="shared" si="1"/>
        <v>#VALUE!</v>
      </c>
    </row>
    <row r="73" spans="1:8" x14ac:dyDescent="0.25">
      <c r="A73" s="1" t="e">
        <v>#VALUE!</v>
      </c>
      <c r="H73" s="1" t="e">
        <f t="shared" si="1"/>
        <v>#VALUE!</v>
      </c>
    </row>
    <row r="74" spans="1:8" x14ac:dyDescent="0.25">
      <c r="A74" s="1" t="e">
        <v>#VALUE!</v>
      </c>
      <c r="H74" s="1" t="e">
        <f t="shared" si="1"/>
        <v>#VALUE!</v>
      </c>
    </row>
    <row r="75" spans="1:8" x14ac:dyDescent="0.25">
      <c r="A75" s="1" t="e">
        <v>#VALUE!</v>
      </c>
      <c r="H75" s="1" t="e">
        <f t="shared" si="1"/>
        <v>#VALUE!</v>
      </c>
    </row>
    <row r="76" spans="1:8" x14ac:dyDescent="0.25">
      <c r="A76" s="1" t="e">
        <v>#VALUE!</v>
      </c>
      <c r="H76" s="1" t="e">
        <f t="shared" si="1"/>
        <v>#VALUE!</v>
      </c>
    </row>
    <row r="77" spans="1:8" x14ac:dyDescent="0.25">
      <c r="A77" s="1" t="e">
        <v>#VALUE!</v>
      </c>
      <c r="H77" s="1" t="e">
        <f t="shared" si="1"/>
        <v>#VALUE!</v>
      </c>
    </row>
    <row r="78" spans="1:8" x14ac:dyDescent="0.25">
      <c r="A78" s="1" t="e">
        <v>#VALUE!</v>
      </c>
      <c r="H78" s="1" t="e">
        <f t="shared" si="1"/>
        <v>#VALUE!</v>
      </c>
    </row>
    <row r="79" spans="1:8" x14ac:dyDescent="0.25">
      <c r="A79" s="1" t="e">
        <v>#VALUE!</v>
      </c>
      <c r="H79" s="1" t="e">
        <f t="shared" si="1"/>
        <v>#VALUE!</v>
      </c>
    </row>
    <row r="80" spans="1:8" x14ac:dyDescent="0.25">
      <c r="A80" s="1" t="e">
        <v>#VALUE!</v>
      </c>
      <c r="H80" s="1" t="e">
        <f t="shared" si="1"/>
        <v>#VALUE!</v>
      </c>
    </row>
    <row r="81" spans="1:8" x14ac:dyDescent="0.25">
      <c r="A81" s="1" t="e">
        <v>#VALUE!</v>
      </c>
      <c r="H81" s="1" t="e">
        <f t="shared" si="1"/>
        <v>#VALUE!</v>
      </c>
    </row>
    <row r="82" spans="1:8" x14ac:dyDescent="0.25">
      <c r="A82" s="1" t="e">
        <v>#VALUE!</v>
      </c>
      <c r="H82" s="1" t="e">
        <f t="shared" si="1"/>
        <v>#VALUE!</v>
      </c>
    </row>
    <row r="83" spans="1:8" x14ac:dyDescent="0.25">
      <c r="A83" s="1" t="e">
        <v>#VALUE!</v>
      </c>
      <c r="H83" s="1" t="e">
        <f t="shared" si="1"/>
        <v>#VALUE!</v>
      </c>
    </row>
    <row r="84" spans="1:8" x14ac:dyDescent="0.25">
      <c r="A84" s="1" t="e">
        <v>#VALUE!</v>
      </c>
      <c r="H84" s="1" t="e">
        <f t="shared" si="1"/>
        <v>#VALUE!</v>
      </c>
    </row>
    <row r="85" spans="1:8" x14ac:dyDescent="0.25">
      <c r="A85" s="1" t="e">
        <v>#VALUE!</v>
      </c>
      <c r="H85" s="1" t="e">
        <f t="shared" si="1"/>
        <v>#VALUE!</v>
      </c>
    </row>
    <row r="86" spans="1:8" x14ac:dyDescent="0.25">
      <c r="A86" s="1" t="e">
        <v>#VALUE!</v>
      </c>
      <c r="H86" s="1" t="e">
        <f t="shared" si="1"/>
        <v>#VALUE!</v>
      </c>
    </row>
    <row r="87" spans="1:8" x14ac:dyDescent="0.25">
      <c r="A87" s="1" t="e">
        <v>#VALUE!</v>
      </c>
      <c r="H87" s="1" t="e">
        <f t="shared" si="1"/>
        <v>#VALUE!</v>
      </c>
    </row>
    <row r="88" spans="1:8" x14ac:dyDescent="0.25">
      <c r="A88" s="1" t="e">
        <v>#VALUE!</v>
      </c>
      <c r="H88" s="1" t="e">
        <f t="shared" si="1"/>
        <v>#VALUE!</v>
      </c>
    </row>
    <row r="89" spans="1:8" x14ac:dyDescent="0.25">
      <c r="A89" s="1" t="e">
        <v>#VALUE!</v>
      </c>
      <c r="H89" s="1" t="e">
        <f t="shared" si="1"/>
        <v>#VALUE!</v>
      </c>
    </row>
    <row r="90" spans="1:8" x14ac:dyDescent="0.25">
      <c r="A90" s="1" t="e">
        <v>#VALUE!</v>
      </c>
      <c r="H90" s="1" t="e">
        <f t="shared" si="1"/>
        <v>#VALUE!</v>
      </c>
    </row>
    <row r="91" spans="1:8" x14ac:dyDescent="0.25">
      <c r="A91" s="1" t="e">
        <v>#VALUE!</v>
      </c>
      <c r="H91" s="1" t="e">
        <f t="shared" si="1"/>
        <v>#VALUE!</v>
      </c>
    </row>
    <row r="92" spans="1:8" x14ac:dyDescent="0.25">
      <c r="A92" s="1" t="e">
        <v>#VALUE!</v>
      </c>
      <c r="H92" s="1" t="e">
        <f t="shared" si="1"/>
        <v>#VALUE!</v>
      </c>
    </row>
    <row r="93" spans="1:8" x14ac:dyDescent="0.25">
      <c r="A93" s="1" t="e">
        <v>#VALUE!</v>
      </c>
      <c r="H93" s="1" t="e">
        <f t="shared" si="1"/>
        <v>#VALUE!</v>
      </c>
    </row>
    <row r="94" spans="1:8" x14ac:dyDescent="0.25">
      <c r="A94" s="1" t="e">
        <v>#VALUE!</v>
      </c>
      <c r="H94" s="1" t="e">
        <f t="shared" si="1"/>
        <v>#VALUE!</v>
      </c>
    </row>
    <row r="95" spans="1:8" x14ac:dyDescent="0.25">
      <c r="A95" s="1" t="e">
        <v>#VALUE!</v>
      </c>
      <c r="H95" s="1" t="e">
        <f t="shared" si="1"/>
        <v>#VALUE!</v>
      </c>
    </row>
    <row r="96" spans="1:8" x14ac:dyDescent="0.25">
      <c r="A96" s="1" t="e">
        <v>#VALUE!</v>
      </c>
      <c r="H96" s="1" t="e">
        <f t="shared" si="1"/>
        <v>#VALUE!</v>
      </c>
    </row>
    <row r="97" spans="1:8" x14ac:dyDescent="0.25">
      <c r="A97" s="1" t="e">
        <v>#VALUE!</v>
      </c>
      <c r="H97" s="1" t="e">
        <f t="shared" si="1"/>
        <v>#VALUE!</v>
      </c>
    </row>
    <row r="98" spans="1:8" x14ac:dyDescent="0.25">
      <c r="A98" s="1" t="e">
        <v>#VALUE!</v>
      </c>
      <c r="H98" s="1" t="e">
        <f t="shared" si="1"/>
        <v>#VALUE!</v>
      </c>
    </row>
    <row r="99" spans="1:8" x14ac:dyDescent="0.25">
      <c r="A99" s="1" t="e">
        <v>#VALUE!</v>
      </c>
      <c r="H99" s="1" t="e">
        <f t="shared" si="1"/>
        <v>#VALUE!</v>
      </c>
    </row>
    <row r="100" spans="1:8" x14ac:dyDescent="0.25">
      <c r="A100" s="1" t="e">
        <v>#VALUE!</v>
      </c>
      <c r="H100" s="1" t="e">
        <f t="shared" si="1"/>
        <v>#VALUE!</v>
      </c>
    </row>
    <row r="101" spans="1:8" x14ac:dyDescent="0.25">
      <c r="A101" s="1" t="e">
        <v>#VALUE!</v>
      </c>
      <c r="H101" s="1" t="e">
        <f t="shared" si="1"/>
        <v>#VALUE!</v>
      </c>
    </row>
    <row r="102" spans="1:8" x14ac:dyDescent="0.25">
      <c r="A102" s="1" t="e">
        <v>#VALUE!</v>
      </c>
      <c r="H102" s="1" t="e">
        <f t="shared" si="1"/>
        <v>#VALUE!</v>
      </c>
    </row>
    <row r="103" spans="1:8" x14ac:dyDescent="0.25">
      <c r="A103" s="1" t="e">
        <v>#VALUE!</v>
      </c>
      <c r="H103" s="1" t="e">
        <f t="shared" si="1"/>
        <v>#VALUE!</v>
      </c>
    </row>
    <row r="104" spans="1:8" x14ac:dyDescent="0.25">
      <c r="A104" s="1" t="e">
        <v>#VALUE!</v>
      </c>
      <c r="H104" s="1" t="e">
        <f t="shared" si="1"/>
        <v>#VALUE!</v>
      </c>
    </row>
    <row r="105" spans="1:8" x14ac:dyDescent="0.25">
      <c r="A105" s="1" t="e">
        <v>#VALUE!</v>
      </c>
      <c r="H105" s="1" t="e">
        <f t="shared" si="1"/>
        <v>#VALUE!</v>
      </c>
    </row>
    <row r="106" spans="1:8" x14ac:dyDescent="0.25">
      <c r="A106" s="1" t="e">
        <v>#VALUE!</v>
      </c>
      <c r="H106" s="1" t="e">
        <f t="shared" si="1"/>
        <v>#VALUE!</v>
      </c>
    </row>
    <row r="107" spans="1:8" x14ac:dyDescent="0.25">
      <c r="A107" s="1" t="e">
        <v>#VALUE!</v>
      </c>
      <c r="H107" s="1" t="e">
        <f t="shared" si="1"/>
        <v>#VALUE!</v>
      </c>
    </row>
    <row r="108" spans="1:8" x14ac:dyDescent="0.25">
      <c r="A108" s="1" t="e">
        <v>#VALUE!</v>
      </c>
      <c r="H108" s="1" t="e">
        <f t="shared" si="1"/>
        <v>#VALUE!</v>
      </c>
    </row>
    <row r="109" spans="1:8" x14ac:dyDescent="0.25">
      <c r="A109" s="1" t="e">
        <v>#VALUE!</v>
      </c>
      <c r="H109" s="1" t="e">
        <f t="shared" si="1"/>
        <v>#VALUE!</v>
      </c>
    </row>
    <row r="110" spans="1:8" x14ac:dyDescent="0.25">
      <c r="A110" s="1" t="e">
        <v>#VALUE!</v>
      </c>
      <c r="H110" s="1" t="e">
        <f t="shared" si="1"/>
        <v>#VALUE!</v>
      </c>
    </row>
    <row r="111" spans="1:8" x14ac:dyDescent="0.25">
      <c r="A111" s="1" t="e">
        <v>#VALUE!</v>
      </c>
      <c r="H111" s="1" t="e">
        <f t="shared" si="1"/>
        <v>#VALUE!</v>
      </c>
    </row>
    <row r="112" spans="1:8" x14ac:dyDescent="0.25">
      <c r="A112" s="1" t="e">
        <v>#VALUE!</v>
      </c>
      <c r="H112" s="1" t="e">
        <f t="shared" si="1"/>
        <v>#VALUE!</v>
      </c>
    </row>
    <row r="113" spans="1:8" x14ac:dyDescent="0.25">
      <c r="A113" s="1" t="e">
        <v>#VALUE!</v>
      </c>
      <c r="H113" s="1" t="e">
        <f t="shared" si="1"/>
        <v>#VALUE!</v>
      </c>
    </row>
    <row r="114" spans="1:8" x14ac:dyDescent="0.25">
      <c r="A114" s="1" t="e">
        <v>#VALUE!</v>
      </c>
      <c r="H114" s="1" t="e">
        <f t="shared" si="1"/>
        <v>#VALUE!</v>
      </c>
    </row>
    <row r="115" spans="1:8" x14ac:dyDescent="0.25">
      <c r="A115" s="1" t="e">
        <v>#VALUE!</v>
      </c>
      <c r="H115" s="1" t="e">
        <f t="shared" si="1"/>
        <v>#VALUE!</v>
      </c>
    </row>
    <row r="116" spans="1:8" x14ac:dyDescent="0.25">
      <c r="A116" s="1" t="e">
        <v>#VALUE!</v>
      </c>
      <c r="H116" s="1" t="e">
        <f t="shared" si="1"/>
        <v>#VALUE!</v>
      </c>
    </row>
    <row r="117" spans="1:8" x14ac:dyDescent="0.25">
      <c r="A117" s="1" t="e">
        <v>#VALUE!</v>
      </c>
      <c r="H117" s="1" t="e">
        <f t="shared" si="1"/>
        <v>#VALUE!</v>
      </c>
    </row>
    <row r="118" spans="1:8" x14ac:dyDescent="0.25">
      <c r="A118" s="1" t="e">
        <v>#VALUE!</v>
      </c>
      <c r="H118" s="1" t="e">
        <f t="shared" si="1"/>
        <v>#VALUE!</v>
      </c>
    </row>
    <row r="119" spans="1:8" x14ac:dyDescent="0.25">
      <c r="A119" s="1" t="e">
        <v>#VALUE!</v>
      </c>
      <c r="H119" s="1" t="e">
        <f t="shared" si="1"/>
        <v>#VALUE!</v>
      </c>
    </row>
    <row r="120" spans="1:8" x14ac:dyDescent="0.25">
      <c r="A120" s="1" t="e">
        <v>#VALUE!</v>
      </c>
      <c r="H120" s="1" t="e">
        <f t="shared" si="1"/>
        <v>#VALUE!</v>
      </c>
    </row>
    <row r="121" spans="1:8" x14ac:dyDescent="0.25">
      <c r="A121" s="1" t="e">
        <v>#VALUE!</v>
      </c>
      <c r="H121" s="1" t="e">
        <f t="shared" si="1"/>
        <v>#VALUE!</v>
      </c>
    </row>
    <row r="122" spans="1:8" x14ac:dyDescent="0.25">
      <c r="A122" s="1" t="e">
        <v>#VALUE!</v>
      </c>
      <c r="H122" s="1" t="e">
        <f t="shared" si="1"/>
        <v>#VALUE!</v>
      </c>
    </row>
    <row r="123" spans="1:8" x14ac:dyDescent="0.25">
      <c r="A123" s="1" t="e">
        <v>#VALUE!</v>
      </c>
      <c r="H123" s="1" t="e">
        <f t="shared" si="1"/>
        <v>#VALUE!</v>
      </c>
    </row>
    <row r="124" spans="1:8" x14ac:dyDescent="0.25">
      <c r="A124" s="1" t="e">
        <v>#VALUE!</v>
      </c>
      <c r="H124" s="1" t="e">
        <f t="shared" si="1"/>
        <v>#VALUE!</v>
      </c>
    </row>
    <row r="125" spans="1:8" x14ac:dyDescent="0.25">
      <c r="A125" s="1" t="e">
        <v>#VALUE!</v>
      </c>
      <c r="H125" s="1" t="e">
        <f t="shared" si="1"/>
        <v>#VALUE!</v>
      </c>
    </row>
    <row r="126" spans="1:8" x14ac:dyDescent="0.25">
      <c r="A126" s="1" t="e">
        <v>#VALUE!</v>
      </c>
      <c r="H126" s="1" t="e">
        <f t="shared" si="1"/>
        <v>#VALUE!</v>
      </c>
    </row>
    <row r="127" spans="1:8" x14ac:dyDescent="0.25">
      <c r="A127" s="1" t="e">
        <v>#VALUE!</v>
      </c>
      <c r="H127" s="1" t="e">
        <f t="shared" si="1"/>
        <v>#VALUE!</v>
      </c>
    </row>
    <row r="128" spans="1:8" x14ac:dyDescent="0.25">
      <c r="A128" s="1" t="e">
        <v>#VALUE!</v>
      </c>
      <c r="H128" s="1" t="e">
        <f t="shared" si="1"/>
        <v>#VALUE!</v>
      </c>
    </row>
    <row r="129" spans="1:8" x14ac:dyDescent="0.25">
      <c r="A129" s="1" t="e">
        <v>#VALUE!</v>
      </c>
      <c r="H129" s="1" t="e">
        <f t="shared" si="1"/>
        <v>#VALUE!</v>
      </c>
    </row>
    <row r="130" spans="1:8" x14ac:dyDescent="0.25">
      <c r="A130" s="1" t="e">
        <v>#VALUE!</v>
      </c>
      <c r="H130" s="1" t="e">
        <f t="shared" ref="H130:H148" si="2">LEFT(K130,(SEARCH("-",K130)-1))</f>
        <v>#VALUE!</v>
      </c>
    </row>
    <row r="131" spans="1:8" x14ac:dyDescent="0.25">
      <c r="A131" s="1" t="e">
        <v>#VALUE!</v>
      </c>
      <c r="H131" s="1" t="e">
        <f t="shared" si="2"/>
        <v>#VALUE!</v>
      </c>
    </row>
    <row r="132" spans="1:8" x14ac:dyDescent="0.25">
      <c r="A132" s="1" t="e">
        <v>#VALUE!</v>
      </c>
      <c r="H132" s="1" t="e">
        <f t="shared" si="2"/>
        <v>#VALUE!</v>
      </c>
    </row>
    <row r="133" spans="1:8" x14ac:dyDescent="0.25">
      <c r="A133" s="1" t="e">
        <v>#VALUE!</v>
      </c>
      <c r="H133" s="1" t="e">
        <f t="shared" si="2"/>
        <v>#VALUE!</v>
      </c>
    </row>
    <row r="134" spans="1:8" x14ac:dyDescent="0.25">
      <c r="A134" s="1" t="e">
        <v>#VALUE!</v>
      </c>
      <c r="H134" s="1" t="e">
        <f t="shared" si="2"/>
        <v>#VALUE!</v>
      </c>
    </row>
    <row r="135" spans="1:8" x14ac:dyDescent="0.25">
      <c r="A135" s="1" t="e">
        <v>#VALUE!</v>
      </c>
      <c r="H135" s="1" t="e">
        <f t="shared" si="2"/>
        <v>#VALUE!</v>
      </c>
    </row>
    <row r="136" spans="1:8" x14ac:dyDescent="0.25">
      <c r="A136" s="1" t="e">
        <v>#VALUE!</v>
      </c>
      <c r="H136" s="1" t="e">
        <f t="shared" si="2"/>
        <v>#VALUE!</v>
      </c>
    </row>
    <row r="137" spans="1:8" x14ac:dyDescent="0.25">
      <c r="A137" s="1" t="e">
        <v>#VALUE!</v>
      </c>
      <c r="H137" s="1" t="e">
        <f t="shared" si="2"/>
        <v>#VALUE!</v>
      </c>
    </row>
    <row r="138" spans="1:8" x14ac:dyDescent="0.25">
      <c r="A138" s="1" t="e">
        <v>#VALUE!</v>
      </c>
      <c r="H138" s="1" t="e">
        <f t="shared" si="2"/>
        <v>#VALUE!</v>
      </c>
    </row>
    <row r="139" spans="1:8" x14ac:dyDescent="0.25">
      <c r="A139" s="1" t="e">
        <v>#VALUE!</v>
      </c>
      <c r="H139" s="1" t="e">
        <f t="shared" si="2"/>
        <v>#VALUE!</v>
      </c>
    </row>
    <row r="140" spans="1:8" x14ac:dyDescent="0.25">
      <c r="A140" s="1" t="e">
        <v>#VALUE!</v>
      </c>
      <c r="H140" s="1" t="e">
        <f t="shared" si="2"/>
        <v>#VALUE!</v>
      </c>
    </row>
    <row r="141" spans="1:8" x14ac:dyDescent="0.25">
      <c r="A141" s="1" t="e">
        <v>#VALUE!</v>
      </c>
      <c r="H141" s="1" t="e">
        <f t="shared" si="2"/>
        <v>#VALUE!</v>
      </c>
    </row>
    <row r="142" spans="1:8" x14ac:dyDescent="0.25">
      <c r="A142" s="1" t="e">
        <v>#VALUE!</v>
      </c>
      <c r="H142" s="1" t="e">
        <f t="shared" si="2"/>
        <v>#VALUE!</v>
      </c>
    </row>
    <row r="143" spans="1:8" x14ac:dyDescent="0.25">
      <c r="A143" s="1" t="e">
        <v>#VALUE!</v>
      </c>
      <c r="H143" s="1" t="e">
        <f t="shared" si="2"/>
        <v>#VALUE!</v>
      </c>
    </row>
    <row r="144" spans="1:8" x14ac:dyDescent="0.25">
      <c r="A144" s="1" t="e">
        <v>#VALUE!</v>
      </c>
      <c r="H144" s="1" t="e">
        <f t="shared" si="2"/>
        <v>#VALUE!</v>
      </c>
    </row>
    <row r="145" spans="1:8" x14ac:dyDescent="0.25">
      <c r="A145" s="1" t="e">
        <v>#VALUE!</v>
      </c>
      <c r="H145" s="1" t="e">
        <f t="shared" si="2"/>
        <v>#VALUE!</v>
      </c>
    </row>
    <row r="146" spans="1:8" x14ac:dyDescent="0.25">
      <c r="A146" s="1" t="e">
        <v>#VALUE!</v>
      </c>
      <c r="H146" s="1" t="e">
        <f t="shared" si="2"/>
        <v>#VALUE!</v>
      </c>
    </row>
    <row r="147" spans="1:8" x14ac:dyDescent="0.25">
      <c r="A147" s="1" t="e">
        <v>#VALUE!</v>
      </c>
      <c r="H147" s="1" t="e">
        <f t="shared" si="2"/>
        <v>#VALUE!</v>
      </c>
    </row>
    <row r="148" spans="1:8" x14ac:dyDescent="0.25">
      <c r="A148" s="1" t="e">
        <v>#VALUE!</v>
      </c>
      <c r="H148" s="1" t="e">
        <f t="shared" si="2"/>
        <v>#VALUE!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A450-4F37-4BF8-AE46-638FA777F5D1}">
  <sheetPr codeName="Foglio6"/>
  <dimension ref="A1:P148"/>
  <sheetViews>
    <sheetView workbookViewId="0">
      <selection sqref="A1:A1048576"/>
    </sheetView>
  </sheetViews>
  <sheetFormatPr defaultRowHeight="15" x14ac:dyDescent="0.25"/>
  <cols>
    <col min="1" max="1" width="9.7109375" style="1" customWidth="1"/>
    <col min="2" max="2" width="28.140625" style="67" customWidth="1"/>
    <col min="3" max="6" width="9.7109375" style="67" customWidth="1"/>
    <col min="7" max="7" width="9.140625" customWidth="1"/>
    <col min="8" max="8" width="9.7109375" style="1" customWidth="1"/>
    <col min="9" max="10" width="9.140625" style="1" customWidth="1"/>
    <col min="11" max="12" width="28.140625" style="67" customWidth="1"/>
    <col min="13" max="16" width="9.7109375" style="67" customWidth="1"/>
  </cols>
  <sheetData>
    <row r="1" spans="1:16" x14ac:dyDescent="0.25">
      <c r="A1" s="1">
        <v>1755</v>
      </c>
      <c r="B1" s="67">
        <v>0</v>
      </c>
      <c r="C1" s="67">
        <v>51</v>
      </c>
      <c r="D1" s="67">
        <v>54</v>
      </c>
      <c r="E1" s="67">
        <v>1.3400000333786011</v>
      </c>
      <c r="F1" s="67">
        <v>14</v>
      </c>
      <c r="H1" s="1" t="str">
        <f>LEFT(K1,(SEARCH("-",K1)-1))</f>
        <v>1755</v>
      </c>
      <c r="K1" s="67" t="s">
        <v>164</v>
      </c>
      <c r="L1" s="67">
        <v>0</v>
      </c>
      <c r="M1" s="67">
        <v>51</v>
      </c>
      <c r="N1" s="67">
        <v>54</v>
      </c>
      <c r="O1" s="67">
        <v>1.3400000333786011</v>
      </c>
      <c r="P1" s="67">
        <v>14</v>
      </c>
    </row>
    <row r="2" spans="1:16" x14ac:dyDescent="0.25">
      <c r="A2" s="1">
        <v>1971</v>
      </c>
      <c r="B2" s="67">
        <v>0</v>
      </c>
      <c r="C2" s="67">
        <v>43</v>
      </c>
      <c r="D2" s="67">
        <v>40</v>
      </c>
      <c r="E2" s="67">
        <v>1.059999942779541</v>
      </c>
      <c r="F2" s="67">
        <v>11</v>
      </c>
      <c r="H2" s="1" t="str">
        <f t="shared" ref="H2:H65" si="0">LEFT(K2,(SEARCH("-",K2)-1))</f>
        <v>1971</v>
      </c>
      <c r="K2" s="67" t="s">
        <v>165</v>
      </c>
      <c r="L2" s="67">
        <v>0</v>
      </c>
      <c r="M2" s="67">
        <v>43</v>
      </c>
      <c r="N2" s="67">
        <v>40</v>
      </c>
      <c r="O2" s="67">
        <v>1.059999942779541</v>
      </c>
      <c r="P2" s="67">
        <v>11</v>
      </c>
    </row>
    <row r="3" spans="1:16" x14ac:dyDescent="0.25">
      <c r="A3" s="1">
        <v>1984</v>
      </c>
      <c r="B3" s="67">
        <v>0</v>
      </c>
      <c r="C3" s="67">
        <v>71</v>
      </c>
      <c r="D3" s="67">
        <v>80</v>
      </c>
      <c r="E3" s="67">
        <v>1.6299999952316284</v>
      </c>
      <c r="F3" s="67">
        <v>17</v>
      </c>
      <c r="H3" s="1" t="str">
        <f t="shared" si="0"/>
        <v>1984</v>
      </c>
      <c r="K3" s="67" t="s">
        <v>214</v>
      </c>
      <c r="L3" s="67">
        <v>0</v>
      </c>
      <c r="M3" s="67">
        <v>71</v>
      </c>
      <c r="N3" s="67">
        <v>80</v>
      </c>
      <c r="O3" s="67">
        <v>1.6299999952316284</v>
      </c>
      <c r="P3" s="67">
        <v>17</v>
      </c>
    </row>
    <row r="4" spans="1:16" x14ac:dyDescent="0.25">
      <c r="A4" s="1">
        <v>2414</v>
      </c>
      <c r="B4" s="67">
        <v>0</v>
      </c>
      <c r="C4" s="67">
        <v>19</v>
      </c>
      <c r="D4" s="67">
        <v>6</v>
      </c>
      <c r="E4" s="67">
        <v>0.10000000149011612</v>
      </c>
      <c r="F4" s="67">
        <v>1</v>
      </c>
      <c r="H4" s="1" t="str">
        <f t="shared" si="0"/>
        <v>2414</v>
      </c>
      <c r="K4" s="67" t="s">
        <v>160</v>
      </c>
      <c r="L4" s="67">
        <v>0</v>
      </c>
      <c r="M4" s="67">
        <v>19</v>
      </c>
      <c r="N4" s="67">
        <v>6</v>
      </c>
      <c r="O4" s="67">
        <v>0.10000000149011612</v>
      </c>
      <c r="P4" s="67">
        <v>1</v>
      </c>
    </row>
    <row r="5" spans="1:16" x14ac:dyDescent="0.25">
      <c r="A5" s="1">
        <v>2435</v>
      </c>
      <c r="B5" s="67">
        <v>3</v>
      </c>
      <c r="C5" s="67">
        <v>11</v>
      </c>
      <c r="D5" s="67">
        <v>5</v>
      </c>
      <c r="E5" s="67">
        <v>0.10000000149011612</v>
      </c>
      <c r="F5" s="67">
        <v>1</v>
      </c>
      <c r="H5" s="1" t="str">
        <f t="shared" si="0"/>
        <v>2435</v>
      </c>
      <c r="K5" s="67" t="s">
        <v>285</v>
      </c>
      <c r="L5" s="67">
        <v>3</v>
      </c>
      <c r="M5" s="67">
        <v>11</v>
      </c>
      <c r="N5" s="67">
        <v>5</v>
      </c>
      <c r="O5" s="67">
        <v>0.10000000149011612</v>
      </c>
      <c r="P5" s="67">
        <v>1</v>
      </c>
    </row>
    <row r="6" spans="1:16" x14ac:dyDescent="0.25">
      <c r="A6" s="1">
        <v>5306</v>
      </c>
      <c r="B6" s="67">
        <v>3</v>
      </c>
      <c r="C6" s="67">
        <v>12</v>
      </c>
      <c r="D6" s="67">
        <v>6</v>
      </c>
      <c r="E6" s="67">
        <v>9.0000003576278687E-2</v>
      </c>
      <c r="F6" s="67">
        <v>1</v>
      </c>
      <c r="H6" s="1" t="str">
        <f t="shared" si="0"/>
        <v>5306</v>
      </c>
      <c r="K6" s="67" t="s">
        <v>127</v>
      </c>
      <c r="L6" s="67">
        <v>3</v>
      </c>
      <c r="M6" s="67">
        <v>12</v>
      </c>
      <c r="N6" s="67">
        <v>6</v>
      </c>
      <c r="O6" s="67">
        <v>9.0000003576278687E-2</v>
      </c>
      <c r="P6" s="67">
        <v>1</v>
      </c>
    </row>
    <row r="7" spans="1:16" x14ac:dyDescent="0.25">
      <c r="A7" s="1">
        <v>5367</v>
      </c>
      <c r="B7" s="67">
        <v>2</v>
      </c>
      <c r="C7" s="67">
        <v>4</v>
      </c>
      <c r="D7" s="67">
        <v>3</v>
      </c>
      <c r="E7" s="67">
        <v>9.0000003576278687E-2</v>
      </c>
      <c r="F7" s="67">
        <v>1</v>
      </c>
      <c r="H7" s="1" t="str">
        <f t="shared" si="0"/>
        <v>5367</v>
      </c>
      <c r="K7" s="67" t="s">
        <v>213</v>
      </c>
      <c r="L7" s="67">
        <v>2</v>
      </c>
      <c r="M7" s="67">
        <v>4</v>
      </c>
      <c r="N7" s="67">
        <v>3</v>
      </c>
      <c r="O7" s="67">
        <v>9.0000003576278687E-2</v>
      </c>
      <c r="P7" s="67">
        <v>1</v>
      </c>
    </row>
    <row r="8" spans="1:16" x14ac:dyDescent="0.25">
      <c r="A8" s="1">
        <v>5405</v>
      </c>
      <c r="B8" s="67">
        <v>2</v>
      </c>
      <c r="C8" s="67">
        <v>13</v>
      </c>
      <c r="D8" s="67">
        <v>12</v>
      </c>
      <c r="E8" s="67">
        <v>0.18000000715255737</v>
      </c>
      <c r="F8" s="67">
        <v>2</v>
      </c>
      <c r="H8" s="1" t="str">
        <f t="shared" si="0"/>
        <v>5405</v>
      </c>
      <c r="K8" s="67" t="s">
        <v>128</v>
      </c>
      <c r="L8" s="67">
        <v>2</v>
      </c>
      <c r="M8" s="67">
        <v>13</v>
      </c>
      <c r="N8" s="67">
        <v>12</v>
      </c>
      <c r="O8" s="67">
        <v>0.18000000715255737</v>
      </c>
      <c r="P8" s="67">
        <v>2</v>
      </c>
    </row>
    <row r="9" spans="1:16" x14ac:dyDescent="0.25">
      <c r="A9" s="1">
        <v>5641</v>
      </c>
      <c r="B9" s="67">
        <v>1</v>
      </c>
      <c r="C9" s="67">
        <v>8</v>
      </c>
      <c r="D9" s="67">
        <v>8</v>
      </c>
      <c r="E9" s="67">
        <v>0.10999999940395355</v>
      </c>
      <c r="F9" s="67">
        <v>1</v>
      </c>
      <c r="H9" s="1" t="str">
        <f t="shared" si="0"/>
        <v>5641</v>
      </c>
      <c r="K9" s="67" t="s">
        <v>118</v>
      </c>
      <c r="L9" s="67">
        <v>1</v>
      </c>
      <c r="M9" s="67">
        <v>8</v>
      </c>
      <c r="N9" s="67">
        <v>8</v>
      </c>
      <c r="O9" s="67">
        <v>0.10999999940395355</v>
      </c>
      <c r="P9" s="67">
        <v>1</v>
      </c>
    </row>
    <row r="10" spans="1:16" x14ac:dyDescent="0.25">
      <c r="A10" s="1">
        <v>6525</v>
      </c>
      <c r="B10" s="67">
        <v>2</v>
      </c>
      <c r="C10" s="67">
        <v>14</v>
      </c>
      <c r="D10" s="67">
        <v>8</v>
      </c>
      <c r="E10" s="67">
        <v>9.0000003576278687E-2</v>
      </c>
      <c r="F10" s="67">
        <v>1</v>
      </c>
      <c r="H10" s="1" t="str">
        <f t="shared" si="0"/>
        <v>6525</v>
      </c>
      <c r="K10" s="67" t="s">
        <v>129</v>
      </c>
      <c r="L10" s="67">
        <v>2</v>
      </c>
      <c r="M10" s="67">
        <v>14</v>
      </c>
      <c r="N10" s="67">
        <v>8</v>
      </c>
      <c r="O10" s="67">
        <v>9.0000003576278687E-2</v>
      </c>
      <c r="P10" s="67">
        <v>1</v>
      </c>
    </row>
    <row r="11" spans="1:16" x14ac:dyDescent="0.25">
      <c r="A11" s="1">
        <v>8453</v>
      </c>
      <c r="B11" s="67">
        <v>3</v>
      </c>
      <c r="C11" s="67">
        <v>20</v>
      </c>
      <c r="D11" s="67">
        <v>14</v>
      </c>
      <c r="E11" s="67">
        <v>0.33000001311302185</v>
      </c>
      <c r="F11" s="67">
        <v>3</v>
      </c>
      <c r="H11" s="1" t="str">
        <f t="shared" si="0"/>
        <v>8453</v>
      </c>
      <c r="K11" s="67" t="s">
        <v>121</v>
      </c>
      <c r="L11" s="67">
        <v>3</v>
      </c>
      <c r="M11" s="67">
        <v>20</v>
      </c>
      <c r="N11" s="67">
        <v>14</v>
      </c>
      <c r="O11" s="67">
        <v>0.33000001311302185</v>
      </c>
      <c r="P11" s="67">
        <v>3</v>
      </c>
    </row>
    <row r="12" spans="1:16" x14ac:dyDescent="0.25">
      <c r="A12" s="1">
        <v>8601</v>
      </c>
      <c r="B12" s="67">
        <v>3</v>
      </c>
      <c r="C12" s="67">
        <v>18</v>
      </c>
      <c r="D12" s="67">
        <v>14</v>
      </c>
      <c r="E12" s="67">
        <v>0.2199999988079071</v>
      </c>
      <c r="F12" s="67">
        <v>2</v>
      </c>
      <c r="H12" s="1" t="str">
        <f t="shared" si="0"/>
        <v>8601</v>
      </c>
      <c r="K12" s="67" t="s">
        <v>122</v>
      </c>
      <c r="L12" s="67">
        <v>3</v>
      </c>
      <c r="M12" s="67">
        <v>18</v>
      </c>
      <c r="N12" s="67">
        <v>14</v>
      </c>
      <c r="O12" s="67">
        <v>0.2199999988079071</v>
      </c>
      <c r="P12" s="67">
        <v>2</v>
      </c>
    </row>
    <row r="13" spans="1:16" x14ac:dyDescent="0.25">
      <c r="A13" s="1">
        <v>10504</v>
      </c>
      <c r="B13" s="67">
        <v>2</v>
      </c>
      <c r="C13" s="67">
        <v>29</v>
      </c>
      <c r="D13" s="67">
        <v>21</v>
      </c>
      <c r="E13" s="67">
        <v>0.25999999046325684</v>
      </c>
      <c r="F13" s="67">
        <v>3</v>
      </c>
      <c r="H13" s="1" t="str">
        <f t="shared" si="0"/>
        <v>10504</v>
      </c>
      <c r="K13" s="67" t="s">
        <v>132</v>
      </c>
      <c r="L13" s="67">
        <v>2</v>
      </c>
      <c r="M13" s="67">
        <v>29</v>
      </c>
      <c r="N13" s="67">
        <v>21</v>
      </c>
      <c r="O13" s="67">
        <v>0.25999999046325684</v>
      </c>
      <c r="P13" s="67">
        <v>3</v>
      </c>
    </row>
    <row r="14" spans="1:16" x14ac:dyDescent="0.25">
      <c r="A14" s="1">
        <v>11629</v>
      </c>
      <c r="B14" s="67">
        <v>4</v>
      </c>
      <c r="C14" s="67">
        <v>17</v>
      </c>
      <c r="D14" s="67">
        <v>12</v>
      </c>
      <c r="E14" s="67">
        <v>0.18000000715255737</v>
      </c>
      <c r="F14" s="67">
        <v>2</v>
      </c>
      <c r="H14" s="1" t="str">
        <f t="shared" si="0"/>
        <v>11629</v>
      </c>
      <c r="K14" s="67" t="s">
        <v>133</v>
      </c>
      <c r="L14" s="67">
        <v>4</v>
      </c>
      <c r="M14" s="67">
        <v>17</v>
      </c>
      <c r="N14" s="67">
        <v>12</v>
      </c>
      <c r="O14" s="67">
        <v>0.18000000715255737</v>
      </c>
      <c r="P14" s="67">
        <v>2</v>
      </c>
    </row>
    <row r="15" spans="1:16" x14ac:dyDescent="0.25">
      <c r="A15" s="1">
        <v>11796</v>
      </c>
      <c r="B15" s="67">
        <v>1</v>
      </c>
      <c r="C15" s="67">
        <v>17</v>
      </c>
      <c r="D15" s="67">
        <v>10</v>
      </c>
      <c r="E15" s="67">
        <v>0.2199999988079071</v>
      </c>
      <c r="F15" s="67">
        <v>2</v>
      </c>
      <c r="H15" s="1" t="str">
        <f t="shared" si="0"/>
        <v>11796</v>
      </c>
      <c r="K15" s="67" t="s">
        <v>123</v>
      </c>
      <c r="L15" s="67">
        <v>1</v>
      </c>
      <c r="M15" s="67">
        <v>17</v>
      </c>
      <c r="N15" s="67">
        <v>10</v>
      </c>
      <c r="O15" s="67">
        <v>0.2199999988079071</v>
      </c>
      <c r="P15" s="67">
        <v>2</v>
      </c>
    </row>
    <row r="16" spans="1:16" x14ac:dyDescent="0.25">
      <c r="A16" s="1">
        <v>12152</v>
      </c>
      <c r="B16" s="67">
        <v>3</v>
      </c>
      <c r="C16" s="67">
        <v>8</v>
      </c>
      <c r="D16" s="67">
        <v>7</v>
      </c>
      <c r="E16" s="67">
        <v>9.0000003576278687E-2</v>
      </c>
      <c r="F16" s="67">
        <v>1</v>
      </c>
      <c r="H16" s="1" t="str">
        <f t="shared" si="0"/>
        <v>12152</v>
      </c>
      <c r="K16" s="67" t="s">
        <v>135</v>
      </c>
      <c r="L16" s="67">
        <v>3</v>
      </c>
      <c r="M16" s="67">
        <v>8</v>
      </c>
      <c r="N16" s="67">
        <v>7</v>
      </c>
      <c r="O16" s="67">
        <v>9.0000003576278687E-2</v>
      </c>
      <c r="P16" s="67">
        <v>1</v>
      </c>
    </row>
    <row r="17" spans="1:16" x14ac:dyDescent="0.25">
      <c r="A17" s="1">
        <v>16037</v>
      </c>
      <c r="B17" s="67">
        <v>5</v>
      </c>
      <c r="C17" s="67">
        <v>32</v>
      </c>
      <c r="D17" s="67">
        <v>18</v>
      </c>
      <c r="E17" s="67">
        <v>0.33000001311302185</v>
      </c>
      <c r="F17" s="67">
        <v>3</v>
      </c>
      <c r="H17" s="1" t="str">
        <f t="shared" si="0"/>
        <v>16037</v>
      </c>
      <c r="K17" s="67" t="s">
        <v>304</v>
      </c>
      <c r="L17" s="67">
        <v>5</v>
      </c>
      <c r="M17" s="67">
        <v>32</v>
      </c>
      <c r="N17" s="67">
        <v>18</v>
      </c>
      <c r="O17" s="67">
        <v>0.33000001311302185</v>
      </c>
      <c r="P17" s="67">
        <v>3</v>
      </c>
    </row>
    <row r="18" spans="1:16" x14ac:dyDescent="0.25">
      <c r="A18" s="1">
        <v>16060</v>
      </c>
      <c r="B18" s="67">
        <v>3</v>
      </c>
      <c r="C18" s="67">
        <v>13</v>
      </c>
      <c r="D18" s="67">
        <v>9</v>
      </c>
      <c r="E18" s="67">
        <v>9.0000003576278687E-2</v>
      </c>
      <c r="F18" s="67">
        <v>1</v>
      </c>
      <c r="H18" s="1" t="str">
        <f t="shared" si="0"/>
        <v>16060</v>
      </c>
      <c r="K18" s="67" t="s">
        <v>209</v>
      </c>
      <c r="L18" s="67">
        <v>3</v>
      </c>
      <c r="M18" s="67">
        <v>13</v>
      </c>
      <c r="N18" s="67">
        <v>9</v>
      </c>
      <c r="O18" s="67">
        <v>9.0000003576278687E-2</v>
      </c>
      <c r="P18" s="67">
        <v>1</v>
      </c>
    </row>
    <row r="19" spans="1:16" x14ac:dyDescent="0.25">
      <c r="A19" s="1">
        <v>16351</v>
      </c>
      <c r="B19" s="67">
        <v>0</v>
      </c>
      <c r="C19" s="67">
        <v>12</v>
      </c>
      <c r="D19" s="67">
        <v>7</v>
      </c>
      <c r="E19" s="67">
        <v>0.10999999940395355</v>
      </c>
      <c r="F19" s="67">
        <v>1</v>
      </c>
      <c r="H19" s="1" t="str">
        <f t="shared" si="0"/>
        <v>16351</v>
      </c>
      <c r="K19" s="67" t="s">
        <v>259</v>
      </c>
      <c r="L19" s="67">
        <v>0</v>
      </c>
      <c r="M19" s="67">
        <v>12</v>
      </c>
      <c r="N19" s="67">
        <v>7</v>
      </c>
      <c r="O19" s="67">
        <v>0.10999999940395355</v>
      </c>
      <c r="P19" s="67">
        <v>1</v>
      </c>
    </row>
    <row r="20" spans="1:16" x14ac:dyDescent="0.25">
      <c r="A20" s="1" t="e">
        <v>#VALUE!</v>
      </c>
      <c r="B20" s="67">
        <v>37</v>
      </c>
      <c r="C20" s="67">
        <v>412</v>
      </c>
      <c r="D20" s="67">
        <v>334</v>
      </c>
      <c r="E20" s="67">
        <v>6.619999885559082</v>
      </c>
      <c r="F20" s="67">
        <v>68</v>
      </c>
      <c r="H20" s="1" t="e">
        <f t="shared" si="0"/>
        <v>#VALUE!</v>
      </c>
      <c r="K20" s="67" t="s">
        <v>126</v>
      </c>
      <c r="L20" s="67">
        <v>37</v>
      </c>
      <c r="M20" s="67">
        <v>412</v>
      </c>
      <c r="N20" s="67">
        <v>334</v>
      </c>
      <c r="O20" s="67">
        <v>6.619999885559082</v>
      </c>
      <c r="P20" s="67">
        <v>68</v>
      </c>
    </row>
    <row r="21" spans="1:16" x14ac:dyDescent="0.25">
      <c r="A21" s="1" t="e">
        <v>#VALUE!</v>
      </c>
      <c r="H21" s="1" t="e">
        <f t="shared" si="0"/>
        <v>#VALUE!</v>
      </c>
    </row>
    <row r="22" spans="1:16" x14ac:dyDescent="0.25">
      <c r="A22" s="1" t="e">
        <v>#VALUE!</v>
      </c>
      <c r="H22" s="1" t="e">
        <f t="shared" si="0"/>
        <v>#VALUE!</v>
      </c>
    </row>
    <row r="23" spans="1:16" x14ac:dyDescent="0.25">
      <c r="A23" s="1" t="e">
        <v>#VALUE!</v>
      </c>
      <c r="H23" s="1" t="e">
        <f t="shared" si="0"/>
        <v>#VALUE!</v>
      </c>
    </row>
    <row r="24" spans="1:16" x14ac:dyDescent="0.25">
      <c r="A24" s="1" t="e">
        <v>#VALUE!</v>
      </c>
      <c r="H24" s="1" t="e">
        <f t="shared" si="0"/>
        <v>#VALUE!</v>
      </c>
    </row>
    <row r="25" spans="1:16" x14ac:dyDescent="0.25">
      <c r="A25" s="1" t="e">
        <v>#VALUE!</v>
      </c>
      <c r="H25" s="1" t="e">
        <f t="shared" si="0"/>
        <v>#VALUE!</v>
      </c>
    </row>
    <row r="26" spans="1:16" x14ac:dyDescent="0.25">
      <c r="A26" s="1" t="e">
        <v>#VALUE!</v>
      </c>
      <c r="H26" s="1" t="e">
        <f t="shared" si="0"/>
        <v>#VALUE!</v>
      </c>
    </row>
    <row r="27" spans="1:16" x14ac:dyDescent="0.25">
      <c r="A27" s="1" t="e">
        <v>#VALUE!</v>
      </c>
      <c r="H27" s="1" t="e">
        <f t="shared" si="0"/>
        <v>#VALUE!</v>
      </c>
    </row>
    <row r="28" spans="1:16" x14ac:dyDescent="0.25">
      <c r="A28" s="1" t="e">
        <v>#VALUE!</v>
      </c>
      <c r="H28" s="1" t="e">
        <f t="shared" si="0"/>
        <v>#VALUE!</v>
      </c>
    </row>
    <row r="29" spans="1:16" x14ac:dyDescent="0.25">
      <c r="A29" s="1" t="e">
        <v>#VALUE!</v>
      </c>
      <c r="H29" s="1" t="e">
        <f t="shared" si="0"/>
        <v>#VALUE!</v>
      </c>
    </row>
    <row r="30" spans="1:16" x14ac:dyDescent="0.25">
      <c r="A30" s="1" t="e">
        <v>#VALUE!</v>
      </c>
      <c r="H30" s="1" t="e">
        <f t="shared" si="0"/>
        <v>#VALUE!</v>
      </c>
    </row>
    <row r="31" spans="1:16" x14ac:dyDescent="0.25">
      <c r="A31" s="1" t="e">
        <v>#VALUE!</v>
      </c>
      <c r="H31" s="1" t="e">
        <f t="shared" si="0"/>
        <v>#VALUE!</v>
      </c>
    </row>
    <row r="32" spans="1:16" x14ac:dyDescent="0.25">
      <c r="A32" s="1" t="e">
        <v>#VALUE!</v>
      </c>
      <c r="H32" s="1" t="e">
        <f t="shared" si="0"/>
        <v>#VALUE!</v>
      </c>
    </row>
    <row r="33" spans="1:8" x14ac:dyDescent="0.25">
      <c r="A33" s="1" t="e">
        <v>#VALUE!</v>
      </c>
      <c r="H33" s="1" t="e">
        <f t="shared" si="0"/>
        <v>#VALUE!</v>
      </c>
    </row>
    <row r="34" spans="1:8" x14ac:dyDescent="0.25">
      <c r="A34" s="1" t="e">
        <v>#VALUE!</v>
      </c>
      <c r="H34" s="1" t="e">
        <f t="shared" si="0"/>
        <v>#VALUE!</v>
      </c>
    </row>
    <row r="35" spans="1:8" x14ac:dyDescent="0.25">
      <c r="A35" s="1" t="e">
        <v>#VALUE!</v>
      </c>
      <c r="H35" s="1" t="e">
        <f t="shared" si="0"/>
        <v>#VALUE!</v>
      </c>
    </row>
    <row r="36" spans="1:8" x14ac:dyDescent="0.25">
      <c r="A36" s="1" t="e">
        <v>#VALUE!</v>
      </c>
      <c r="H36" s="1" t="e">
        <f t="shared" si="0"/>
        <v>#VALUE!</v>
      </c>
    </row>
    <row r="37" spans="1:8" x14ac:dyDescent="0.25">
      <c r="A37" s="1" t="e">
        <v>#VALUE!</v>
      </c>
      <c r="H37" s="1" t="e">
        <f t="shared" si="0"/>
        <v>#VALUE!</v>
      </c>
    </row>
    <row r="38" spans="1:8" x14ac:dyDescent="0.25">
      <c r="A38" s="1" t="e">
        <v>#VALUE!</v>
      </c>
      <c r="H38" s="1" t="e">
        <f t="shared" si="0"/>
        <v>#VALUE!</v>
      </c>
    </row>
    <row r="39" spans="1:8" x14ac:dyDescent="0.25">
      <c r="A39" s="1" t="e">
        <v>#VALUE!</v>
      </c>
      <c r="H39" s="1" t="e">
        <f t="shared" si="0"/>
        <v>#VALUE!</v>
      </c>
    </row>
    <row r="40" spans="1:8" x14ac:dyDescent="0.25">
      <c r="A40" s="1" t="e">
        <v>#VALUE!</v>
      </c>
      <c r="H40" s="1" t="e">
        <f t="shared" si="0"/>
        <v>#VALUE!</v>
      </c>
    </row>
    <row r="41" spans="1:8" x14ac:dyDescent="0.25">
      <c r="A41" s="1" t="e">
        <v>#VALUE!</v>
      </c>
      <c r="H41" s="1" t="e">
        <f t="shared" si="0"/>
        <v>#VALUE!</v>
      </c>
    </row>
    <row r="42" spans="1:8" x14ac:dyDescent="0.25">
      <c r="A42" s="1" t="e">
        <v>#VALUE!</v>
      </c>
      <c r="H42" s="1" t="e">
        <f t="shared" si="0"/>
        <v>#VALUE!</v>
      </c>
    </row>
    <row r="43" spans="1:8" x14ac:dyDescent="0.25">
      <c r="A43" s="1" t="e">
        <v>#VALUE!</v>
      </c>
      <c r="H43" s="1" t="e">
        <f t="shared" si="0"/>
        <v>#VALUE!</v>
      </c>
    </row>
    <row r="44" spans="1:8" x14ac:dyDescent="0.25">
      <c r="A44" s="1" t="e">
        <v>#VALUE!</v>
      </c>
      <c r="H44" s="1" t="e">
        <f t="shared" si="0"/>
        <v>#VALUE!</v>
      </c>
    </row>
    <row r="45" spans="1:8" x14ac:dyDescent="0.25">
      <c r="A45" s="1" t="e">
        <v>#VALUE!</v>
      </c>
      <c r="H45" s="1" t="e">
        <f t="shared" si="0"/>
        <v>#VALUE!</v>
      </c>
    </row>
    <row r="46" spans="1:8" x14ac:dyDescent="0.25">
      <c r="A46" s="1" t="e">
        <v>#VALUE!</v>
      </c>
      <c r="H46" s="1" t="e">
        <f t="shared" si="0"/>
        <v>#VALUE!</v>
      </c>
    </row>
    <row r="47" spans="1:8" x14ac:dyDescent="0.25">
      <c r="A47" s="1" t="e">
        <v>#VALUE!</v>
      </c>
      <c r="H47" s="1" t="e">
        <f t="shared" si="0"/>
        <v>#VALUE!</v>
      </c>
    </row>
    <row r="48" spans="1:8" x14ac:dyDescent="0.25">
      <c r="A48" s="1" t="e">
        <v>#VALUE!</v>
      </c>
      <c r="H48" s="1" t="e">
        <f t="shared" si="0"/>
        <v>#VALUE!</v>
      </c>
    </row>
    <row r="49" spans="1:8" x14ac:dyDescent="0.25">
      <c r="A49" s="1" t="e">
        <v>#VALUE!</v>
      </c>
      <c r="H49" s="1" t="e">
        <f t="shared" si="0"/>
        <v>#VALUE!</v>
      </c>
    </row>
    <row r="50" spans="1:8" x14ac:dyDescent="0.25">
      <c r="A50" s="1" t="e">
        <v>#VALUE!</v>
      </c>
      <c r="H50" s="1" t="e">
        <f t="shared" si="0"/>
        <v>#VALUE!</v>
      </c>
    </row>
    <row r="51" spans="1:8" x14ac:dyDescent="0.25">
      <c r="A51" s="1" t="e">
        <v>#VALUE!</v>
      </c>
      <c r="H51" s="1" t="e">
        <f t="shared" si="0"/>
        <v>#VALUE!</v>
      </c>
    </row>
    <row r="52" spans="1:8" x14ac:dyDescent="0.25">
      <c r="A52" s="1" t="e">
        <v>#VALUE!</v>
      </c>
      <c r="H52" s="1" t="e">
        <f t="shared" si="0"/>
        <v>#VALUE!</v>
      </c>
    </row>
    <row r="53" spans="1:8" x14ac:dyDescent="0.25">
      <c r="A53" s="1" t="e">
        <v>#VALUE!</v>
      </c>
      <c r="H53" s="1" t="e">
        <f t="shared" si="0"/>
        <v>#VALUE!</v>
      </c>
    </row>
    <row r="54" spans="1:8" x14ac:dyDescent="0.25">
      <c r="A54" s="1" t="e">
        <v>#VALUE!</v>
      </c>
      <c r="H54" s="1" t="e">
        <f t="shared" si="0"/>
        <v>#VALUE!</v>
      </c>
    </row>
    <row r="55" spans="1:8" x14ac:dyDescent="0.25">
      <c r="A55" s="1" t="e">
        <v>#VALUE!</v>
      </c>
      <c r="H55" s="1" t="e">
        <f t="shared" si="0"/>
        <v>#VALUE!</v>
      </c>
    </row>
    <row r="56" spans="1:8" x14ac:dyDescent="0.25">
      <c r="A56" s="1" t="e">
        <v>#VALUE!</v>
      </c>
      <c r="H56" s="1" t="e">
        <f t="shared" si="0"/>
        <v>#VALUE!</v>
      </c>
    </row>
    <row r="57" spans="1:8" x14ac:dyDescent="0.25">
      <c r="A57" s="1" t="e">
        <v>#VALUE!</v>
      </c>
      <c r="H57" s="1" t="e">
        <f t="shared" si="0"/>
        <v>#VALUE!</v>
      </c>
    </row>
    <row r="58" spans="1:8" x14ac:dyDescent="0.25">
      <c r="A58" s="1" t="e">
        <v>#VALUE!</v>
      </c>
      <c r="H58" s="1" t="e">
        <f t="shared" si="0"/>
        <v>#VALUE!</v>
      </c>
    </row>
    <row r="59" spans="1:8" x14ac:dyDescent="0.25">
      <c r="A59" s="1" t="e">
        <v>#VALUE!</v>
      </c>
      <c r="H59" s="1" t="e">
        <f t="shared" si="0"/>
        <v>#VALUE!</v>
      </c>
    </row>
    <row r="60" spans="1:8" x14ac:dyDescent="0.25">
      <c r="A60" s="1" t="e">
        <v>#VALUE!</v>
      </c>
      <c r="H60" s="1" t="e">
        <f t="shared" si="0"/>
        <v>#VALUE!</v>
      </c>
    </row>
    <row r="61" spans="1:8" x14ac:dyDescent="0.25">
      <c r="A61" s="1" t="e">
        <v>#VALUE!</v>
      </c>
      <c r="H61" s="1" t="e">
        <f t="shared" si="0"/>
        <v>#VALUE!</v>
      </c>
    </row>
    <row r="62" spans="1:8" x14ac:dyDescent="0.25">
      <c r="A62" s="1" t="e">
        <v>#VALUE!</v>
      </c>
      <c r="H62" s="1" t="e">
        <f t="shared" si="0"/>
        <v>#VALUE!</v>
      </c>
    </row>
    <row r="63" spans="1:8" x14ac:dyDescent="0.25">
      <c r="A63" s="1" t="e">
        <v>#VALUE!</v>
      </c>
      <c r="H63" s="1" t="e">
        <f t="shared" si="0"/>
        <v>#VALUE!</v>
      </c>
    </row>
    <row r="64" spans="1:8" x14ac:dyDescent="0.25">
      <c r="A64" s="1" t="e">
        <v>#VALUE!</v>
      </c>
      <c r="H64" s="1" t="e">
        <f t="shared" si="0"/>
        <v>#VALUE!</v>
      </c>
    </row>
    <row r="65" spans="1:8" x14ac:dyDescent="0.25">
      <c r="A65" s="1" t="e">
        <v>#VALUE!</v>
      </c>
      <c r="H65" s="1" t="e">
        <f t="shared" si="0"/>
        <v>#VALUE!</v>
      </c>
    </row>
    <row r="66" spans="1:8" x14ac:dyDescent="0.25">
      <c r="A66" s="1" t="e">
        <v>#VALUE!</v>
      </c>
      <c r="H66" s="1" t="e">
        <f t="shared" ref="H66:H129" si="1">LEFT(K66,(SEARCH("-",K66)-1))</f>
        <v>#VALUE!</v>
      </c>
    </row>
    <row r="67" spans="1:8" x14ac:dyDescent="0.25">
      <c r="A67" s="1" t="e">
        <v>#VALUE!</v>
      </c>
      <c r="H67" s="1" t="e">
        <f t="shared" si="1"/>
        <v>#VALUE!</v>
      </c>
    </row>
    <row r="68" spans="1:8" x14ac:dyDescent="0.25">
      <c r="A68" s="1" t="e">
        <v>#VALUE!</v>
      </c>
      <c r="H68" s="1" t="e">
        <f t="shared" si="1"/>
        <v>#VALUE!</v>
      </c>
    </row>
    <row r="69" spans="1:8" x14ac:dyDescent="0.25">
      <c r="A69" s="1" t="e">
        <v>#VALUE!</v>
      </c>
      <c r="H69" s="1" t="e">
        <f t="shared" si="1"/>
        <v>#VALUE!</v>
      </c>
    </row>
    <row r="70" spans="1:8" x14ac:dyDescent="0.25">
      <c r="A70" s="1" t="e">
        <v>#VALUE!</v>
      </c>
      <c r="H70" s="1" t="e">
        <f t="shared" si="1"/>
        <v>#VALUE!</v>
      </c>
    </row>
    <row r="71" spans="1:8" x14ac:dyDescent="0.25">
      <c r="A71" s="1" t="e">
        <v>#VALUE!</v>
      </c>
      <c r="H71" s="1" t="e">
        <f t="shared" si="1"/>
        <v>#VALUE!</v>
      </c>
    </row>
    <row r="72" spans="1:8" x14ac:dyDescent="0.25">
      <c r="A72" s="1" t="e">
        <v>#VALUE!</v>
      </c>
      <c r="H72" s="1" t="e">
        <f t="shared" si="1"/>
        <v>#VALUE!</v>
      </c>
    </row>
    <row r="73" spans="1:8" x14ac:dyDescent="0.25">
      <c r="A73" s="1" t="e">
        <v>#VALUE!</v>
      </c>
      <c r="H73" s="1" t="e">
        <f t="shared" si="1"/>
        <v>#VALUE!</v>
      </c>
    </row>
    <row r="74" spans="1:8" x14ac:dyDescent="0.25">
      <c r="A74" s="1" t="e">
        <v>#VALUE!</v>
      </c>
      <c r="H74" s="1" t="e">
        <f t="shared" si="1"/>
        <v>#VALUE!</v>
      </c>
    </row>
    <row r="75" spans="1:8" x14ac:dyDescent="0.25">
      <c r="A75" s="1" t="e">
        <v>#VALUE!</v>
      </c>
      <c r="H75" s="1" t="e">
        <f t="shared" si="1"/>
        <v>#VALUE!</v>
      </c>
    </row>
    <row r="76" spans="1:8" x14ac:dyDescent="0.25">
      <c r="A76" s="1" t="e">
        <v>#VALUE!</v>
      </c>
      <c r="H76" s="1" t="e">
        <f t="shared" si="1"/>
        <v>#VALUE!</v>
      </c>
    </row>
    <row r="77" spans="1:8" x14ac:dyDescent="0.25">
      <c r="A77" s="1" t="e">
        <v>#VALUE!</v>
      </c>
      <c r="H77" s="1" t="e">
        <f t="shared" si="1"/>
        <v>#VALUE!</v>
      </c>
    </row>
    <row r="78" spans="1:8" x14ac:dyDescent="0.25">
      <c r="A78" s="1" t="e">
        <v>#VALUE!</v>
      </c>
      <c r="H78" s="1" t="e">
        <f t="shared" si="1"/>
        <v>#VALUE!</v>
      </c>
    </row>
    <row r="79" spans="1:8" x14ac:dyDescent="0.25">
      <c r="A79" s="1" t="e">
        <v>#VALUE!</v>
      </c>
      <c r="H79" s="1" t="e">
        <f t="shared" si="1"/>
        <v>#VALUE!</v>
      </c>
    </row>
    <row r="80" spans="1:8" x14ac:dyDescent="0.25">
      <c r="A80" s="1" t="e">
        <v>#VALUE!</v>
      </c>
      <c r="H80" s="1" t="e">
        <f t="shared" si="1"/>
        <v>#VALUE!</v>
      </c>
    </row>
    <row r="81" spans="1:8" x14ac:dyDescent="0.25">
      <c r="A81" s="1" t="e">
        <v>#VALUE!</v>
      </c>
      <c r="H81" s="1" t="e">
        <f t="shared" si="1"/>
        <v>#VALUE!</v>
      </c>
    </row>
    <row r="82" spans="1:8" x14ac:dyDescent="0.25">
      <c r="A82" s="1" t="e">
        <v>#VALUE!</v>
      </c>
      <c r="H82" s="1" t="e">
        <f t="shared" si="1"/>
        <v>#VALUE!</v>
      </c>
    </row>
    <row r="83" spans="1:8" x14ac:dyDescent="0.25">
      <c r="A83" s="1" t="e">
        <v>#VALUE!</v>
      </c>
      <c r="H83" s="1" t="e">
        <f t="shared" si="1"/>
        <v>#VALUE!</v>
      </c>
    </row>
    <row r="84" spans="1:8" x14ac:dyDescent="0.25">
      <c r="A84" s="1" t="e">
        <v>#VALUE!</v>
      </c>
      <c r="H84" s="1" t="e">
        <f t="shared" si="1"/>
        <v>#VALUE!</v>
      </c>
    </row>
    <row r="85" spans="1:8" x14ac:dyDescent="0.25">
      <c r="A85" s="1" t="e">
        <v>#VALUE!</v>
      </c>
      <c r="H85" s="1" t="e">
        <f t="shared" si="1"/>
        <v>#VALUE!</v>
      </c>
    </row>
    <row r="86" spans="1:8" x14ac:dyDescent="0.25">
      <c r="A86" s="1" t="e">
        <v>#VALUE!</v>
      </c>
      <c r="H86" s="1" t="e">
        <f t="shared" si="1"/>
        <v>#VALUE!</v>
      </c>
    </row>
    <row r="87" spans="1:8" x14ac:dyDescent="0.25">
      <c r="A87" s="1" t="e">
        <v>#VALUE!</v>
      </c>
      <c r="H87" s="1" t="e">
        <f t="shared" si="1"/>
        <v>#VALUE!</v>
      </c>
    </row>
    <row r="88" spans="1:8" x14ac:dyDescent="0.25">
      <c r="A88" s="1" t="e">
        <v>#VALUE!</v>
      </c>
      <c r="H88" s="1" t="e">
        <f t="shared" si="1"/>
        <v>#VALUE!</v>
      </c>
    </row>
    <row r="89" spans="1:8" x14ac:dyDescent="0.25">
      <c r="A89" s="1" t="e">
        <v>#VALUE!</v>
      </c>
      <c r="H89" s="1" t="e">
        <f t="shared" si="1"/>
        <v>#VALUE!</v>
      </c>
    </row>
    <row r="90" spans="1:8" x14ac:dyDescent="0.25">
      <c r="A90" s="1" t="e">
        <v>#VALUE!</v>
      </c>
      <c r="H90" s="1" t="e">
        <f t="shared" si="1"/>
        <v>#VALUE!</v>
      </c>
    </row>
    <row r="91" spans="1:8" x14ac:dyDescent="0.25">
      <c r="A91" s="1" t="e">
        <v>#VALUE!</v>
      </c>
      <c r="H91" s="1" t="e">
        <f t="shared" si="1"/>
        <v>#VALUE!</v>
      </c>
    </row>
    <row r="92" spans="1:8" x14ac:dyDescent="0.25">
      <c r="A92" s="1" t="e">
        <v>#VALUE!</v>
      </c>
      <c r="H92" s="1" t="e">
        <f t="shared" si="1"/>
        <v>#VALUE!</v>
      </c>
    </row>
    <row r="93" spans="1:8" x14ac:dyDescent="0.25">
      <c r="A93" s="1" t="e">
        <v>#VALUE!</v>
      </c>
      <c r="H93" s="1" t="e">
        <f t="shared" si="1"/>
        <v>#VALUE!</v>
      </c>
    </row>
    <row r="94" spans="1:8" x14ac:dyDescent="0.25">
      <c r="A94" s="1" t="e">
        <v>#VALUE!</v>
      </c>
      <c r="H94" s="1" t="e">
        <f t="shared" si="1"/>
        <v>#VALUE!</v>
      </c>
    </row>
    <row r="95" spans="1:8" x14ac:dyDescent="0.25">
      <c r="A95" s="1" t="e">
        <v>#VALUE!</v>
      </c>
      <c r="H95" s="1" t="e">
        <f t="shared" si="1"/>
        <v>#VALUE!</v>
      </c>
    </row>
    <row r="96" spans="1:8" x14ac:dyDescent="0.25">
      <c r="A96" s="1" t="e">
        <v>#VALUE!</v>
      </c>
      <c r="H96" s="1" t="e">
        <f t="shared" si="1"/>
        <v>#VALUE!</v>
      </c>
    </row>
    <row r="97" spans="1:8" x14ac:dyDescent="0.25">
      <c r="A97" s="1" t="e">
        <v>#VALUE!</v>
      </c>
      <c r="H97" s="1" t="e">
        <f t="shared" si="1"/>
        <v>#VALUE!</v>
      </c>
    </row>
    <row r="98" spans="1:8" x14ac:dyDescent="0.25">
      <c r="A98" s="1" t="e">
        <v>#VALUE!</v>
      </c>
      <c r="H98" s="1" t="e">
        <f t="shared" si="1"/>
        <v>#VALUE!</v>
      </c>
    </row>
    <row r="99" spans="1:8" x14ac:dyDescent="0.25">
      <c r="A99" s="1" t="e">
        <v>#VALUE!</v>
      </c>
      <c r="H99" s="1" t="e">
        <f t="shared" si="1"/>
        <v>#VALUE!</v>
      </c>
    </row>
    <row r="100" spans="1:8" x14ac:dyDescent="0.25">
      <c r="A100" s="1" t="e">
        <v>#VALUE!</v>
      </c>
      <c r="H100" s="1" t="e">
        <f t="shared" si="1"/>
        <v>#VALUE!</v>
      </c>
    </row>
    <row r="101" spans="1:8" x14ac:dyDescent="0.25">
      <c r="A101" s="1" t="e">
        <v>#VALUE!</v>
      </c>
      <c r="H101" s="1" t="e">
        <f t="shared" si="1"/>
        <v>#VALUE!</v>
      </c>
    </row>
    <row r="102" spans="1:8" x14ac:dyDescent="0.25">
      <c r="A102" s="1" t="e">
        <v>#VALUE!</v>
      </c>
      <c r="H102" s="1" t="e">
        <f t="shared" si="1"/>
        <v>#VALUE!</v>
      </c>
    </row>
    <row r="103" spans="1:8" x14ac:dyDescent="0.25">
      <c r="A103" s="1" t="e">
        <v>#VALUE!</v>
      </c>
      <c r="H103" s="1" t="e">
        <f t="shared" si="1"/>
        <v>#VALUE!</v>
      </c>
    </row>
    <row r="104" spans="1:8" x14ac:dyDescent="0.25">
      <c r="A104" s="1" t="e">
        <v>#VALUE!</v>
      </c>
      <c r="H104" s="1" t="e">
        <f t="shared" si="1"/>
        <v>#VALUE!</v>
      </c>
    </row>
    <row r="105" spans="1:8" x14ac:dyDescent="0.25">
      <c r="A105" s="1" t="e">
        <v>#VALUE!</v>
      </c>
      <c r="H105" s="1" t="e">
        <f t="shared" si="1"/>
        <v>#VALUE!</v>
      </c>
    </row>
    <row r="106" spans="1:8" x14ac:dyDescent="0.25">
      <c r="A106" s="1" t="e">
        <v>#VALUE!</v>
      </c>
      <c r="H106" s="1" t="e">
        <f t="shared" si="1"/>
        <v>#VALUE!</v>
      </c>
    </row>
    <row r="107" spans="1:8" x14ac:dyDescent="0.25">
      <c r="A107" s="1" t="e">
        <v>#VALUE!</v>
      </c>
      <c r="H107" s="1" t="e">
        <f t="shared" si="1"/>
        <v>#VALUE!</v>
      </c>
    </row>
    <row r="108" spans="1:8" x14ac:dyDescent="0.25">
      <c r="A108" s="1" t="e">
        <v>#VALUE!</v>
      </c>
      <c r="H108" s="1" t="e">
        <f t="shared" si="1"/>
        <v>#VALUE!</v>
      </c>
    </row>
    <row r="109" spans="1:8" x14ac:dyDescent="0.25">
      <c r="A109" s="1" t="e">
        <v>#VALUE!</v>
      </c>
      <c r="H109" s="1" t="e">
        <f t="shared" si="1"/>
        <v>#VALUE!</v>
      </c>
    </row>
    <row r="110" spans="1:8" x14ac:dyDescent="0.25">
      <c r="A110" s="1" t="e">
        <v>#VALUE!</v>
      </c>
      <c r="H110" s="1" t="e">
        <f t="shared" si="1"/>
        <v>#VALUE!</v>
      </c>
    </row>
    <row r="111" spans="1:8" x14ac:dyDescent="0.25">
      <c r="A111" s="1" t="e">
        <v>#VALUE!</v>
      </c>
      <c r="H111" s="1" t="e">
        <f t="shared" si="1"/>
        <v>#VALUE!</v>
      </c>
    </row>
    <row r="112" spans="1:8" x14ac:dyDescent="0.25">
      <c r="A112" s="1" t="e">
        <v>#VALUE!</v>
      </c>
      <c r="H112" s="1" t="e">
        <f t="shared" si="1"/>
        <v>#VALUE!</v>
      </c>
    </row>
    <row r="113" spans="1:8" x14ac:dyDescent="0.25">
      <c r="A113" s="1" t="e">
        <v>#VALUE!</v>
      </c>
      <c r="H113" s="1" t="e">
        <f t="shared" si="1"/>
        <v>#VALUE!</v>
      </c>
    </row>
    <row r="114" spans="1:8" x14ac:dyDescent="0.25">
      <c r="A114" s="1" t="e">
        <v>#VALUE!</v>
      </c>
      <c r="H114" s="1" t="e">
        <f t="shared" si="1"/>
        <v>#VALUE!</v>
      </c>
    </row>
    <row r="115" spans="1:8" x14ac:dyDescent="0.25">
      <c r="A115" s="1" t="e">
        <v>#VALUE!</v>
      </c>
      <c r="H115" s="1" t="e">
        <f t="shared" si="1"/>
        <v>#VALUE!</v>
      </c>
    </row>
    <row r="116" spans="1:8" x14ac:dyDescent="0.25">
      <c r="A116" s="1" t="e">
        <v>#VALUE!</v>
      </c>
      <c r="H116" s="1" t="e">
        <f t="shared" si="1"/>
        <v>#VALUE!</v>
      </c>
    </row>
    <row r="117" spans="1:8" x14ac:dyDescent="0.25">
      <c r="A117" s="1" t="e">
        <v>#VALUE!</v>
      </c>
      <c r="H117" s="1" t="e">
        <f t="shared" si="1"/>
        <v>#VALUE!</v>
      </c>
    </row>
    <row r="118" spans="1:8" x14ac:dyDescent="0.25">
      <c r="A118" s="1" t="e">
        <v>#VALUE!</v>
      </c>
      <c r="H118" s="1" t="e">
        <f t="shared" si="1"/>
        <v>#VALUE!</v>
      </c>
    </row>
    <row r="119" spans="1:8" x14ac:dyDescent="0.25">
      <c r="A119" s="1" t="e">
        <v>#VALUE!</v>
      </c>
      <c r="H119" s="1" t="e">
        <f t="shared" si="1"/>
        <v>#VALUE!</v>
      </c>
    </row>
    <row r="120" spans="1:8" x14ac:dyDescent="0.25">
      <c r="A120" s="1" t="e">
        <v>#VALUE!</v>
      </c>
      <c r="H120" s="1" t="e">
        <f t="shared" si="1"/>
        <v>#VALUE!</v>
      </c>
    </row>
    <row r="121" spans="1:8" x14ac:dyDescent="0.25">
      <c r="A121" s="1" t="e">
        <v>#VALUE!</v>
      </c>
      <c r="H121" s="1" t="e">
        <f t="shared" si="1"/>
        <v>#VALUE!</v>
      </c>
    </row>
    <row r="122" spans="1:8" x14ac:dyDescent="0.25">
      <c r="A122" s="1" t="e">
        <v>#VALUE!</v>
      </c>
      <c r="H122" s="1" t="e">
        <f t="shared" si="1"/>
        <v>#VALUE!</v>
      </c>
    </row>
    <row r="123" spans="1:8" x14ac:dyDescent="0.25">
      <c r="A123" s="1" t="e">
        <v>#VALUE!</v>
      </c>
      <c r="H123" s="1" t="e">
        <f t="shared" si="1"/>
        <v>#VALUE!</v>
      </c>
    </row>
    <row r="124" spans="1:8" x14ac:dyDescent="0.25">
      <c r="A124" s="1" t="e">
        <v>#VALUE!</v>
      </c>
      <c r="H124" s="1" t="e">
        <f t="shared" si="1"/>
        <v>#VALUE!</v>
      </c>
    </row>
    <row r="125" spans="1:8" x14ac:dyDescent="0.25">
      <c r="A125" s="1" t="e">
        <v>#VALUE!</v>
      </c>
      <c r="H125" s="1" t="e">
        <f t="shared" si="1"/>
        <v>#VALUE!</v>
      </c>
    </row>
    <row r="126" spans="1:8" x14ac:dyDescent="0.25">
      <c r="A126" s="1" t="e">
        <v>#VALUE!</v>
      </c>
      <c r="H126" s="1" t="e">
        <f t="shared" si="1"/>
        <v>#VALUE!</v>
      </c>
    </row>
    <row r="127" spans="1:8" x14ac:dyDescent="0.25">
      <c r="A127" s="1" t="e">
        <v>#VALUE!</v>
      </c>
      <c r="H127" s="1" t="e">
        <f t="shared" si="1"/>
        <v>#VALUE!</v>
      </c>
    </row>
    <row r="128" spans="1:8" x14ac:dyDescent="0.25">
      <c r="A128" s="1" t="e">
        <v>#VALUE!</v>
      </c>
      <c r="H128" s="1" t="e">
        <f t="shared" si="1"/>
        <v>#VALUE!</v>
      </c>
    </row>
    <row r="129" spans="1:8" x14ac:dyDescent="0.25">
      <c r="A129" s="1" t="e">
        <v>#VALUE!</v>
      </c>
      <c r="H129" s="1" t="e">
        <f t="shared" si="1"/>
        <v>#VALUE!</v>
      </c>
    </row>
    <row r="130" spans="1:8" x14ac:dyDescent="0.25">
      <c r="A130" s="1" t="e">
        <v>#VALUE!</v>
      </c>
      <c r="H130" s="1" t="e">
        <f t="shared" ref="H130:H148" si="2">LEFT(K130,(SEARCH("-",K130)-1))</f>
        <v>#VALUE!</v>
      </c>
    </row>
    <row r="131" spans="1:8" x14ac:dyDescent="0.25">
      <c r="A131" s="1" t="e">
        <v>#VALUE!</v>
      </c>
      <c r="H131" s="1" t="e">
        <f t="shared" si="2"/>
        <v>#VALUE!</v>
      </c>
    </row>
    <row r="132" spans="1:8" x14ac:dyDescent="0.25">
      <c r="A132" s="1" t="e">
        <v>#VALUE!</v>
      </c>
      <c r="H132" s="1" t="e">
        <f t="shared" si="2"/>
        <v>#VALUE!</v>
      </c>
    </row>
    <row r="133" spans="1:8" x14ac:dyDescent="0.25">
      <c r="A133" s="1" t="e">
        <v>#VALUE!</v>
      </c>
      <c r="H133" s="1" t="e">
        <f t="shared" si="2"/>
        <v>#VALUE!</v>
      </c>
    </row>
    <row r="134" spans="1:8" x14ac:dyDescent="0.25">
      <c r="A134" s="1" t="e">
        <v>#VALUE!</v>
      </c>
      <c r="H134" s="1" t="e">
        <f t="shared" si="2"/>
        <v>#VALUE!</v>
      </c>
    </row>
    <row r="135" spans="1:8" x14ac:dyDescent="0.25">
      <c r="A135" s="1" t="e">
        <v>#VALUE!</v>
      </c>
      <c r="H135" s="1" t="e">
        <f t="shared" si="2"/>
        <v>#VALUE!</v>
      </c>
    </row>
    <row r="136" spans="1:8" x14ac:dyDescent="0.25">
      <c r="A136" s="1" t="e">
        <v>#VALUE!</v>
      </c>
      <c r="H136" s="1" t="e">
        <f t="shared" si="2"/>
        <v>#VALUE!</v>
      </c>
    </row>
    <row r="137" spans="1:8" x14ac:dyDescent="0.25">
      <c r="A137" s="1" t="e">
        <v>#VALUE!</v>
      </c>
      <c r="H137" s="1" t="e">
        <f t="shared" si="2"/>
        <v>#VALUE!</v>
      </c>
    </row>
    <row r="138" spans="1:8" x14ac:dyDescent="0.25">
      <c r="A138" s="1" t="e">
        <v>#VALUE!</v>
      </c>
      <c r="H138" s="1" t="e">
        <f t="shared" si="2"/>
        <v>#VALUE!</v>
      </c>
    </row>
    <row r="139" spans="1:8" x14ac:dyDescent="0.25">
      <c r="A139" s="1" t="e">
        <v>#VALUE!</v>
      </c>
      <c r="H139" s="1" t="e">
        <f t="shared" si="2"/>
        <v>#VALUE!</v>
      </c>
    </row>
    <row r="140" spans="1:8" x14ac:dyDescent="0.25">
      <c r="A140" s="1" t="e">
        <v>#VALUE!</v>
      </c>
      <c r="H140" s="1" t="e">
        <f t="shared" si="2"/>
        <v>#VALUE!</v>
      </c>
    </row>
    <row r="141" spans="1:8" x14ac:dyDescent="0.25">
      <c r="A141" s="1" t="e">
        <v>#VALUE!</v>
      </c>
      <c r="H141" s="1" t="e">
        <f t="shared" si="2"/>
        <v>#VALUE!</v>
      </c>
    </row>
    <row r="142" spans="1:8" x14ac:dyDescent="0.25">
      <c r="A142" s="1" t="e">
        <v>#VALUE!</v>
      </c>
      <c r="H142" s="1" t="e">
        <f t="shared" si="2"/>
        <v>#VALUE!</v>
      </c>
    </row>
    <row r="143" spans="1:8" x14ac:dyDescent="0.25">
      <c r="A143" s="1" t="e">
        <v>#VALUE!</v>
      </c>
      <c r="H143" s="1" t="e">
        <f t="shared" si="2"/>
        <v>#VALUE!</v>
      </c>
    </row>
    <row r="144" spans="1:8" x14ac:dyDescent="0.25">
      <c r="A144" s="1" t="e">
        <v>#VALUE!</v>
      </c>
      <c r="H144" s="1" t="e">
        <f t="shared" si="2"/>
        <v>#VALUE!</v>
      </c>
    </row>
    <row r="145" spans="1:8" x14ac:dyDescent="0.25">
      <c r="A145" s="1" t="e">
        <v>#VALUE!</v>
      </c>
      <c r="H145" s="1" t="e">
        <f t="shared" si="2"/>
        <v>#VALUE!</v>
      </c>
    </row>
    <row r="146" spans="1:8" x14ac:dyDescent="0.25">
      <c r="A146" s="1" t="e">
        <v>#VALUE!</v>
      </c>
      <c r="H146" s="1" t="e">
        <f t="shared" si="2"/>
        <v>#VALUE!</v>
      </c>
    </row>
    <row r="147" spans="1:8" x14ac:dyDescent="0.25">
      <c r="A147" s="1" t="e">
        <v>#VALUE!</v>
      </c>
      <c r="H147" s="1" t="e">
        <f t="shared" si="2"/>
        <v>#VALUE!</v>
      </c>
    </row>
    <row r="148" spans="1:8" x14ac:dyDescent="0.25">
      <c r="A148" s="1" t="e">
        <v>#VALUE!</v>
      </c>
      <c r="H148" s="1" t="e">
        <f t="shared" si="2"/>
        <v>#VALUE!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8798F-F3A3-42C1-A1FC-D3E00BCEFC6F}">
  <sheetPr codeName="Foglio7"/>
  <dimension ref="A1:P225"/>
  <sheetViews>
    <sheetView workbookViewId="0">
      <selection sqref="A1:XFD1048576"/>
    </sheetView>
  </sheetViews>
  <sheetFormatPr defaultRowHeight="15" x14ac:dyDescent="0.25"/>
  <cols>
    <col min="1" max="1" width="23.85546875" bestFit="1" customWidth="1"/>
    <col min="4" max="4" width="23.28515625" bestFit="1" customWidth="1"/>
    <col min="5" max="5" width="18.42578125" bestFit="1" customWidth="1"/>
    <col min="6" max="6" width="15.140625" bestFit="1" customWidth="1"/>
    <col min="8" max="8" width="9.140625" style="1"/>
    <col min="9" max="9" width="18.42578125" style="1" bestFit="1" customWidth="1"/>
    <col min="13" max="13" width="23.28515625" style="1" bestFit="1" customWidth="1"/>
    <col min="14" max="14" width="18.42578125" style="1" bestFit="1" customWidth="1"/>
  </cols>
  <sheetData>
    <row r="1" spans="1:16" s="1" customFormat="1" x14ac:dyDescent="0.25">
      <c r="D1" s="135" t="s">
        <v>112</v>
      </c>
      <c r="E1" t="s">
        <v>144</v>
      </c>
      <c r="F1"/>
      <c r="I1" s="1" t="s">
        <v>144</v>
      </c>
      <c r="M1" t="s">
        <v>112</v>
      </c>
      <c r="N1" t="s">
        <v>144</v>
      </c>
    </row>
    <row r="2" spans="1:16" s="1" customFormat="1" x14ac:dyDescent="0.25">
      <c r="A2" s="54"/>
      <c r="B2" s="55"/>
      <c r="D2" s="136" t="s">
        <v>123</v>
      </c>
      <c r="E2" s="137"/>
      <c r="F2"/>
      <c r="G2"/>
      <c r="H2" s="1">
        <v>11796</v>
      </c>
      <c r="M2" t="s">
        <v>123</v>
      </c>
      <c r="N2"/>
      <c r="P2" s="1" t="str">
        <f>LEFT(M2,SEARCH("-",M2)-1)</f>
        <v>11796</v>
      </c>
    </row>
    <row r="3" spans="1:16" s="1" customFormat="1" x14ac:dyDescent="0.25">
      <c r="A3" s="56"/>
      <c r="B3" s="57"/>
      <c r="D3" s="136" t="s">
        <v>141</v>
      </c>
      <c r="E3" s="137">
        <v>13</v>
      </c>
      <c r="F3"/>
      <c r="G3"/>
      <c r="H3" s="1">
        <v>12059</v>
      </c>
      <c r="I3" s="1">
        <v>13</v>
      </c>
      <c r="M3" t="s">
        <v>141</v>
      </c>
      <c r="N3">
        <v>13</v>
      </c>
      <c r="P3" s="1" t="str">
        <f t="shared" ref="P3:P66" si="0">LEFT(M3,SEARCH("-",M3)-1)</f>
        <v>12059</v>
      </c>
    </row>
    <row r="4" spans="1:16" x14ac:dyDescent="0.25">
      <c r="A4" s="56"/>
      <c r="B4" s="57"/>
      <c r="D4" s="136" t="s">
        <v>143</v>
      </c>
      <c r="E4" s="137">
        <v>10</v>
      </c>
      <c r="H4" s="1">
        <v>12271</v>
      </c>
      <c r="I4" s="1">
        <v>10</v>
      </c>
      <c r="M4" t="s">
        <v>143</v>
      </c>
      <c r="N4">
        <v>10</v>
      </c>
      <c r="P4" s="1" t="str">
        <f t="shared" si="0"/>
        <v>12271</v>
      </c>
    </row>
    <row r="5" spans="1:16" x14ac:dyDescent="0.25">
      <c r="A5" s="56"/>
      <c r="B5" s="57"/>
      <c r="D5" s="136" t="s">
        <v>136</v>
      </c>
      <c r="E5" s="137">
        <v>24</v>
      </c>
      <c r="H5" s="1">
        <v>1265</v>
      </c>
      <c r="I5" s="1">
        <v>24</v>
      </c>
      <c r="M5" t="s">
        <v>136</v>
      </c>
      <c r="N5">
        <v>24</v>
      </c>
      <c r="P5" s="1" t="str">
        <f t="shared" si="0"/>
        <v>1265</v>
      </c>
    </row>
    <row r="6" spans="1:16" x14ac:dyDescent="0.25">
      <c r="A6" s="56"/>
      <c r="B6" s="57"/>
      <c r="D6" s="136" t="s">
        <v>124</v>
      </c>
      <c r="E6" s="137"/>
      <c r="H6" s="1">
        <v>12899</v>
      </c>
      <c r="M6" t="s">
        <v>124</v>
      </c>
      <c r="N6"/>
      <c r="P6" s="1" t="str">
        <f t="shared" si="0"/>
        <v>12899</v>
      </c>
    </row>
    <row r="7" spans="1:16" x14ac:dyDescent="0.25">
      <c r="A7" s="56"/>
      <c r="B7" s="59"/>
      <c r="D7" s="136" t="s">
        <v>166</v>
      </c>
      <c r="E7" s="137"/>
      <c r="H7" s="1">
        <v>14010</v>
      </c>
      <c r="M7" t="s">
        <v>166</v>
      </c>
      <c r="N7"/>
      <c r="P7" s="1" t="str">
        <f t="shared" si="0"/>
        <v>14010</v>
      </c>
    </row>
    <row r="8" spans="1:16" x14ac:dyDescent="0.25">
      <c r="A8" s="58"/>
      <c r="B8" s="59"/>
      <c r="D8" s="136" t="s">
        <v>125</v>
      </c>
      <c r="E8" s="137">
        <v>2</v>
      </c>
      <c r="H8" s="1">
        <v>14825</v>
      </c>
      <c r="I8" s="1">
        <v>2</v>
      </c>
      <c r="M8" t="s">
        <v>125</v>
      </c>
      <c r="N8">
        <v>2</v>
      </c>
      <c r="P8" s="1" t="str">
        <f t="shared" si="0"/>
        <v>14825</v>
      </c>
    </row>
    <row r="9" spans="1:16" x14ac:dyDescent="0.25">
      <c r="A9" s="58"/>
      <c r="B9" s="59"/>
      <c r="D9" s="136" t="s">
        <v>307</v>
      </c>
      <c r="E9" s="137">
        <v>34</v>
      </c>
      <c r="H9" s="1">
        <v>15733</v>
      </c>
      <c r="I9" s="1">
        <v>34</v>
      </c>
      <c r="M9" t="s">
        <v>307</v>
      </c>
      <c r="N9">
        <v>34</v>
      </c>
      <c r="P9" s="1" t="str">
        <f t="shared" si="0"/>
        <v>15733</v>
      </c>
    </row>
    <row r="10" spans="1:16" x14ac:dyDescent="0.25">
      <c r="A10" s="58"/>
      <c r="B10" s="59"/>
      <c r="D10" s="136" t="s">
        <v>304</v>
      </c>
      <c r="E10" s="137"/>
      <c r="H10" s="1">
        <v>16037</v>
      </c>
      <c r="M10" t="s">
        <v>304</v>
      </c>
      <c r="N10"/>
      <c r="P10" s="1" t="str">
        <f t="shared" si="0"/>
        <v>16037</v>
      </c>
    </row>
    <row r="11" spans="1:16" x14ac:dyDescent="0.25">
      <c r="A11" s="58"/>
      <c r="B11" s="61"/>
      <c r="D11" s="136" t="s">
        <v>259</v>
      </c>
      <c r="E11" s="137"/>
      <c r="H11" s="1">
        <v>16351</v>
      </c>
      <c r="M11" t="s">
        <v>259</v>
      </c>
      <c r="N11"/>
      <c r="P11" s="1" t="str">
        <f t="shared" si="0"/>
        <v>16351</v>
      </c>
    </row>
    <row r="12" spans="1:16" x14ac:dyDescent="0.25">
      <c r="A12" s="58"/>
      <c r="B12" s="61"/>
      <c r="D12" s="136" t="s">
        <v>299</v>
      </c>
      <c r="E12" s="137">
        <v>24</v>
      </c>
      <c r="H12" s="1">
        <v>16723</v>
      </c>
      <c r="I12" s="1">
        <v>24</v>
      </c>
      <c r="M12" t="s">
        <v>299</v>
      </c>
      <c r="N12">
        <v>24</v>
      </c>
      <c r="P12" s="1" t="str">
        <f t="shared" si="0"/>
        <v>16723</v>
      </c>
    </row>
    <row r="13" spans="1:16" x14ac:dyDescent="0.25">
      <c r="A13" s="58"/>
      <c r="B13" s="61"/>
      <c r="D13" s="136" t="s">
        <v>308</v>
      </c>
      <c r="E13" s="137">
        <v>3</v>
      </c>
      <c r="H13" s="1">
        <v>17019</v>
      </c>
      <c r="I13" s="1">
        <v>3</v>
      </c>
      <c r="M13" t="s">
        <v>308</v>
      </c>
      <c r="N13">
        <v>3</v>
      </c>
      <c r="P13" s="1" t="str">
        <f t="shared" si="0"/>
        <v>17019</v>
      </c>
    </row>
    <row r="14" spans="1:16" x14ac:dyDescent="0.25">
      <c r="A14" s="58"/>
      <c r="B14" s="61"/>
      <c r="D14" s="136" t="s">
        <v>164</v>
      </c>
      <c r="E14" s="137"/>
      <c r="H14" s="1">
        <v>1755</v>
      </c>
      <c r="M14" t="s">
        <v>164</v>
      </c>
      <c r="N14"/>
      <c r="P14" s="1" t="str">
        <f t="shared" si="0"/>
        <v>1755</v>
      </c>
    </row>
    <row r="15" spans="1:16" x14ac:dyDescent="0.25">
      <c r="A15" s="58"/>
      <c r="B15" s="61"/>
      <c r="D15" s="136" t="s">
        <v>165</v>
      </c>
      <c r="E15" s="137"/>
      <c r="H15" s="1">
        <v>1971</v>
      </c>
      <c r="M15" t="s">
        <v>165</v>
      </c>
      <c r="N15"/>
      <c r="P15" s="1" t="str">
        <f t="shared" si="0"/>
        <v>1971</v>
      </c>
    </row>
    <row r="16" spans="1:16" x14ac:dyDescent="0.25">
      <c r="A16" s="58"/>
      <c r="B16" s="61"/>
      <c r="D16" s="136" t="s">
        <v>214</v>
      </c>
      <c r="E16" s="137">
        <v>6</v>
      </c>
      <c r="H16" s="1">
        <v>1984</v>
      </c>
      <c r="I16" s="1">
        <v>6</v>
      </c>
      <c r="M16" t="s">
        <v>214</v>
      </c>
      <c r="N16">
        <v>6</v>
      </c>
      <c r="P16" s="1" t="str">
        <f t="shared" si="0"/>
        <v>1984</v>
      </c>
    </row>
    <row r="17" spans="1:16" x14ac:dyDescent="0.25">
      <c r="A17" s="58"/>
      <c r="B17" s="61"/>
      <c r="D17" s="136" t="s">
        <v>208</v>
      </c>
      <c r="E17" s="137">
        <v>16</v>
      </c>
      <c r="H17" s="1">
        <v>3503</v>
      </c>
      <c r="I17" s="1">
        <v>16</v>
      </c>
      <c r="M17" t="s">
        <v>208</v>
      </c>
      <c r="N17">
        <v>16</v>
      </c>
      <c r="P17" s="1" t="str">
        <f t="shared" si="0"/>
        <v>3503</v>
      </c>
    </row>
    <row r="18" spans="1:16" x14ac:dyDescent="0.25">
      <c r="A18" s="58"/>
      <c r="B18" s="61"/>
      <c r="D18" s="136" t="s">
        <v>137</v>
      </c>
      <c r="E18" s="137">
        <v>28</v>
      </c>
      <c r="H18" s="1">
        <v>3534</v>
      </c>
      <c r="I18" s="1">
        <v>28</v>
      </c>
      <c r="M18" t="s">
        <v>137</v>
      </c>
      <c r="N18">
        <v>28</v>
      </c>
      <c r="P18" s="1" t="str">
        <f t="shared" si="0"/>
        <v>3534</v>
      </c>
    </row>
    <row r="19" spans="1:16" x14ac:dyDescent="0.25">
      <c r="A19" s="58"/>
      <c r="B19" s="61"/>
      <c r="D19" s="136" t="s">
        <v>138</v>
      </c>
      <c r="E19" s="137">
        <v>36</v>
      </c>
      <c r="H19" s="1">
        <v>3591</v>
      </c>
      <c r="I19" s="1">
        <v>36</v>
      </c>
      <c r="M19" t="s">
        <v>138</v>
      </c>
      <c r="N19">
        <v>36</v>
      </c>
      <c r="P19" s="1" t="str">
        <f t="shared" si="0"/>
        <v>3591</v>
      </c>
    </row>
    <row r="20" spans="1:16" x14ac:dyDescent="0.25">
      <c r="A20" s="58"/>
      <c r="B20" s="61"/>
      <c r="D20" s="136" t="s">
        <v>139</v>
      </c>
      <c r="E20" s="137">
        <v>37</v>
      </c>
      <c r="H20" s="1">
        <v>3680</v>
      </c>
      <c r="I20" s="1">
        <v>37</v>
      </c>
      <c r="M20" t="s">
        <v>139</v>
      </c>
      <c r="N20">
        <v>37</v>
      </c>
      <c r="P20" s="1" t="str">
        <f t="shared" si="0"/>
        <v>3680</v>
      </c>
    </row>
    <row r="21" spans="1:16" x14ac:dyDescent="0.25">
      <c r="A21" s="58"/>
      <c r="B21" s="61"/>
      <c r="D21" s="136" t="s">
        <v>227</v>
      </c>
      <c r="E21" s="137"/>
      <c r="H21" s="1">
        <v>4518</v>
      </c>
      <c r="M21" t="s">
        <v>227</v>
      </c>
      <c r="N21"/>
      <c r="P21" s="1" t="str">
        <f t="shared" si="0"/>
        <v>4518</v>
      </c>
    </row>
    <row r="22" spans="1:16" x14ac:dyDescent="0.25">
      <c r="A22" s="60"/>
      <c r="B22" s="61"/>
      <c r="D22" s="136" t="s">
        <v>118</v>
      </c>
      <c r="E22" s="137"/>
      <c r="H22" s="1">
        <v>5641</v>
      </c>
      <c r="M22" t="s">
        <v>118</v>
      </c>
      <c r="N22"/>
      <c r="P22" s="1" t="str">
        <f t="shared" si="0"/>
        <v>5641</v>
      </c>
    </row>
    <row r="23" spans="1:16" x14ac:dyDescent="0.25">
      <c r="A23" s="60"/>
      <c r="B23" s="61"/>
      <c r="D23" s="136" t="s">
        <v>119</v>
      </c>
      <c r="E23" s="137">
        <v>2</v>
      </c>
      <c r="H23" s="1">
        <v>8364</v>
      </c>
      <c r="I23" s="1">
        <v>2</v>
      </c>
      <c r="M23" t="s">
        <v>119</v>
      </c>
      <c r="N23">
        <v>2</v>
      </c>
      <c r="P23" s="1" t="str">
        <f t="shared" si="0"/>
        <v>8364</v>
      </c>
    </row>
    <row r="24" spans="1:16" x14ac:dyDescent="0.25">
      <c r="A24" s="60"/>
      <c r="B24" s="61"/>
      <c r="D24" s="136" t="s">
        <v>120</v>
      </c>
      <c r="E24" s="137"/>
      <c r="H24" s="1">
        <v>8428</v>
      </c>
      <c r="M24" t="s">
        <v>120</v>
      </c>
      <c r="N24"/>
      <c r="P24" s="1" t="str">
        <f t="shared" si="0"/>
        <v>8428</v>
      </c>
    </row>
    <row r="25" spans="1:16" x14ac:dyDescent="0.25">
      <c r="A25" s="60"/>
      <c r="B25" s="61"/>
      <c r="D25" s="136" t="s">
        <v>121</v>
      </c>
      <c r="E25" s="137"/>
      <c r="H25" s="1">
        <v>8453</v>
      </c>
      <c r="M25" t="s">
        <v>121</v>
      </c>
      <c r="N25"/>
      <c r="P25" s="1" t="str">
        <f t="shared" si="0"/>
        <v>8453</v>
      </c>
    </row>
    <row r="26" spans="1:16" x14ac:dyDescent="0.25">
      <c r="A26" s="60"/>
      <c r="B26" s="61"/>
      <c r="D26" s="136" t="s">
        <v>122</v>
      </c>
      <c r="E26" s="137"/>
      <c r="H26" s="1">
        <v>8601</v>
      </c>
      <c r="M26" t="s">
        <v>122</v>
      </c>
      <c r="N26"/>
      <c r="P26" s="1" t="str">
        <f t="shared" si="0"/>
        <v>8601</v>
      </c>
    </row>
    <row r="27" spans="1:16" x14ac:dyDescent="0.25">
      <c r="A27" s="60"/>
      <c r="B27" s="61"/>
      <c r="D27" s="136" t="s">
        <v>140</v>
      </c>
      <c r="E27" s="137">
        <v>61</v>
      </c>
      <c r="H27" s="1">
        <v>9226</v>
      </c>
      <c r="I27" s="1">
        <v>61</v>
      </c>
      <c r="M27" t="s">
        <v>140</v>
      </c>
      <c r="N27">
        <v>61</v>
      </c>
      <c r="P27" s="1" t="str">
        <f t="shared" si="0"/>
        <v>9226</v>
      </c>
    </row>
    <row r="28" spans="1:16" x14ac:dyDescent="0.25">
      <c r="A28" s="60"/>
      <c r="B28" s="61"/>
      <c r="D28" s="136" t="s">
        <v>311</v>
      </c>
      <c r="E28" s="137"/>
      <c r="H28" s="1" t="e">
        <v>#VALUE!</v>
      </c>
      <c r="M28" t="s">
        <v>311</v>
      </c>
      <c r="N28"/>
      <c r="P28" s="1" t="e">
        <f t="shared" si="0"/>
        <v>#VALUE!</v>
      </c>
    </row>
    <row r="29" spans="1:16" x14ac:dyDescent="0.25">
      <c r="A29" s="60"/>
      <c r="B29" s="61"/>
      <c r="D29" s="136" t="s">
        <v>113</v>
      </c>
      <c r="E29" s="137">
        <v>296</v>
      </c>
      <c r="H29" s="1" t="e">
        <v>#VALUE!</v>
      </c>
      <c r="I29" s="1">
        <v>296</v>
      </c>
      <c r="M29" t="s">
        <v>113</v>
      </c>
      <c r="N29">
        <v>296</v>
      </c>
      <c r="P29" s="1" t="e">
        <f t="shared" si="0"/>
        <v>#VALUE!</v>
      </c>
    </row>
    <row r="30" spans="1:16" x14ac:dyDescent="0.25">
      <c r="A30" s="60"/>
      <c r="B30" s="61"/>
      <c r="H30" s="1" t="e">
        <v>#VALUE!</v>
      </c>
      <c r="P30" s="1" t="e">
        <f t="shared" si="0"/>
        <v>#VALUE!</v>
      </c>
    </row>
    <row r="31" spans="1:16" x14ac:dyDescent="0.25">
      <c r="A31" s="60"/>
      <c r="B31" s="61"/>
      <c r="H31" s="1" t="e">
        <v>#VALUE!</v>
      </c>
      <c r="P31" s="1" t="e">
        <f t="shared" si="0"/>
        <v>#VALUE!</v>
      </c>
    </row>
    <row r="32" spans="1:16" x14ac:dyDescent="0.25">
      <c r="H32" s="1" t="e">
        <v>#VALUE!</v>
      </c>
      <c r="P32" s="1" t="e">
        <f t="shared" si="0"/>
        <v>#VALUE!</v>
      </c>
    </row>
    <row r="33" spans="8:16" x14ac:dyDescent="0.25">
      <c r="H33" s="1" t="e">
        <v>#VALUE!</v>
      </c>
      <c r="P33" s="1" t="e">
        <f t="shared" si="0"/>
        <v>#VALUE!</v>
      </c>
    </row>
    <row r="34" spans="8:16" x14ac:dyDescent="0.25">
      <c r="H34" s="1" t="e">
        <v>#VALUE!</v>
      </c>
      <c r="P34" s="1" t="e">
        <f t="shared" si="0"/>
        <v>#VALUE!</v>
      </c>
    </row>
    <row r="35" spans="8:16" x14ac:dyDescent="0.25">
      <c r="H35" s="1" t="e">
        <v>#VALUE!</v>
      </c>
      <c r="P35" s="1" t="e">
        <f t="shared" si="0"/>
        <v>#VALUE!</v>
      </c>
    </row>
    <row r="36" spans="8:16" x14ac:dyDescent="0.25">
      <c r="H36" s="1" t="e">
        <v>#VALUE!</v>
      </c>
      <c r="P36" s="1" t="e">
        <f t="shared" si="0"/>
        <v>#VALUE!</v>
      </c>
    </row>
    <row r="37" spans="8:16" x14ac:dyDescent="0.25">
      <c r="H37" s="1" t="e">
        <v>#VALUE!</v>
      </c>
      <c r="P37" s="1" t="e">
        <f t="shared" si="0"/>
        <v>#VALUE!</v>
      </c>
    </row>
    <row r="38" spans="8:16" x14ac:dyDescent="0.25">
      <c r="H38" s="1" t="e">
        <v>#VALUE!</v>
      </c>
      <c r="P38" s="1" t="e">
        <f t="shared" si="0"/>
        <v>#VALUE!</v>
      </c>
    </row>
    <row r="39" spans="8:16" x14ac:dyDescent="0.25">
      <c r="H39" s="1" t="e">
        <v>#VALUE!</v>
      </c>
      <c r="P39" s="1" t="e">
        <f t="shared" si="0"/>
        <v>#VALUE!</v>
      </c>
    </row>
    <row r="40" spans="8:16" x14ac:dyDescent="0.25">
      <c r="H40" s="1" t="e">
        <v>#VALUE!</v>
      </c>
      <c r="P40" s="1" t="e">
        <f t="shared" si="0"/>
        <v>#VALUE!</v>
      </c>
    </row>
    <row r="41" spans="8:16" x14ac:dyDescent="0.25">
      <c r="H41" s="1" t="e">
        <v>#VALUE!</v>
      </c>
      <c r="P41" s="1" t="e">
        <f t="shared" si="0"/>
        <v>#VALUE!</v>
      </c>
    </row>
    <row r="42" spans="8:16" x14ac:dyDescent="0.25">
      <c r="H42" s="1" t="e">
        <v>#VALUE!</v>
      </c>
      <c r="P42" s="1" t="e">
        <f t="shared" si="0"/>
        <v>#VALUE!</v>
      </c>
    </row>
    <row r="43" spans="8:16" x14ac:dyDescent="0.25">
      <c r="H43" s="1" t="e">
        <v>#VALUE!</v>
      </c>
      <c r="P43" s="1" t="e">
        <f t="shared" si="0"/>
        <v>#VALUE!</v>
      </c>
    </row>
    <row r="44" spans="8:16" x14ac:dyDescent="0.25">
      <c r="H44" s="1" t="e">
        <v>#VALUE!</v>
      </c>
      <c r="P44" s="1" t="e">
        <f t="shared" si="0"/>
        <v>#VALUE!</v>
      </c>
    </row>
    <row r="45" spans="8:16" x14ac:dyDescent="0.25">
      <c r="H45" s="1" t="e">
        <v>#VALUE!</v>
      </c>
      <c r="P45" s="1" t="e">
        <f t="shared" si="0"/>
        <v>#VALUE!</v>
      </c>
    </row>
    <row r="46" spans="8:16" x14ac:dyDescent="0.25">
      <c r="H46" s="1" t="e">
        <v>#VALUE!</v>
      </c>
      <c r="P46" s="1" t="e">
        <f t="shared" si="0"/>
        <v>#VALUE!</v>
      </c>
    </row>
    <row r="47" spans="8:16" x14ac:dyDescent="0.25">
      <c r="H47" s="1" t="e">
        <v>#VALUE!</v>
      </c>
      <c r="P47" s="1" t="e">
        <f t="shared" si="0"/>
        <v>#VALUE!</v>
      </c>
    </row>
    <row r="48" spans="8:16" x14ac:dyDescent="0.25">
      <c r="H48" s="1" t="e">
        <v>#VALUE!</v>
      </c>
      <c r="P48" s="1" t="e">
        <f t="shared" si="0"/>
        <v>#VALUE!</v>
      </c>
    </row>
    <row r="49" spans="8:16" x14ac:dyDescent="0.25">
      <c r="H49" s="1" t="e">
        <v>#VALUE!</v>
      </c>
      <c r="P49" s="1" t="e">
        <f t="shared" si="0"/>
        <v>#VALUE!</v>
      </c>
    </row>
    <row r="50" spans="8:16" x14ac:dyDescent="0.25">
      <c r="H50" s="1" t="e">
        <v>#VALUE!</v>
      </c>
      <c r="P50" s="1" t="e">
        <f t="shared" si="0"/>
        <v>#VALUE!</v>
      </c>
    </row>
    <row r="51" spans="8:16" x14ac:dyDescent="0.25">
      <c r="H51" s="1" t="e">
        <v>#VALUE!</v>
      </c>
      <c r="P51" s="1" t="e">
        <f t="shared" si="0"/>
        <v>#VALUE!</v>
      </c>
    </row>
    <row r="52" spans="8:16" x14ac:dyDescent="0.25">
      <c r="H52" s="1" t="e">
        <v>#VALUE!</v>
      </c>
      <c r="P52" s="1" t="e">
        <f t="shared" si="0"/>
        <v>#VALUE!</v>
      </c>
    </row>
    <row r="53" spans="8:16" x14ac:dyDescent="0.25">
      <c r="H53" s="1" t="e">
        <v>#VALUE!</v>
      </c>
      <c r="P53" s="1" t="e">
        <f t="shared" si="0"/>
        <v>#VALUE!</v>
      </c>
    </row>
    <row r="54" spans="8:16" x14ac:dyDescent="0.25">
      <c r="H54" s="1" t="e">
        <v>#VALUE!</v>
      </c>
      <c r="P54" s="1" t="e">
        <f t="shared" si="0"/>
        <v>#VALUE!</v>
      </c>
    </row>
    <row r="55" spans="8:16" x14ac:dyDescent="0.25">
      <c r="H55" s="1" t="e">
        <v>#VALUE!</v>
      </c>
      <c r="P55" s="1" t="e">
        <f t="shared" si="0"/>
        <v>#VALUE!</v>
      </c>
    </row>
    <row r="56" spans="8:16" x14ac:dyDescent="0.25">
      <c r="H56" s="1" t="e">
        <v>#VALUE!</v>
      </c>
      <c r="P56" s="1" t="e">
        <f t="shared" si="0"/>
        <v>#VALUE!</v>
      </c>
    </row>
    <row r="57" spans="8:16" x14ac:dyDescent="0.25">
      <c r="H57" s="1" t="e">
        <v>#VALUE!</v>
      </c>
      <c r="P57" s="1" t="e">
        <f t="shared" si="0"/>
        <v>#VALUE!</v>
      </c>
    </row>
    <row r="58" spans="8:16" x14ac:dyDescent="0.25">
      <c r="H58" s="1" t="e">
        <v>#VALUE!</v>
      </c>
      <c r="P58" s="1" t="e">
        <f t="shared" si="0"/>
        <v>#VALUE!</v>
      </c>
    </row>
    <row r="59" spans="8:16" x14ac:dyDescent="0.25">
      <c r="H59" s="1" t="e">
        <v>#VALUE!</v>
      </c>
      <c r="P59" s="1" t="e">
        <f t="shared" si="0"/>
        <v>#VALUE!</v>
      </c>
    </row>
    <row r="60" spans="8:16" x14ac:dyDescent="0.25">
      <c r="H60" s="1" t="e">
        <v>#VALUE!</v>
      </c>
      <c r="P60" s="1" t="e">
        <f t="shared" si="0"/>
        <v>#VALUE!</v>
      </c>
    </row>
    <row r="61" spans="8:16" x14ac:dyDescent="0.25">
      <c r="H61" s="1" t="e">
        <v>#VALUE!</v>
      </c>
      <c r="P61" s="1" t="e">
        <f t="shared" si="0"/>
        <v>#VALUE!</v>
      </c>
    </row>
    <row r="62" spans="8:16" x14ac:dyDescent="0.25">
      <c r="H62" s="1" t="e">
        <v>#VALUE!</v>
      </c>
      <c r="P62" s="1" t="e">
        <f t="shared" si="0"/>
        <v>#VALUE!</v>
      </c>
    </row>
    <row r="63" spans="8:16" x14ac:dyDescent="0.25">
      <c r="H63" s="1" t="e">
        <v>#VALUE!</v>
      </c>
      <c r="P63" s="1" t="e">
        <f t="shared" si="0"/>
        <v>#VALUE!</v>
      </c>
    </row>
    <row r="64" spans="8:16" x14ac:dyDescent="0.25">
      <c r="H64" s="1" t="e">
        <v>#VALUE!</v>
      </c>
      <c r="P64" s="1" t="e">
        <f t="shared" si="0"/>
        <v>#VALUE!</v>
      </c>
    </row>
    <row r="65" spans="8:16" x14ac:dyDescent="0.25">
      <c r="H65" s="1" t="e">
        <v>#VALUE!</v>
      </c>
      <c r="P65" s="1" t="e">
        <f t="shared" si="0"/>
        <v>#VALUE!</v>
      </c>
    </row>
    <row r="66" spans="8:16" x14ac:dyDescent="0.25">
      <c r="H66" s="1" t="e">
        <v>#VALUE!</v>
      </c>
      <c r="P66" s="1" t="e">
        <f t="shared" si="0"/>
        <v>#VALUE!</v>
      </c>
    </row>
    <row r="67" spans="8:16" x14ac:dyDescent="0.25">
      <c r="H67" s="1" t="e">
        <v>#VALUE!</v>
      </c>
      <c r="P67" s="1" t="e">
        <f t="shared" ref="P67:P130" si="1">LEFT(M67,SEARCH("-",M67)-1)</f>
        <v>#VALUE!</v>
      </c>
    </row>
    <row r="68" spans="8:16" x14ac:dyDescent="0.25">
      <c r="H68" s="1" t="e">
        <v>#VALUE!</v>
      </c>
      <c r="P68" s="1" t="e">
        <f t="shared" si="1"/>
        <v>#VALUE!</v>
      </c>
    </row>
    <row r="69" spans="8:16" x14ac:dyDescent="0.25">
      <c r="H69" s="1" t="e">
        <v>#VALUE!</v>
      </c>
      <c r="P69" s="1" t="e">
        <f t="shared" si="1"/>
        <v>#VALUE!</v>
      </c>
    </row>
    <row r="70" spans="8:16" x14ac:dyDescent="0.25">
      <c r="H70" s="1" t="e">
        <v>#VALUE!</v>
      </c>
      <c r="P70" s="1" t="e">
        <f t="shared" si="1"/>
        <v>#VALUE!</v>
      </c>
    </row>
    <row r="71" spans="8:16" x14ac:dyDescent="0.25">
      <c r="H71" s="1" t="e">
        <v>#VALUE!</v>
      </c>
      <c r="P71" s="1" t="e">
        <f t="shared" si="1"/>
        <v>#VALUE!</v>
      </c>
    </row>
    <row r="72" spans="8:16" x14ac:dyDescent="0.25">
      <c r="H72" s="1" t="e">
        <v>#VALUE!</v>
      </c>
      <c r="P72" s="1" t="e">
        <f t="shared" si="1"/>
        <v>#VALUE!</v>
      </c>
    </row>
    <row r="73" spans="8:16" x14ac:dyDescent="0.25">
      <c r="H73" s="1" t="e">
        <v>#VALUE!</v>
      </c>
      <c r="P73" s="1" t="e">
        <f t="shared" si="1"/>
        <v>#VALUE!</v>
      </c>
    </row>
    <row r="74" spans="8:16" x14ac:dyDescent="0.25">
      <c r="H74" s="1" t="e">
        <v>#VALUE!</v>
      </c>
      <c r="P74" s="1" t="e">
        <f t="shared" si="1"/>
        <v>#VALUE!</v>
      </c>
    </row>
    <row r="75" spans="8:16" x14ac:dyDescent="0.25">
      <c r="H75" s="1" t="e">
        <v>#VALUE!</v>
      </c>
      <c r="P75" s="1" t="e">
        <f t="shared" si="1"/>
        <v>#VALUE!</v>
      </c>
    </row>
    <row r="76" spans="8:16" x14ac:dyDescent="0.25">
      <c r="H76" s="1" t="e">
        <v>#VALUE!</v>
      </c>
      <c r="P76" s="1" t="e">
        <f t="shared" si="1"/>
        <v>#VALUE!</v>
      </c>
    </row>
    <row r="77" spans="8:16" x14ac:dyDescent="0.25">
      <c r="H77" s="1" t="e">
        <v>#VALUE!</v>
      </c>
      <c r="P77" s="1" t="e">
        <f t="shared" si="1"/>
        <v>#VALUE!</v>
      </c>
    </row>
    <row r="78" spans="8:16" x14ac:dyDescent="0.25">
      <c r="H78" s="1" t="e">
        <v>#VALUE!</v>
      </c>
      <c r="P78" s="1" t="e">
        <f t="shared" si="1"/>
        <v>#VALUE!</v>
      </c>
    </row>
    <row r="79" spans="8:16" x14ac:dyDescent="0.25">
      <c r="H79" s="1" t="e">
        <v>#VALUE!</v>
      </c>
      <c r="P79" s="1" t="e">
        <f t="shared" si="1"/>
        <v>#VALUE!</v>
      </c>
    </row>
    <row r="80" spans="8:16" x14ac:dyDescent="0.25">
      <c r="H80" s="1" t="e">
        <v>#VALUE!</v>
      </c>
      <c r="P80" s="1" t="e">
        <f t="shared" si="1"/>
        <v>#VALUE!</v>
      </c>
    </row>
    <row r="81" spans="8:16" x14ac:dyDescent="0.25">
      <c r="H81" s="1" t="e">
        <v>#VALUE!</v>
      </c>
      <c r="P81" s="1" t="e">
        <f t="shared" si="1"/>
        <v>#VALUE!</v>
      </c>
    </row>
    <row r="82" spans="8:16" x14ac:dyDescent="0.25">
      <c r="H82" s="1" t="e">
        <v>#VALUE!</v>
      </c>
      <c r="P82" s="1" t="e">
        <f t="shared" si="1"/>
        <v>#VALUE!</v>
      </c>
    </row>
    <row r="83" spans="8:16" x14ac:dyDescent="0.25">
      <c r="H83" s="1" t="e">
        <v>#VALUE!</v>
      </c>
      <c r="P83" s="1" t="e">
        <f t="shared" si="1"/>
        <v>#VALUE!</v>
      </c>
    </row>
    <row r="84" spans="8:16" x14ac:dyDescent="0.25">
      <c r="H84" s="1" t="e">
        <v>#VALUE!</v>
      </c>
      <c r="P84" s="1" t="e">
        <f t="shared" si="1"/>
        <v>#VALUE!</v>
      </c>
    </row>
    <row r="85" spans="8:16" x14ac:dyDescent="0.25">
      <c r="H85" s="1" t="e">
        <v>#VALUE!</v>
      </c>
      <c r="P85" s="1" t="e">
        <f t="shared" si="1"/>
        <v>#VALUE!</v>
      </c>
    </row>
    <row r="86" spans="8:16" x14ac:dyDescent="0.25">
      <c r="H86" s="1" t="e">
        <v>#VALUE!</v>
      </c>
      <c r="P86" s="1" t="e">
        <f t="shared" si="1"/>
        <v>#VALUE!</v>
      </c>
    </row>
    <row r="87" spans="8:16" x14ac:dyDescent="0.25">
      <c r="H87" s="1" t="e">
        <v>#VALUE!</v>
      </c>
      <c r="P87" s="1" t="e">
        <f t="shared" si="1"/>
        <v>#VALUE!</v>
      </c>
    </row>
    <row r="88" spans="8:16" x14ac:dyDescent="0.25">
      <c r="H88" s="1" t="e">
        <v>#VALUE!</v>
      </c>
      <c r="P88" s="1" t="e">
        <f t="shared" si="1"/>
        <v>#VALUE!</v>
      </c>
    </row>
    <row r="89" spans="8:16" x14ac:dyDescent="0.25">
      <c r="H89" s="1" t="e">
        <v>#VALUE!</v>
      </c>
      <c r="P89" s="1" t="e">
        <f t="shared" si="1"/>
        <v>#VALUE!</v>
      </c>
    </row>
    <row r="90" spans="8:16" x14ac:dyDescent="0.25">
      <c r="H90" s="1" t="e">
        <v>#VALUE!</v>
      </c>
      <c r="P90" s="1" t="e">
        <f t="shared" si="1"/>
        <v>#VALUE!</v>
      </c>
    </row>
    <row r="91" spans="8:16" x14ac:dyDescent="0.25">
      <c r="H91" s="1" t="e">
        <v>#VALUE!</v>
      </c>
      <c r="P91" s="1" t="e">
        <f t="shared" si="1"/>
        <v>#VALUE!</v>
      </c>
    </row>
    <row r="92" spans="8:16" x14ac:dyDescent="0.25">
      <c r="H92" s="1" t="e">
        <v>#VALUE!</v>
      </c>
      <c r="P92" s="1" t="e">
        <f t="shared" si="1"/>
        <v>#VALUE!</v>
      </c>
    </row>
    <row r="93" spans="8:16" x14ac:dyDescent="0.25">
      <c r="H93" s="1" t="e">
        <v>#VALUE!</v>
      </c>
      <c r="P93" s="1" t="e">
        <f t="shared" si="1"/>
        <v>#VALUE!</v>
      </c>
    </row>
    <row r="94" spans="8:16" x14ac:dyDescent="0.25">
      <c r="H94" s="1" t="e">
        <v>#VALUE!</v>
      </c>
      <c r="P94" s="1" t="e">
        <f t="shared" si="1"/>
        <v>#VALUE!</v>
      </c>
    </row>
    <row r="95" spans="8:16" x14ac:dyDescent="0.25">
      <c r="H95" s="1" t="e">
        <v>#VALUE!</v>
      </c>
      <c r="P95" s="1" t="e">
        <f t="shared" si="1"/>
        <v>#VALUE!</v>
      </c>
    </row>
    <row r="96" spans="8:16" x14ac:dyDescent="0.25">
      <c r="H96" s="1" t="e">
        <v>#VALUE!</v>
      </c>
      <c r="P96" s="1" t="e">
        <f t="shared" si="1"/>
        <v>#VALUE!</v>
      </c>
    </row>
    <row r="97" spans="8:16" x14ac:dyDescent="0.25">
      <c r="H97" s="1" t="e">
        <v>#VALUE!</v>
      </c>
      <c r="P97" s="1" t="e">
        <f t="shared" si="1"/>
        <v>#VALUE!</v>
      </c>
    </row>
    <row r="98" spans="8:16" x14ac:dyDescent="0.25">
      <c r="H98" s="1" t="e">
        <v>#VALUE!</v>
      </c>
      <c r="P98" s="1" t="e">
        <f t="shared" si="1"/>
        <v>#VALUE!</v>
      </c>
    </row>
    <row r="99" spans="8:16" x14ac:dyDescent="0.25">
      <c r="H99" s="1" t="e">
        <v>#VALUE!</v>
      </c>
      <c r="P99" s="1" t="e">
        <f t="shared" si="1"/>
        <v>#VALUE!</v>
      </c>
    </row>
    <row r="100" spans="8:16" x14ac:dyDescent="0.25">
      <c r="H100" s="1" t="e">
        <v>#VALUE!</v>
      </c>
      <c r="P100" s="1" t="e">
        <f t="shared" si="1"/>
        <v>#VALUE!</v>
      </c>
    </row>
    <row r="101" spans="8:16" x14ac:dyDescent="0.25">
      <c r="H101" s="1" t="e">
        <v>#VALUE!</v>
      </c>
      <c r="P101" s="1" t="e">
        <f t="shared" si="1"/>
        <v>#VALUE!</v>
      </c>
    </row>
    <row r="102" spans="8:16" x14ac:dyDescent="0.25">
      <c r="H102" s="1" t="e">
        <v>#VALUE!</v>
      </c>
      <c r="P102" s="1" t="e">
        <f t="shared" si="1"/>
        <v>#VALUE!</v>
      </c>
    </row>
    <row r="103" spans="8:16" x14ac:dyDescent="0.25">
      <c r="H103" s="1" t="e">
        <v>#VALUE!</v>
      </c>
      <c r="P103" s="1" t="e">
        <f t="shared" si="1"/>
        <v>#VALUE!</v>
      </c>
    </row>
    <row r="104" spans="8:16" x14ac:dyDescent="0.25">
      <c r="H104" s="1" t="e">
        <v>#VALUE!</v>
      </c>
      <c r="P104" s="1" t="e">
        <f t="shared" si="1"/>
        <v>#VALUE!</v>
      </c>
    </row>
    <row r="105" spans="8:16" x14ac:dyDescent="0.25">
      <c r="H105" s="1" t="e">
        <v>#VALUE!</v>
      </c>
      <c r="P105" s="1" t="e">
        <f t="shared" si="1"/>
        <v>#VALUE!</v>
      </c>
    </row>
    <row r="106" spans="8:16" x14ac:dyDescent="0.25">
      <c r="H106" s="1" t="e">
        <v>#VALUE!</v>
      </c>
      <c r="P106" s="1" t="e">
        <f t="shared" si="1"/>
        <v>#VALUE!</v>
      </c>
    </row>
    <row r="107" spans="8:16" x14ac:dyDescent="0.25">
      <c r="H107" s="1" t="e">
        <v>#VALUE!</v>
      </c>
      <c r="P107" s="1" t="e">
        <f t="shared" si="1"/>
        <v>#VALUE!</v>
      </c>
    </row>
    <row r="108" spans="8:16" x14ac:dyDescent="0.25">
      <c r="H108" s="1" t="e">
        <v>#VALUE!</v>
      </c>
      <c r="P108" s="1" t="e">
        <f t="shared" si="1"/>
        <v>#VALUE!</v>
      </c>
    </row>
    <row r="109" spans="8:16" x14ac:dyDescent="0.25">
      <c r="H109" s="1" t="e">
        <v>#VALUE!</v>
      </c>
      <c r="P109" s="1" t="e">
        <f t="shared" si="1"/>
        <v>#VALUE!</v>
      </c>
    </row>
    <row r="110" spans="8:16" x14ac:dyDescent="0.25">
      <c r="H110" s="1" t="e">
        <v>#VALUE!</v>
      </c>
      <c r="P110" s="1" t="e">
        <f t="shared" si="1"/>
        <v>#VALUE!</v>
      </c>
    </row>
    <row r="111" spans="8:16" x14ac:dyDescent="0.25">
      <c r="H111" s="1" t="e">
        <v>#VALUE!</v>
      </c>
      <c r="P111" s="1" t="e">
        <f t="shared" si="1"/>
        <v>#VALUE!</v>
      </c>
    </row>
    <row r="112" spans="8:16" x14ac:dyDescent="0.25">
      <c r="H112" s="1" t="e">
        <v>#VALUE!</v>
      </c>
      <c r="P112" s="1" t="e">
        <f t="shared" si="1"/>
        <v>#VALUE!</v>
      </c>
    </row>
    <row r="113" spans="8:16" x14ac:dyDescent="0.25">
      <c r="H113" s="1" t="e">
        <v>#VALUE!</v>
      </c>
      <c r="P113" s="1" t="e">
        <f t="shared" si="1"/>
        <v>#VALUE!</v>
      </c>
    </row>
    <row r="114" spans="8:16" x14ac:dyDescent="0.25">
      <c r="H114" s="1" t="e">
        <v>#VALUE!</v>
      </c>
      <c r="P114" s="1" t="e">
        <f t="shared" si="1"/>
        <v>#VALUE!</v>
      </c>
    </row>
    <row r="115" spans="8:16" x14ac:dyDescent="0.25">
      <c r="H115" s="1" t="e">
        <v>#VALUE!</v>
      </c>
      <c r="P115" s="1" t="e">
        <f t="shared" si="1"/>
        <v>#VALUE!</v>
      </c>
    </row>
    <row r="116" spans="8:16" x14ac:dyDescent="0.25">
      <c r="H116" s="1" t="e">
        <v>#VALUE!</v>
      </c>
      <c r="P116" s="1" t="e">
        <f t="shared" si="1"/>
        <v>#VALUE!</v>
      </c>
    </row>
    <row r="117" spans="8:16" x14ac:dyDescent="0.25">
      <c r="H117" s="1" t="e">
        <v>#VALUE!</v>
      </c>
      <c r="P117" s="1" t="e">
        <f t="shared" si="1"/>
        <v>#VALUE!</v>
      </c>
    </row>
    <row r="118" spans="8:16" x14ac:dyDescent="0.25">
      <c r="H118" s="1" t="e">
        <v>#VALUE!</v>
      </c>
      <c r="P118" s="1" t="e">
        <f t="shared" si="1"/>
        <v>#VALUE!</v>
      </c>
    </row>
    <row r="119" spans="8:16" x14ac:dyDescent="0.25">
      <c r="H119" s="1" t="e">
        <v>#VALUE!</v>
      </c>
      <c r="P119" s="1" t="e">
        <f t="shared" si="1"/>
        <v>#VALUE!</v>
      </c>
    </row>
    <row r="120" spans="8:16" x14ac:dyDescent="0.25">
      <c r="H120" s="1" t="e">
        <v>#VALUE!</v>
      </c>
      <c r="P120" s="1" t="e">
        <f t="shared" si="1"/>
        <v>#VALUE!</v>
      </c>
    </row>
    <row r="121" spans="8:16" x14ac:dyDescent="0.25">
      <c r="H121" s="1" t="e">
        <v>#VALUE!</v>
      </c>
      <c r="P121" s="1" t="e">
        <f t="shared" si="1"/>
        <v>#VALUE!</v>
      </c>
    </row>
    <row r="122" spans="8:16" x14ac:dyDescent="0.25">
      <c r="H122" s="1" t="e">
        <v>#VALUE!</v>
      </c>
      <c r="P122" s="1" t="e">
        <f t="shared" si="1"/>
        <v>#VALUE!</v>
      </c>
    </row>
    <row r="123" spans="8:16" x14ac:dyDescent="0.25">
      <c r="H123" s="1" t="e">
        <v>#VALUE!</v>
      </c>
      <c r="P123" s="1" t="e">
        <f t="shared" si="1"/>
        <v>#VALUE!</v>
      </c>
    </row>
    <row r="124" spans="8:16" x14ac:dyDescent="0.25">
      <c r="H124" s="1" t="e">
        <v>#VALUE!</v>
      </c>
      <c r="P124" s="1" t="e">
        <f t="shared" si="1"/>
        <v>#VALUE!</v>
      </c>
    </row>
    <row r="125" spans="8:16" x14ac:dyDescent="0.25">
      <c r="H125" s="1" t="e">
        <v>#VALUE!</v>
      </c>
      <c r="P125" s="1" t="e">
        <f t="shared" si="1"/>
        <v>#VALUE!</v>
      </c>
    </row>
    <row r="126" spans="8:16" x14ac:dyDescent="0.25">
      <c r="H126" s="1" t="e">
        <v>#VALUE!</v>
      </c>
      <c r="P126" s="1" t="e">
        <f t="shared" si="1"/>
        <v>#VALUE!</v>
      </c>
    </row>
    <row r="127" spans="8:16" x14ac:dyDescent="0.25">
      <c r="H127" s="1" t="e">
        <v>#VALUE!</v>
      </c>
      <c r="P127" s="1" t="e">
        <f t="shared" si="1"/>
        <v>#VALUE!</v>
      </c>
    </row>
    <row r="128" spans="8:16" x14ac:dyDescent="0.25">
      <c r="H128" s="1" t="e">
        <v>#VALUE!</v>
      </c>
      <c r="P128" s="1" t="e">
        <f t="shared" si="1"/>
        <v>#VALUE!</v>
      </c>
    </row>
    <row r="129" spans="8:16" x14ac:dyDescent="0.25">
      <c r="H129" s="1" t="e">
        <v>#VALUE!</v>
      </c>
      <c r="P129" s="1" t="e">
        <f t="shared" si="1"/>
        <v>#VALUE!</v>
      </c>
    </row>
    <row r="130" spans="8:16" x14ac:dyDescent="0.25">
      <c r="H130" s="1" t="e">
        <v>#VALUE!</v>
      </c>
      <c r="P130" s="1" t="e">
        <f t="shared" si="1"/>
        <v>#VALUE!</v>
      </c>
    </row>
    <row r="131" spans="8:16" x14ac:dyDescent="0.25">
      <c r="H131" s="1" t="e">
        <v>#VALUE!</v>
      </c>
      <c r="P131" s="1" t="e">
        <f t="shared" ref="P131:P194" si="2">LEFT(M131,SEARCH("-",M131)-1)</f>
        <v>#VALUE!</v>
      </c>
    </row>
    <row r="132" spans="8:16" x14ac:dyDescent="0.25">
      <c r="H132" s="1" t="e">
        <v>#VALUE!</v>
      </c>
      <c r="P132" s="1" t="e">
        <f t="shared" si="2"/>
        <v>#VALUE!</v>
      </c>
    </row>
    <row r="133" spans="8:16" x14ac:dyDescent="0.25">
      <c r="H133" s="1" t="e">
        <v>#VALUE!</v>
      </c>
      <c r="P133" s="1" t="e">
        <f t="shared" si="2"/>
        <v>#VALUE!</v>
      </c>
    </row>
    <row r="134" spans="8:16" x14ac:dyDescent="0.25">
      <c r="H134" s="1" t="e">
        <v>#VALUE!</v>
      </c>
      <c r="P134" s="1" t="e">
        <f t="shared" si="2"/>
        <v>#VALUE!</v>
      </c>
    </row>
    <row r="135" spans="8:16" x14ac:dyDescent="0.25">
      <c r="H135" s="1" t="e">
        <v>#VALUE!</v>
      </c>
      <c r="P135" s="1" t="e">
        <f t="shared" si="2"/>
        <v>#VALUE!</v>
      </c>
    </row>
    <row r="136" spans="8:16" x14ac:dyDescent="0.25">
      <c r="H136" s="1" t="e">
        <v>#VALUE!</v>
      </c>
      <c r="P136" s="1" t="e">
        <f t="shared" si="2"/>
        <v>#VALUE!</v>
      </c>
    </row>
    <row r="137" spans="8:16" x14ac:dyDescent="0.25">
      <c r="H137" s="1" t="e">
        <v>#VALUE!</v>
      </c>
      <c r="P137" s="1" t="e">
        <f t="shared" si="2"/>
        <v>#VALUE!</v>
      </c>
    </row>
    <row r="138" spans="8:16" x14ac:dyDescent="0.25">
      <c r="H138" s="1" t="e">
        <v>#VALUE!</v>
      </c>
      <c r="P138" s="1" t="e">
        <f t="shared" si="2"/>
        <v>#VALUE!</v>
      </c>
    </row>
    <row r="139" spans="8:16" x14ac:dyDescent="0.25">
      <c r="H139" s="1" t="e">
        <v>#VALUE!</v>
      </c>
      <c r="P139" s="1" t="e">
        <f t="shared" si="2"/>
        <v>#VALUE!</v>
      </c>
    </row>
    <row r="140" spans="8:16" x14ac:dyDescent="0.25">
      <c r="H140" s="1" t="e">
        <v>#VALUE!</v>
      </c>
      <c r="P140" s="1" t="e">
        <f t="shared" si="2"/>
        <v>#VALUE!</v>
      </c>
    </row>
    <row r="141" spans="8:16" x14ac:dyDescent="0.25">
      <c r="H141" s="1" t="e">
        <v>#VALUE!</v>
      </c>
      <c r="P141" s="1" t="e">
        <f t="shared" si="2"/>
        <v>#VALUE!</v>
      </c>
    </row>
    <row r="142" spans="8:16" x14ac:dyDescent="0.25">
      <c r="H142" s="1" t="e">
        <v>#VALUE!</v>
      </c>
      <c r="P142" s="1" t="e">
        <f t="shared" si="2"/>
        <v>#VALUE!</v>
      </c>
    </row>
    <row r="143" spans="8:16" x14ac:dyDescent="0.25">
      <c r="H143" s="1" t="e">
        <v>#VALUE!</v>
      </c>
      <c r="P143" s="1" t="e">
        <f t="shared" si="2"/>
        <v>#VALUE!</v>
      </c>
    </row>
    <row r="144" spans="8:16" x14ac:dyDescent="0.25">
      <c r="H144" s="1" t="e">
        <v>#VALUE!</v>
      </c>
      <c r="P144" s="1" t="e">
        <f t="shared" si="2"/>
        <v>#VALUE!</v>
      </c>
    </row>
    <row r="145" spans="8:16" x14ac:dyDescent="0.25">
      <c r="H145" s="1" t="e">
        <v>#VALUE!</v>
      </c>
      <c r="P145" s="1" t="e">
        <f t="shared" si="2"/>
        <v>#VALUE!</v>
      </c>
    </row>
    <row r="146" spans="8:16" x14ac:dyDescent="0.25">
      <c r="H146" s="1" t="e">
        <v>#VALUE!</v>
      </c>
      <c r="P146" s="1" t="e">
        <f t="shared" si="2"/>
        <v>#VALUE!</v>
      </c>
    </row>
    <row r="147" spans="8:16" x14ac:dyDescent="0.25">
      <c r="H147" s="1" t="e">
        <v>#VALUE!</v>
      </c>
      <c r="P147" s="1" t="e">
        <f t="shared" si="2"/>
        <v>#VALUE!</v>
      </c>
    </row>
    <row r="148" spans="8:16" x14ac:dyDescent="0.25">
      <c r="H148" s="1" t="e">
        <v>#VALUE!</v>
      </c>
      <c r="P148" s="1" t="e">
        <f t="shared" si="2"/>
        <v>#VALUE!</v>
      </c>
    </row>
    <row r="149" spans="8:16" x14ac:dyDescent="0.25">
      <c r="H149" s="1" t="e">
        <v>#VALUE!</v>
      </c>
      <c r="P149" s="1" t="e">
        <f t="shared" si="2"/>
        <v>#VALUE!</v>
      </c>
    </row>
    <row r="150" spans="8:16" x14ac:dyDescent="0.25">
      <c r="H150" s="1" t="e">
        <v>#VALUE!</v>
      </c>
      <c r="P150" s="1" t="e">
        <f t="shared" si="2"/>
        <v>#VALUE!</v>
      </c>
    </row>
    <row r="151" spans="8:16" x14ac:dyDescent="0.25">
      <c r="H151" s="1" t="e">
        <v>#VALUE!</v>
      </c>
      <c r="P151" s="1" t="e">
        <f t="shared" si="2"/>
        <v>#VALUE!</v>
      </c>
    </row>
    <row r="152" spans="8:16" x14ac:dyDescent="0.25">
      <c r="H152" s="1" t="e">
        <v>#VALUE!</v>
      </c>
      <c r="P152" s="1" t="e">
        <f t="shared" si="2"/>
        <v>#VALUE!</v>
      </c>
    </row>
    <row r="153" spans="8:16" x14ac:dyDescent="0.25">
      <c r="H153" s="1" t="e">
        <v>#VALUE!</v>
      </c>
      <c r="P153" s="1" t="e">
        <f t="shared" si="2"/>
        <v>#VALUE!</v>
      </c>
    </row>
    <row r="154" spans="8:16" x14ac:dyDescent="0.25">
      <c r="H154" s="1" t="e">
        <v>#VALUE!</v>
      </c>
      <c r="P154" s="1" t="e">
        <f t="shared" si="2"/>
        <v>#VALUE!</v>
      </c>
    </row>
    <row r="155" spans="8:16" x14ac:dyDescent="0.25">
      <c r="H155" s="1" t="e">
        <v>#VALUE!</v>
      </c>
      <c r="P155" s="1" t="e">
        <f t="shared" si="2"/>
        <v>#VALUE!</v>
      </c>
    </row>
    <row r="156" spans="8:16" x14ac:dyDescent="0.25">
      <c r="H156" s="1" t="e">
        <v>#VALUE!</v>
      </c>
      <c r="P156" s="1" t="e">
        <f t="shared" si="2"/>
        <v>#VALUE!</v>
      </c>
    </row>
    <row r="157" spans="8:16" x14ac:dyDescent="0.25">
      <c r="H157" s="1" t="e">
        <v>#VALUE!</v>
      </c>
      <c r="P157" s="1" t="e">
        <f t="shared" si="2"/>
        <v>#VALUE!</v>
      </c>
    </row>
    <row r="158" spans="8:16" x14ac:dyDescent="0.25">
      <c r="H158" s="1" t="e">
        <v>#VALUE!</v>
      </c>
      <c r="P158" s="1" t="e">
        <f t="shared" si="2"/>
        <v>#VALUE!</v>
      </c>
    </row>
    <row r="159" spans="8:16" x14ac:dyDescent="0.25">
      <c r="H159" s="1" t="e">
        <v>#VALUE!</v>
      </c>
      <c r="P159" s="1" t="e">
        <f t="shared" si="2"/>
        <v>#VALUE!</v>
      </c>
    </row>
    <row r="160" spans="8:16" x14ac:dyDescent="0.25">
      <c r="H160" s="1" t="e">
        <v>#VALUE!</v>
      </c>
      <c r="P160" s="1" t="e">
        <f t="shared" si="2"/>
        <v>#VALUE!</v>
      </c>
    </row>
    <row r="161" spans="8:16" x14ac:dyDescent="0.25">
      <c r="H161" s="1" t="e">
        <v>#VALUE!</v>
      </c>
      <c r="P161" s="1" t="e">
        <f t="shared" si="2"/>
        <v>#VALUE!</v>
      </c>
    </row>
    <row r="162" spans="8:16" x14ac:dyDescent="0.25">
      <c r="H162" s="1" t="e">
        <v>#VALUE!</v>
      </c>
      <c r="P162" s="1" t="e">
        <f t="shared" si="2"/>
        <v>#VALUE!</v>
      </c>
    </row>
    <row r="163" spans="8:16" x14ac:dyDescent="0.25">
      <c r="H163" s="1" t="e">
        <v>#VALUE!</v>
      </c>
      <c r="P163" s="1" t="e">
        <f t="shared" si="2"/>
        <v>#VALUE!</v>
      </c>
    </row>
    <row r="164" spans="8:16" x14ac:dyDescent="0.25">
      <c r="H164" s="1" t="e">
        <v>#VALUE!</v>
      </c>
      <c r="P164" s="1" t="e">
        <f t="shared" si="2"/>
        <v>#VALUE!</v>
      </c>
    </row>
    <row r="165" spans="8:16" x14ac:dyDescent="0.25">
      <c r="H165" s="1" t="e">
        <v>#VALUE!</v>
      </c>
      <c r="P165" s="1" t="e">
        <f t="shared" si="2"/>
        <v>#VALUE!</v>
      </c>
    </row>
    <row r="166" spans="8:16" x14ac:dyDescent="0.25">
      <c r="H166" s="1" t="e">
        <v>#VALUE!</v>
      </c>
      <c r="P166" s="1" t="e">
        <f t="shared" si="2"/>
        <v>#VALUE!</v>
      </c>
    </row>
    <row r="167" spans="8:16" x14ac:dyDescent="0.25">
      <c r="H167" s="1" t="e">
        <v>#VALUE!</v>
      </c>
      <c r="P167" s="1" t="e">
        <f t="shared" si="2"/>
        <v>#VALUE!</v>
      </c>
    </row>
    <row r="168" spans="8:16" x14ac:dyDescent="0.25">
      <c r="H168" s="1" t="e">
        <v>#VALUE!</v>
      </c>
      <c r="P168" s="1" t="e">
        <f t="shared" si="2"/>
        <v>#VALUE!</v>
      </c>
    </row>
    <row r="169" spans="8:16" x14ac:dyDescent="0.25">
      <c r="H169" s="1" t="e">
        <v>#VALUE!</v>
      </c>
      <c r="P169" s="1" t="e">
        <f t="shared" si="2"/>
        <v>#VALUE!</v>
      </c>
    </row>
    <row r="170" spans="8:16" x14ac:dyDescent="0.25">
      <c r="H170" s="1" t="e">
        <v>#VALUE!</v>
      </c>
      <c r="P170" s="1" t="e">
        <f t="shared" si="2"/>
        <v>#VALUE!</v>
      </c>
    </row>
    <row r="171" spans="8:16" x14ac:dyDescent="0.25">
      <c r="H171" s="1" t="e">
        <v>#VALUE!</v>
      </c>
      <c r="P171" s="1" t="e">
        <f t="shared" si="2"/>
        <v>#VALUE!</v>
      </c>
    </row>
    <row r="172" spans="8:16" x14ac:dyDescent="0.25">
      <c r="H172" s="1" t="e">
        <v>#VALUE!</v>
      </c>
      <c r="P172" s="1" t="e">
        <f t="shared" si="2"/>
        <v>#VALUE!</v>
      </c>
    </row>
    <row r="173" spans="8:16" x14ac:dyDescent="0.25">
      <c r="H173" s="1" t="e">
        <v>#VALUE!</v>
      </c>
      <c r="P173" s="1" t="e">
        <f t="shared" si="2"/>
        <v>#VALUE!</v>
      </c>
    </row>
    <row r="174" spans="8:16" x14ac:dyDescent="0.25">
      <c r="H174" s="1" t="e">
        <v>#VALUE!</v>
      </c>
      <c r="P174" s="1" t="e">
        <f t="shared" si="2"/>
        <v>#VALUE!</v>
      </c>
    </row>
    <row r="175" spans="8:16" x14ac:dyDescent="0.25">
      <c r="H175" s="1" t="e">
        <v>#VALUE!</v>
      </c>
      <c r="P175" s="1" t="e">
        <f t="shared" si="2"/>
        <v>#VALUE!</v>
      </c>
    </row>
    <row r="176" spans="8:16" x14ac:dyDescent="0.25">
      <c r="H176" s="1" t="e">
        <v>#VALUE!</v>
      </c>
      <c r="P176" s="1" t="e">
        <f t="shared" si="2"/>
        <v>#VALUE!</v>
      </c>
    </row>
    <row r="177" spans="8:16" x14ac:dyDescent="0.25">
      <c r="H177" s="1" t="e">
        <v>#VALUE!</v>
      </c>
      <c r="P177" s="1" t="e">
        <f t="shared" si="2"/>
        <v>#VALUE!</v>
      </c>
    </row>
    <row r="178" spans="8:16" x14ac:dyDescent="0.25">
      <c r="H178" s="1" t="e">
        <v>#VALUE!</v>
      </c>
      <c r="P178" s="1" t="e">
        <f t="shared" si="2"/>
        <v>#VALUE!</v>
      </c>
    </row>
    <row r="179" spans="8:16" x14ac:dyDescent="0.25">
      <c r="H179" s="1" t="e">
        <v>#VALUE!</v>
      </c>
      <c r="P179" s="1" t="e">
        <f t="shared" si="2"/>
        <v>#VALUE!</v>
      </c>
    </row>
    <row r="180" spans="8:16" x14ac:dyDescent="0.25">
      <c r="H180" s="1" t="e">
        <v>#VALUE!</v>
      </c>
      <c r="P180" s="1" t="e">
        <f t="shared" si="2"/>
        <v>#VALUE!</v>
      </c>
    </row>
    <row r="181" spans="8:16" x14ac:dyDescent="0.25">
      <c r="H181" s="1" t="e">
        <v>#VALUE!</v>
      </c>
      <c r="P181" s="1" t="e">
        <f t="shared" si="2"/>
        <v>#VALUE!</v>
      </c>
    </row>
    <row r="182" spans="8:16" x14ac:dyDescent="0.25">
      <c r="H182" s="1" t="e">
        <v>#VALUE!</v>
      </c>
      <c r="P182" s="1" t="e">
        <f t="shared" si="2"/>
        <v>#VALUE!</v>
      </c>
    </row>
    <row r="183" spans="8:16" x14ac:dyDescent="0.25">
      <c r="H183" s="1" t="e">
        <v>#VALUE!</v>
      </c>
      <c r="P183" s="1" t="e">
        <f t="shared" si="2"/>
        <v>#VALUE!</v>
      </c>
    </row>
    <row r="184" spans="8:16" x14ac:dyDescent="0.25">
      <c r="H184" s="1" t="e">
        <v>#VALUE!</v>
      </c>
      <c r="P184" s="1" t="e">
        <f t="shared" si="2"/>
        <v>#VALUE!</v>
      </c>
    </row>
    <row r="185" spans="8:16" x14ac:dyDescent="0.25">
      <c r="H185" s="1" t="e">
        <v>#VALUE!</v>
      </c>
      <c r="P185" s="1" t="e">
        <f t="shared" si="2"/>
        <v>#VALUE!</v>
      </c>
    </row>
    <row r="186" spans="8:16" x14ac:dyDescent="0.25">
      <c r="H186" s="1" t="e">
        <v>#VALUE!</v>
      </c>
      <c r="P186" s="1" t="e">
        <f t="shared" si="2"/>
        <v>#VALUE!</v>
      </c>
    </row>
    <row r="187" spans="8:16" x14ac:dyDescent="0.25">
      <c r="H187" s="1" t="e">
        <v>#VALUE!</v>
      </c>
      <c r="P187" s="1" t="e">
        <f t="shared" si="2"/>
        <v>#VALUE!</v>
      </c>
    </row>
    <row r="188" spans="8:16" x14ac:dyDescent="0.25">
      <c r="H188" s="1" t="e">
        <v>#VALUE!</v>
      </c>
      <c r="P188" s="1" t="e">
        <f t="shared" si="2"/>
        <v>#VALUE!</v>
      </c>
    </row>
    <row r="189" spans="8:16" x14ac:dyDescent="0.25">
      <c r="H189" s="1" t="e">
        <v>#VALUE!</v>
      </c>
      <c r="P189" s="1" t="e">
        <f t="shared" si="2"/>
        <v>#VALUE!</v>
      </c>
    </row>
    <row r="190" spans="8:16" x14ac:dyDescent="0.25">
      <c r="H190" s="1" t="e">
        <v>#VALUE!</v>
      </c>
      <c r="P190" s="1" t="e">
        <f t="shared" si="2"/>
        <v>#VALUE!</v>
      </c>
    </row>
    <row r="191" spans="8:16" x14ac:dyDescent="0.25">
      <c r="H191" s="1" t="e">
        <v>#VALUE!</v>
      </c>
      <c r="P191" s="1" t="e">
        <f t="shared" si="2"/>
        <v>#VALUE!</v>
      </c>
    </row>
    <row r="192" spans="8:16" x14ac:dyDescent="0.25">
      <c r="H192" s="1" t="e">
        <v>#VALUE!</v>
      </c>
      <c r="P192" s="1" t="e">
        <f t="shared" si="2"/>
        <v>#VALUE!</v>
      </c>
    </row>
    <row r="193" spans="8:16" x14ac:dyDescent="0.25">
      <c r="H193" s="1" t="e">
        <v>#VALUE!</v>
      </c>
      <c r="P193" s="1" t="e">
        <f t="shared" si="2"/>
        <v>#VALUE!</v>
      </c>
    </row>
    <row r="194" spans="8:16" x14ac:dyDescent="0.25">
      <c r="H194" s="1" t="e">
        <v>#VALUE!</v>
      </c>
      <c r="P194" s="1" t="e">
        <f t="shared" si="2"/>
        <v>#VALUE!</v>
      </c>
    </row>
    <row r="195" spans="8:16" x14ac:dyDescent="0.25">
      <c r="H195" s="1" t="e">
        <v>#VALUE!</v>
      </c>
      <c r="P195" s="1" t="e">
        <f t="shared" ref="P195:P225" si="3">LEFT(M195,SEARCH("-",M195)-1)</f>
        <v>#VALUE!</v>
      </c>
    </row>
    <row r="196" spans="8:16" x14ac:dyDescent="0.25">
      <c r="H196" s="1" t="e">
        <v>#VALUE!</v>
      </c>
      <c r="P196" s="1" t="e">
        <f t="shared" si="3"/>
        <v>#VALUE!</v>
      </c>
    </row>
    <row r="197" spans="8:16" x14ac:dyDescent="0.25">
      <c r="H197" s="1" t="e">
        <v>#VALUE!</v>
      </c>
      <c r="P197" s="1" t="e">
        <f t="shared" si="3"/>
        <v>#VALUE!</v>
      </c>
    </row>
    <row r="198" spans="8:16" x14ac:dyDescent="0.25">
      <c r="H198" s="1" t="e">
        <v>#VALUE!</v>
      </c>
      <c r="P198" s="1" t="e">
        <f t="shared" si="3"/>
        <v>#VALUE!</v>
      </c>
    </row>
    <row r="199" spans="8:16" x14ac:dyDescent="0.25">
      <c r="H199" s="1" t="e">
        <v>#VALUE!</v>
      </c>
      <c r="P199" s="1" t="e">
        <f t="shared" si="3"/>
        <v>#VALUE!</v>
      </c>
    </row>
    <row r="200" spans="8:16" x14ac:dyDescent="0.25">
      <c r="H200" s="1" t="e">
        <v>#VALUE!</v>
      </c>
      <c r="P200" s="1" t="e">
        <f t="shared" si="3"/>
        <v>#VALUE!</v>
      </c>
    </row>
    <row r="201" spans="8:16" x14ac:dyDescent="0.25">
      <c r="H201" s="1" t="e">
        <v>#VALUE!</v>
      </c>
      <c r="P201" s="1" t="e">
        <f t="shared" si="3"/>
        <v>#VALUE!</v>
      </c>
    </row>
    <row r="202" spans="8:16" x14ac:dyDescent="0.25">
      <c r="H202" s="1" t="e">
        <v>#VALUE!</v>
      </c>
      <c r="P202" s="1" t="e">
        <f t="shared" si="3"/>
        <v>#VALUE!</v>
      </c>
    </row>
    <row r="203" spans="8:16" x14ac:dyDescent="0.25">
      <c r="H203" s="1" t="e">
        <v>#VALUE!</v>
      </c>
      <c r="P203" s="1" t="e">
        <f t="shared" si="3"/>
        <v>#VALUE!</v>
      </c>
    </row>
    <row r="204" spans="8:16" x14ac:dyDescent="0.25">
      <c r="H204" s="1" t="e">
        <v>#VALUE!</v>
      </c>
      <c r="P204" s="1" t="e">
        <f t="shared" si="3"/>
        <v>#VALUE!</v>
      </c>
    </row>
    <row r="205" spans="8:16" x14ac:dyDescent="0.25">
      <c r="H205" s="1" t="e">
        <v>#VALUE!</v>
      </c>
      <c r="P205" s="1" t="e">
        <f t="shared" si="3"/>
        <v>#VALUE!</v>
      </c>
    </row>
    <row r="206" spans="8:16" x14ac:dyDescent="0.25">
      <c r="H206" s="1" t="e">
        <v>#VALUE!</v>
      </c>
      <c r="P206" s="1" t="e">
        <f t="shared" si="3"/>
        <v>#VALUE!</v>
      </c>
    </row>
    <row r="207" spans="8:16" x14ac:dyDescent="0.25">
      <c r="H207" s="1" t="e">
        <v>#VALUE!</v>
      </c>
      <c r="P207" s="1" t="e">
        <f t="shared" si="3"/>
        <v>#VALUE!</v>
      </c>
    </row>
    <row r="208" spans="8:16" x14ac:dyDescent="0.25">
      <c r="H208" s="1" t="e">
        <v>#VALUE!</v>
      </c>
      <c r="P208" s="1" t="e">
        <f t="shared" si="3"/>
        <v>#VALUE!</v>
      </c>
    </row>
    <row r="209" spans="8:16" x14ac:dyDescent="0.25">
      <c r="H209" s="1" t="e">
        <v>#VALUE!</v>
      </c>
      <c r="P209" s="1" t="e">
        <f t="shared" si="3"/>
        <v>#VALUE!</v>
      </c>
    </row>
    <row r="210" spans="8:16" x14ac:dyDescent="0.25">
      <c r="H210" s="1" t="e">
        <v>#VALUE!</v>
      </c>
      <c r="P210" s="1" t="e">
        <f t="shared" si="3"/>
        <v>#VALUE!</v>
      </c>
    </row>
    <row r="211" spans="8:16" x14ac:dyDescent="0.25">
      <c r="H211" s="1" t="e">
        <v>#VALUE!</v>
      </c>
      <c r="P211" s="1" t="e">
        <f t="shared" si="3"/>
        <v>#VALUE!</v>
      </c>
    </row>
    <row r="212" spans="8:16" x14ac:dyDescent="0.25">
      <c r="H212" s="1" t="e">
        <v>#VALUE!</v>
      </c>
      <c r="P212" s="1" t="e">
        <f t="shared" si="3"/>
        <v>#VALUE!</v>
      </c>
    </row>
    <row r="213" spans="8:16" x14ac:dyDescent="0.25">
      <c r="H213" s="1" t="e">
        <v>#VALUE!</v>
      </c>
      <c r="P213" s="1" t="e">
        <f t="shared" si="3"/>
        <v>#VALUE!</v>
      </c>
    </row>
    <row r="214" spans="8:16" x14ac:dyDescent="0.25">
      <c r="H214" s="1" t="e">
        <v>#VALUE!</v>
      </c>
      <c r="P214" s="1" t="e">
        <f t="shared" si="3"/>
        <v>#VALUE!</v>
      </c>
    </row>
    <row r="215" spans="8:16" x14ac:dyDescent="0.25">
      <c r="H215" s="1" t="e">
        <v>#VALUE!</v>
      </c>
      <c r="P215" s="1" t="e">
        <f t="shared" si="3"/>
        <v>#VALUE!</v>
      </c>
    </row>
    <row r="216" spans="8:16" x14ac:dyDescent="0.25">
      <c r="H216" s="1" t="e">
        <v>#VALUE!</v>
      </c>
      <c r="P216" s="1" t="e">
        <f t="shared" si="3"/>
        <v>#VALUE!</v>
      </c>
    </row>
    <row r="217" spans="8:16" x14ac:dyDescent="0.25">
      <c r="H217" s="1" t="e">
        <v>#VALUE!</v>
      </c>
      <c r="P217" s="1" t="e">
        <f t="shared" si="3"/>
        <v>#VALUE!</v>
      </c>
    </row>
    <row r="218" spans="8:16" x14ac:dyDescent="0.25">
      <c r="H218" s="1" t="e">
        <v>#VALUE!</v>
      </c>
      <c r="P218" s="1" t="e">
        <f t="shared" si="3"/>
        <v>#VALUE!</v>
      </c>
    </row>
    <row r="219" spans="8:16" x14ac:dyDescent="0.25">
      <c r="H219" s="1" t="e">
        <v>#VALUE!</v>
      </c>
      <c r="P219" s="1" t="e">
        <f t="shared" si="3"/>
        <v>#VALUE!</v>
      </c>
    </row>
    <row r="220" spans="8:16" x14ac:dyDescent="0.25">
      <c r="H220" s="1" t="e">
        <v>#VALUE!</v>
      </c>
      <c r="P220" s="1" t="e">
        <f t="shared" si="3"/>
        <v>#VALUE!</v>
      </c>
    </row>
    <row r="221" spans="8:16" x14ac:dyDescent="0.25">
      <c r="H221" s="1" t="e">
        <v>#VALUE!</v>
      </c>
      <c r="P221" s="1" t="e">
        <f t="shared" si="3"/>
        <v>#VALUE!</v>
      </c>
    </row>
    <row r="222" spans="8:16" x14ac:dyDescent="0.25">
      <c r="H222" s="1" t="e">
        <v>#VALUE!</v>
      </c>
      <c r="P222" s="1" t="e">
        <f t="shared" si="3"/>
        <v>#VALUE!</v>
      </c>
    </row>
    <row r="223" spans="8:16" x14ac:dyDescent="0.25">
      <c r="H223" s="1" t="e">
        <v>#VALUE!</v>
      </c>
      <c r="P223" s="1" t="e">
        <f t="shared" si="3"/>
        <v>#VALUE!</v>
      </c>
    </row>
    <row r="224" spans="8:16" x14ac:dyDescent="0.25">
      <c r="H224" s="1" t="e">
        <v>#VALUE!</v>
      </c>
      <c r="P224" s="1" t="e">
        <f t="shared" si="3"/>
        <v>#VALUE!</v>
      </c>
    </row>
    <row r="225" spans="8:16" x14ac:dyDescent="0.25">
      <c r="H225" s="1" t="e">
        <v>#VALUE!</v>
      </c>
      <c r="P225" s="1" t="e">
        <f t="shared" si="3"/>
        <v>#VALUE!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00207-61CE-4CB2-B27D-FD30A71E6D12}">
  <sheetPr codeName="Foglio8">
    <pageSetUpPr fitToPage="1"/>
  </sheetPr>
  <dimension ref="A1:L92"/>
  <sheetViews>
    <sheetView topLeftCell="A10" workbookViewId="0">
      <selection activeCell="J92" sqref="J92"/>
    </sheetView>
  </sheetViews>
  <sheetFormatPr defaultColWidth="9.140625" defaultRowHeight="29.25" customHeight="1" x14ac:dyDescent="0.25"/>
  <cols>
    <col min="1" max="1" width="17.42578125" style="27" customWidth="1"/>
    <col min="2" max="2" width="19.28515625" style="19" bestFit="1" customWidth="1"/>
    <col min="3" max="3" width="20.85546875" style="19" customWidth="1"/>
    <col min="4" max="7" width="9.140625" style="3"/>
    <col min="8" max="8" width="11.140625" style="18" bestFit="1" customWidth="1"/>
    <col min="9" max="16384" width="9.140625" style="18"/>
  </cols>
  <sheetData>
    <row r="1" spans="1:8" s="19" customFormat="1" ht="29.25" customHeight="1" x14ac:dyDescent="0.25">
      <c r="A1" s="24" t="s">
        <v>95</v>
      </c>
      <c r="B1" s="10" t="s">
        <v>15</v>
      </c>
      <c r="C1" s="10" t="s">
        <v>76</v>
      </c>
      <c r="D1" s="52" t="s">
        <v>114</v>
      </c>
      <c r="E1" s="52" t="s">
        <v>115</v>
      </c>
      <c r="F1" s="52" t="s">
        <v>116</v>
      </c>
      <c r="G1" s="52" t="s">
        <v>117</v>
      </c>
    </row>
    <row r="2" spans="1:8" ht="29.25" customHeight="1" x14ac:dyDescent="0.25">
      <c r="A2" s="26">
        <v>5262</v>
      </c>
      <c r="B2" s="7" t="s">
        <v>77</v>
      </c>
      <c r="C2" s="7" t="s">
        <v>47</v>
      </c>
      <c r="D2" s="2"/>
      <c r="E2" s="2"/>
      <c r="F2" s="2"/>
      <c r="G2" s="2"/>
    </row>
    <row r="3" spans="1:8" ht="29.25" customHeight="1" x14ac:dyDescent="0.25">
      <c r="A3" s="26">
        <v>7361</v>
      </c>
      <c r="B3" s="7" t="s">
        <v>77</v>
      </c>
      <c r="C3" s="7" t="s">
        <v>56</v>
      </c>
      <c r="D3" s="2"/>
      <c r="E3" s="2"/>
      <c r="F3" s="2"/>
      <c r="G3" s="2"/>
    </row>
    <row r="4" spans="1:8" ht="29.25" customHeight="1" x14ac:dyDescent="0.25">
      <c r="A4" s="26">
        <v>3503</v>
      </c>
      <c r="B4" s="7" t="s">
        <v>77</v>
      </c>
      <c r="C4" s="7" t="s">
        <v>62</v>
      </c>
      <c r="D4" s="2"/>
      <c r="E4" s="2"/>
      <c r="F4" s="2"/>
      <c r="G4" s="2"/>
    </row>
    <row r="5" spans="1:8" ht="29.25" customHeight="1" x14ac:dyDescent="0.25">
      <c r="A5" s="26">
        <v>2361</v>
      </c>
      <c r="B5" s="7" t="s">
        <v>77</v>
      </c>
      <c r="C5" s="7" t="s">
        <v>78</v>
      </c>
      <c r="D5" s="2"/>
      <c r="E5" s="2"/>
      <c r="F5" s="2"/>
      <c r="G5" s="2"/>
    </row>
    <row r="6" spans="1:8" ht="29.25" customHeight="1" x14ac:dyDescent="0.25">
      <c r="A6" s="26">
        <v>8355</v>
      </c>
      <c r="B6" s="7" t="s">
        <v>77</v>
      </c>
      <c r="C6" s="7" t="s">
        <v>31</v>
      </c>
      <c r="D6" s="2"/>
      <c r="E6" s="2"/>
      <c r="F6" s="2"/>
      <c r="G6" s="2"/>
    </row>
    <row r="7" spans="1:8" ht="29.25" customHeight="1" x14ac:dyDescent="0.25">
      <c r="A7" s="33">
        <v>5641</v>
      </c>
      <c r="B7" s="8" t="s">
        <v>81</v>
      </c>
      <c r="C7" s="8" t="s">
        <v>31</v>
      </c>
      <c r="D7" s="2"/>
      <c r="E7" s="2"/>
      <c r="F7" s="2"/>
      <c r="G7" s="2"/>
    </row>
    <row r="8" spans="1:8" ht="29.25" customHeight="1" x14ac:dyDescent="0.25">
      <c r="A8" s="33">
        <v>5405</v>
      </c>
      <c r="B8" s="8" t="s">
        <v>81</v>
      </c>
      <c r="C8" s="20" t="s">
        <v>47</v>
      </c>
      <c r="D8" s="2"/>
      <c r="E8" s="2"/>
      <c r="F8" s="2"/>
      <c r="G8" s="2"/>
    </row>
    <row r="9" spans="1:8" ht="29.25" customHeight="1" thickBot="1" x14ac:dyDescent="0.3">
      <c r="A9" s="34">
        <v>2972</v>
      </c>
      <c r="B9" s="11" t="s">
        <v>81</v>
      </c>
      <c r="C9" s="35" t="s">
        <v>56</v>
      </c>
      <c r="D9" s="5"/>
      <c r="E9" s="5"/>
      <c r="F9" s="5"/>
      <c r="G9" s="5"/>
    </row>
    <row r="10" spans="1:8" ht="29.25" customHeight="1" thickBot="1" x14ac:dyDescent="0.3">
      <c r="A10" s="570"/>
      <c r="B10" s="571"/>
      <c r="C10" s="571"/>
      <c r="D10" s="571"/>
      <c r="E10" s="571"/>
      <c r="F10" s="571"/>
      <c r="G10" s="571"/>
    </row>
    <row r="11" spans="1:8" ht="29.25" customHeight="1" x14ac:dyDescent="0.25">
      <c r="A11" s="24" t="s">
        <v>74</v>
      </c>
      <c r="B11" s="10" t="s">
        <v>75</v>
      </c>
      <c r="C11" s="10" t="s">
        <v>76</v>
      </c>
      <c r="D11" s="52" t="s">
        <v>114</v>
      </c>
      <c r="E11" s="52" t="s">
        <v>115</v>
      </c>
      <c r="F11" s="52" t="s">
        <v>116</v>
      </c>
      <c r="G11" s="52" t="s">
        <v>117</v>
      </c>
    </row>
    <row r="12" spans="1:8" ht="29.25" customHeight="1" x14ac:dyDescent="0.25">
      <c r="A12" s="26">
        <v>3680</v>
      </c>
      <c r="B12" s="7" t="s">
        <v>79</v>
      </c>
      <c r="C12" s="7" t="s">
        <v>62</v>
      </c>
      <c r="D12" s="2"/>
      <c r="E12" s="2"/>
      <c r="F12" s="2"/>
      <c r="G12" s="2"/>
      <c r="H12" s="53"/>
    </row>
    <row r="13" spans="1:8" ht="29.25" customHeight="1" thickBot="1" x14ac:dyDescent="0.3">
      <c r="A13" s="25">
        <v>2435</v>
      </c>
      <c r="B13" s="9" t="s">
        <v>79</v>
      </c>
      <c r="C13" s="9" t="s">
        <v>78</v>
      </c>
      <c r="D13" s="5"/>
      <c r="E13" s="5"/>
      <c r="F13" s="5"/>
      <c r="G13" s="5"/>
    </row>
    <row r="14" spans="1:8" ht="29.25" customHeight="1" thickBot="1" x14ac:dyDescent="0.3">
      <c r="A14" s="572"/>
      <c r="B14" s="573"/>
      <c r="C14" s="573"/>
      <c r="D14" s="573"/>
      <c r="E14" s="573"/>
      <c r="F14" s="573"/>
      <c r="G14" s="573"/>
    </row>
    <row r="15" spans="1:8" ht="29.25" customHeight="1" x14ac:dyDescent="0.25">
      <c r="A15" s="24" t="s">
        <v>74</v>
      </c>
      <c r="B15" s="10" t="s">
        <v>75</v>
      </c>
      <c r="C15" s="10" t="s">
        <v>76</v>
      </c>
      <c r="D15" s="52" t="s">
        <v>114</v>
      </c>
      <c r="E15" s="52" t="s">
        <v>115</v>
      </c>
      <c r="F15" s="52" t="s">
        <v>116</v>
      </c>
      <c r="G15" s="52" t="s">
        <v>117</v>
      </c>
    </row>
    <row r="16" spans="1:8" ht="29.25" customHeight="1" x14ac:dyDescent="0.25">
      <c r="A16" s="26">
        <v>5367</v>
      </c>
      <c r="B16" s="7" t="s">
        <v>80</v>
      </c>
      <c r="C16" s="7" t="s">
        <v>47</v>
      </c>
      <c r="D16" s="2"/>
      <c r="E16" s="2"/>
      <c r="F16" s="2"/>
      <c r="G16" s="2"/>
    </row>
    <row r="17" spans="1:7" ht="29.25" customHeight="1" x14ac:dyDescent="0.25">
      <c r="A17" s="26">
        <v>1971</v>
      </c>
      <c r="B17" s="7" t="s">
        <v>79</v>
      </c>
      <c r="C17" s="7" t="s">
        <v>71</v>
      </c>
      <c r="D17" s="2"/>
      <c r="E17" s="2"/>
      <c r="F17" s="2"/>
      <c r="G17" s="2"/>
    </row>
    <row r="18" spans="1:7" ht="29.25" customHeight="1" x14ac:dyDescent="0.25">
      <c r="A18" s="26">
        <v>8455</v>
      </c>
      <c r="B18" s="7" t="s">
        <v>79</v>
      </c>
      <c r="C18" s="7" t="s">
        <v>31</v>
      </c>
      <c r="D18" s="2"/>
      <c r="E18" s="2"/>
      <c r="F18" s="2"/>
      <c r="G18" s="2"/>
    </row>
    <row r="19" spans="1:7" ht="29.25" customHeight="1" thickBot="1" x14ac:dyDescent="0.3">
      <c r="A19" s="25">
        <v>6760</v>
      </c>
      <c r="B19" s="9" t="s">
        <v>79</v>
      </c>
      <c r="C19" s="9" t="s">
        <v>56</v>
      </c>
      <c r="D19" s="5"/>
      <c r="E19" s="5"/>
      <c r="F19" s="5"/>
      <c r="G19" s="5"/>
    </row>
    <row r="20" spans="1:7" ht="29.25" customHeight="1" thickBot="1" x14ac:dyDescent="0.3">
      <c r="A20" s="570"/>
      <c r="B20" s="571"/>
      <c r="C20" s="571"/>
      <c r="D20" s="571"/>
      <c r="E20" s="571"/>
      <c r="F20" s="571"/>
      <c r="G20" s="571"/>
    </row>
    <row r="21" spans="1:7" ht="29.25" customHeight="1" x14ac:dyDescent="0.25">
      <c r="A21" s="24" t="s">
        <v>74</v>
      </c>
      <c r="B21" s="10" t="s">
        <v>75</v>
      </c>
      <c r="C21" s="10" t="s">
        <v>76</v>
      </c>
      <c r="D21" s="52" t="s">
        <v>114</v>
      </c>
      <c r="E21" s="52" t="s">
        <v>115</v>
      </c>
      <c r="F21" s="52" t="s">
        <v>116</v>
      </c>
      <c r="G21" s="52" t="s">
        <v>117</v>
      </c>
    </row>
    <row r="22" spans="1:7" ht="29.25" customHeight="1" x14ac:dyDescent="0.25">
      <c r="A22" s="36">
        <v>1984</v>
      </c>
      <c r="B22" s="8" t="s">
        <v>103</v>
      </c>
      <c r="C22" s="8" t="s">
        <v>71</v>
      </c>
      <c r="D22" s="2"/>
      <c r="E22" s="2"/>
      <c r="F22" s="2"/>
      <c r="G22" s="2"/>
    </row>
    <row r="23" spans="1:7" ht="29.25" customHeight="1" thickBot="1" x14ac:dyDescent="0.3">
      <c r="A23" s="28">
        <v>7737</v>
      </c>
      <c r="B23" s="37" t="s">
        <v>102</v>
      </c>
      <c r="C23" s="37" t="s">
        <v>78</v>
      </c>
      <c r="D23" s="5"/>
      <c r="E23" s="5"/>
      <c r="F23" s="5"/>
      <c r="G23" s="5"/>
    </row>
    <row r="24" spans="1:7" ht="29.25" customHeight="1" thickBot="1" x14ac:dyDescent="0.3">
      <c r="A24" s="572"/>
      <c r="B24" s="573"/>
      <c r="C24" s="573"/>
      <c r="D24" s="573"/>
      <c r="E24" s="573"/>
      <c r="F24" s="573"/>
      <c r="G24" s="573"/>
    </row>
    <row r="25" spans="1:7" ht="29.25" customHeight="1" x14ac:dyDescent="0.25">
      <c r="A25" s="24" t="s">
        <v>74</v>
      </c>
      <c r="B25" s="10" t="s">
        <v>75</v>
      </c>
      <c r="C25" s="10" t="s">
        <v>76</v>
      </c>
      <c r="D25" s="52" t="s">
        <v>114</v>
      </c>
      <c r="E25" s="52" t="s">
        <v>115</v>
      </c>
      <c r="F25" s="52" t="s">
        <v>116</v>
      </c>
      <c r="G25" s="52" t="s">
        <v>117</v>
      </c>
    </row>
    <row r="26" spans="1:7" ht="29.25" customHeight="1" thickBot="1" x14ac:dyDescent="0.3">
      <c r="A26" s="28">
        <v>12222</v>
      </c>
      <c r="B26" s="38" t="s">
        <v>82</v>
      </c>
      <c r="C26" s="38" t="s">
        <v>31</v>
      </c>
      <c r="D26" s="5"/>
      <c r="E26" s="5"/>
      <c r="F26" s="5"/>
      <c r="G26" s="5"/>
    </row>
    <row r="27" spans="1:7" ht="29.25" customHeight="1" thickBot="1" x14ac:dyDescent="0.3">
      <c r="A27" s="574"/>
      <c r="B27" s="575"/>
      <c r="C27" s="575"/>
      <c r="D27" s="575"/>
      <c r="E27" s="575"/>
      <c r="F27" s="575"/>
      <c r="G27" s="575"/>
    </row>
    <row r="28" spans="1:7" ht="29.25" customHeight="1" x14ac:dyDescent="0.25">
      <c r="A28" s="24" t="s">
        <v>74</v>
      </c>
      <c r="B28" s="10" t="s">
        <v>75</v>
      </c>
      <c r="C28" s="10" t="s">
        <v>76</v>
      </c>
      <c r="D28" s="52" t="s">
        <v>114</v>
      </c>
      <c r="E28" s="52" t="s">
        <v>115</v>
      </c>
      <c r="F28" s="52" t="s">
        <v>116</v>
      </c>
      <c r="G28" s="52" t="s">
        <v>117</v>
      </c>
    </row>
    <row r="29" spans="1:7" ht="29.25" customHeight="1" x14ac:dyDescent="0.25">
      <c r="A29" s="39">
        <v>1265</v>
      </c>
      <c r="B29" s="8" t="s">
        <v>100</v>
      </c>
      <c r="C29" s="8" t="s">
        <v>62</v>
      </c>
      <c r="D29" s="2"/>
      <c r="E29" s="2"/>
      <c r="F29" s="2"/>
      <c r="G29" s="2"/>
    </row>
    <row r="30" spans="1:7" ht="29.25" customHeight="1" thickBot="1" x14ac:dyDescent="0.3">
      <c r="A30" s="28">
        <v>7593</v>
      </c>
      <c r="B30" s="11" t="s">
        <v>101</v>
      </c>
      <c r="C30" s="11" t="s">
        <v>56</v>
      </c>
      <c r="D30" s="5"/>
      <c r="E30" s="5"/>
      <c r="F30" s="5"/>
      <c r="G30" s="5"/>
    </row>
    <row r="31" spans="1:7" ht="29.25" customHeight="1" thickBot="1" x14ac:dyDescent="0.3">
      <c r="A31" s="566"/>
      <c r="B31" s="567"/>
      <c r="C31" s="567"/>
      <c r="D31" s="567"/>
      <c r="E31" s="567"/>
      <c r="F31" s="567"/>
      <c r="G31" s="567"/>
    </row>
    <row r="32" spans="1:7" ht="29.25" customHeight="1" x14ac:dyDescent="0.25">
      <c r="A32" s="24" t="s">
        <v>74</v>
      </c>
      <c r="B32" s="10" t="s">
        <v>75</v>
      </c>
      <c r="C32" s="10" t="s">
        <v>76</v>
      </c>
      <c r="D32" s="52" t="s">
        <v>114</v>
      </c>
      <c r="E32" s="52" t="s">
        <v>115</v>
      </c>
      <c r="F32" s="52" t="s">
        <v>116</v>
      </c>
      <c r="G32" s="52" t="s">
        <v>117</v>
      </c>
    </row>
    <row r="33" spans="1:7" ht="29.25" customHeight="1" x14ac:dyDescent="0.25">
      <c r="A33" s="36">
        <v>12059</v>
      </c>
      <c r="B33" s="8" t="s">
        <v>83</v>
      </c>
      <c r="C33" s="8" t="s">
        <v>62</v>
      </c>
      <c r="D33" s="2"/>
      <c r="E33" s="2"/>
      <c r="F33" s="2"/>
      <c r="G33" s="2"/>
    </row>
    <row r="34" spans="1:7" ht="29.25" customHeight="1" x14ac:dyDescent="0.25">
      <c r="A34" s="36">
        <v>12899</v>
      </c>
      <c r="B34" s="8" t="s">
        <v>83</v>
      </c>
      <c r="C34" s="8" t="s">
        <v>31</v>
      </c>
      <c r="D34" s="2"/>
      <c r="E34" s="2"/>
      <c r="F34" s="2"/>
      <c r="G34" s="2"/>
    </row>
    <row r="35" spans="1:7" ht="29.25" customHeight="1" x14ac:dyDescent="0.25">
      <c r="A35" s="36">
        <v>12093</v>
      </c>
      <c r="B35" s="8" t="s">
        <v>83</v>
      </c>
      <c r="C35" s="8" t="s">
        <v>56</v>
      </c>
      <c r="D35" s="2"/>
      <c r="E35" s="2"/>
      <c r="F35" s="2"/>
      <c r="G35" s="2"/>
    </row>
    <row r="36" spans="1:7" ht="29.25" customHeight="1" thickBot="1" x14ac:dyDescent="0.3">
      <c r="A36" s="28">
        <v>10504</v>
      </c>
      <c r="B36" s="11" t="s">
        <v>83</v>
      </c>
      <c r="C36" s="11" t="s">
        <v>47</v>
      </c>
      <c r="D36" s="5"/>
      <c r="E36" s="5"/>
      <c r="F36" s="5"/>
      <c r="G36" s="5"/>
    </row>
    <row r="37" spans="1:7" ht="29.25" customHeight="1" thickBot="1" x14ac:dyDescent="0.3">
      <c r="A37" s="570"/>
      <c r="B37" s="571"/>
      <c r="C37" s="571"/>
      <c r="D37" s="571"/>
      <c r="E37" s="571"/>
      <c r="F37" s="571"/>
      <c r="G37" s="571"/>
    </row>
    <row r="38" spans="1:7" ht="29.25" customHeight="1" x14ac:dyDescent="0.25">
      <c r="A38" s="24" t="s">
        <v>74</v>
      </c>
      <c r="B38" s="10" t="s">
        <v>75</v>
      </c>
      <c r="C38" s="10" t="s">
        <v>76</v>
      </c>
      <c r="D38" s="52" t="s">
        <v>114</v>
      </c>
      <c r="E38" s="52" t="s">
        <v>115</v>
      </c>
      <c r="F38" s="52" t="s">
        <v>116</v>
      </c>
      <c r="G38" s="52" t="s">
        <v>117</v>
      </c>
    </row>
    <row r="39" spans="1:7" ht="29.25" customHeight="1" x14ac:dyDescent="0.25">
      <c r="A39" s="41">
        <v>11629</v>
      </c>
      <c r="B39" s="40" t="s">
        <v>84</v>
      </c>
      <c r="C39" s="8" t="s">
        <v>47</v>
      </c>
      <c r="D39" s="2"/>
      <c r="E39" s="2"/>
      <c r="F39" s="2"/>
      <c r="G39" s="2"/>
    </row>
    <row r="40" spans="1:7" ht="29.25" customHeight="1" thickBot="1" x14ac:dyDescent="0.3">
      <c r="A40" s="29">
        <v>12154</v>
      </c>
      <c r="B40" s="21" t="s">
        <v>84</v>
      </c>
      <c r="C40" s="11" t="s">
        <v>56</v>
      </c>
      <c r="D40" s="5"/>
      <c r="E40" s="5"/>
      <c r="F40" s="5"/>
      <c r="G40" s="5"/>
    </row>
    <row r="41" spans="1:7" ht="29.25" customHeight="1" thickBot="1" x14ac:dyDescent="0.3">
      <c r="A41" s="570"/>
      <c r="B41" s="571"/>
      <c r="C41" s="571"/>
      <c r="D41" s="571"/>
      <c r="E41" s="571"/>
      <c r="F41" s="571"/>
      <c r="G41" s="571"/>
    </row>
    <row r="42" spans="1:7" ht="29.25" customHeight="1" x14ac:dyDescent="0.25">
      <c r="A42" s="24" t="s">
        <v>74</v>
      </c>
      <c r="B42" s="10" t="s">
        <v>75</v>
      </c>
      <c r="C42" s="10" t="s">
        <v>76</v>
      </c>
      <c r="D42" s="52" t="s">
        <v>114</v>
      </c>
      <c r="E42" s="52" t="s">
        <v>115</v>
      </c>
      <c r="F42" s="52" t="s">
        <v>116</v>
      </c>
      <c r="G42" s="52" t="s">
        <v>117</v>
      </c>
    </row>
    <row r="43" spans="1:7" ht="29.25" customHeight="1" x14ac:dyDescent="0.25">
      <c r="A43" s="30">
        <v>3681</v>
      </c>
      <c r="B43" s="22" t="s">
        <v>85</v>
      </c>
      <c r="C43" s="12" t="s">
        <v>62</v>
      </c>
      <c r="D43" s="2"/>
      <c r="E43" s="2"/>
      <c r="F43" s="2"/>
      <c r="G43" s="2"/>
    </row>
    <row r="44" spans="1:7" ht="29.25" customHeight="1" x14ac:dyDescent="0.25">
      <c r="A44" s="30">
        <v>8453</v>
      </c>
      <c r="B44" s="22" t="s">
        <v>85</v>
      </c>
      <c r="C44" s="12" t="s">
        <v>31</v>
      </c>
      <c r="D44" s="2"/>
      <c r="E44" s="2"/>
      <c r="F44" s="2"/>
      <c r="G44" s="2"/>
    </row>
    <row r="45" spans="1:7" ht="29.25" customHeight="1" thickBot="1" x14ac:dyDescent="0.3">
      <c r="A45" s="31">
        <v>6525</v>
      </c>
      <c r="B45" s="42" t="s">
        <v>85</v>
      </c>
      <c r="C45" s="15" t="s">
        <v>47</v>
      </c>
      <c r="D45" s="5"/>
      <c r="E45" s="5"/>
      <c r="F45" s="5"/>
      <c r="G45" s="5"/>
    </row>
    <row r="46" spans="1:7" ht="29.25" customHeight="1" thickBot="1" x14ac:dyDescent="0.3">
      <c r="A46" s="570"/>
      <c r="B46" s="571"/>
      <c r="C46" s="571"/>
      <c r="D46" s="571"/>
      <c r="E46" s="571"/>
      <c r="F46" s="571"/>
      <c r="G46" s="571"/>
    </row>
    <row r="47" spans="1:7" ht="29.25" customHeight="1" x14ac:dyDescent="0.25">
      <c r="A47" s="24" t="s">
        <v>74</v>
      </c>
      <c r="B47" s="10" t="s">
        <v>75</v>
      </c>
      <c r="C47" s="10" t="s">
        <v>76</v>
      </c>
      <c r="D47" s="52" t="s">
        <v>114</v>
      </c>
      <c r="E47" s="52" t="s">
        <v>115</v>
      </c>
      <c r="F47" s="52" t="s">
        <v>116</v>
      </c>
      <c r="G47" s="52" t="s">
        <v>117</v>
      </c>
    </row>
    <row r="48" spans="1:7" ht="29.25" customHeight="1" x14ac:dyDescent="0.25">
      <c r="A48" s="32">
        <v>8370</v>
      </c>
      <c r="B48" s="14" t="s">
        <v>104</v>
      </c>
      <c r="C48" s="14" t="s">
        <v>31</v>
      </c>
      <c r="D48" s="2"/>
      <c r="E48" s="2"/>
      <c r="F48" s="2"/>
      <c r="G48" s="2"/>
    </row>
    <row r="49" spans="1:7" ht="29.25" customHeight="1" x14ac:dyDescent="0.25">
      <c r="A49" s="32">
        <v>3494</v>
      </c>
      <c r="B49" s="14" t="s">
        <v>104</v>
      </c>
      <c r="C49" s="14" t="s">
        <v>62</v>
      </c>
      <c r="D49" s="2"/>
      <c r="E49" s="2"/>
      <c r="F49" s="2"/>
      <c r="G49" s="2"/>
    </row>
    <row r="50" spans="1:7" ht="29.25" customHeight="1" thickBot="1" x14ac:dyDescent="0.3">
      <c r="A50" s="43">
        <v>5288</v>
      </c>
      <c r="B50" s="16" t="s">
        <v>104</v>
      </c>
      <c r="C50" s="16" t="s">
        <v>47</v>
      </c>
      <c r="D50" s="5"/>
      <c r="E50" s="5"/>
      <c r="F50" s="5"/>
      <c r="G50" s="5"/>
    </row>
    <row r="51" spans="1:7" ht="29.25" customHeight="1" thickBot="1" x14ac:dyDescent="0.3">
      <c r="A51" s="570"/>
      <c r="B51" s="571"/>
      <c r="C51" s="571"/>
      <c r="D51" s="571"/>
      <c r="E51" s="571"/>
      <c r="F51" s="571"/>
      <c r="G51" s="571"/>
    </row>
    <row r="52" spans="1:7" ht="29.25" customHeight="1" x14ac:dyDescent="0.25">
      <c r="A52" s="24" t="s">
        <v>74</v>
      </c>
      <c r="B52" s="10" t="s">
        <v>75</v>
      </c>
      <c r="C52" s="10" t="s">
        <v>76</v>
      </c>
      <c r="D52" s="52" t="s">
        <v>114</v>
      </c>
      <c r="E52" s="52" t="s">
        <v>115</v>
      </c>
      <c r="F52" s="52" t="s">
        <v>116</v>
      </c>
      <c r="G52" s="52" t="s">
        <v>117</v>
      </c>
    </row>
    <row r="53" spans="1:7" ht="29.25" customHeight="1" x14ac:dyDescent="0.25">
      <c r="A53" s="30">
        <v>11796</v>
      </c>
      <c r="B53" s="12" t="s">
        <v>86</v>
      </c>
      <c r="C53" s="12" t="s">
        <v>31</v>
      </c>
      <c r="D53" s="2"/>
      <c r="E53" s="2"/>
      <c r="F53" s="2"/>
      <c r="G53" s="2"/>
    </row>
    <row r="54" spans="1:7" ht="29.25" customHeight="1" x14ac:dyDescent="0.25">
      <c r="A54" s="30">
        <v>7672</v>
      </c>
      <c r="B54" s="12" t="s">
        <v>86</v>
      </c>
      <c r="C54" s="12" t="s">
        <v>56</v>
      </c>
      <c r="D54" s="2"/>
      <c r="E54" s="2"/>
      <c r="F54" s="2"/>
      <c r="G54" s="2"/>
    </row>
    <row r="55" spans="1:7" ht="29.25" customHeight="1" x14ac:dyDescent="0.25">
      <c r="A55" s="30">
        <v>10265</v>
      </c>
      <c r="B55" s="12" t="s">
        <v>87</v>
      </c>
      <c r="C55" s="12" t="s">
        <v>56</v>
      </c>
      <c r="D55" s="2"/>
      <c r="E55" s="2"/>
      <c r="F55" s="2"/>
      <c r="G55" s="2"/>
    </row>
    <row r="56" spans="1:7" ht="29.25" customHeight="1" x14ac:dyDescent="0.25">
      <c r="A56" s="30">
        <v>12271</v>
      </c>
      <c r="B56" s="12" t="s">
        <v>88</v>
      </c>
      <c r="C56" s="12" t="s">
        <v>62</v>
      </c>
      <c r="D56" s="2"/>
      <c r="E56" s="2"/>
      <c r="F56" s="2"/>
      <c r="G56" s="2"/>
    </row>
    <row r="57" spans="1:7" ht="29.25" customHeight="1" x14ac:dyDescent="0.25">
      <c r="A57" s="30">
        <v>12152</v>
      </c>
      <c r="B57" s="12" t="s">
        <v>88</v>
      </c>
      <c r="C57" s="12" t="s">
        <v>47</v>
      </c>
      <c r="D57" s="2"/>
      <c r="E57" s="2"/>
      <c r="F57" s="2"/>
      <c r="G57" s="2"/>
    </row>
    <row r="58" spans="1:7" ht="29.25" customHeight="1" thickBot="1" x14ac:dyDescent="0.3">
      <c r="A58" s="31">
        <v>8601</v>
      </c>
      <c r="B58" s="15" t="s">
        <v>88</v>
      </c>
      <c r="C58" s="15" t="s">
        <v>31</v>
      </c>
      <c r="D58" s="5"/>
      <c r="E58" s="5"/>
      <c r="F58" s="5"/>
      <c r="G58" s="5"/>
    </row>
    <row r="59" spans="1:7" ht="29.25" customHeight="1" thickBot="1" x14ac:dyDescent="0.3">
      <c r="A59" s="572"/>
      <c r="B59" s="573"/>
      <c r="C59" s="573"/>
      <c r="D59" s="573"/>
      <c r="E59" s="573"/>
      <c r="F59" s="573"/>
      <c r="G59" s="573"/>
    </row>
    <row r="60" spans="1:7" ht="29.25" customHeight="1" x14ac:dyDescent="0.25">
      <c r="A60" s="24" t="s">
        <v>74</v>
      </c>
      <c r="B60" s="10" t="s">
        <v>75</v>
      </c>
      <c r="C60" s="10" t="s">
        <v>76</v>
      </c>
      <c r="D60" s="52" t="s">
        <v>114</v>
      </c>
      <c r="E60" s="52" t="s">
        <v>115</v>
      </c>
      <c r="F60" s="52" t="s">
        <v>116</v>
      </c>
      <c r="G60" s="52" t="s">
        <v>117</v>
      </c>
    </row>
    <row r="61" spans="1:7" ht="29.25" customHeight="1" x14ac:dyDescent="0.25">
      <c r="A61" s="32">
        <v>5349</v>
      </c>
      <c r="B61" s="14" t="s">
        <v>105</v>
      </c>
      <c r="C61" s="12" t="s">
        <v>47</v>
      </c>
      <c r="D61" s="2"/>
      <c r="E61" s="2"/>
      <c r="F61" s="2"/>
      <c r="G61" s="2"/>
    </row>
    <row r="62" spans="1:7" ht="29.25" customHeight="1" x14ac:dyDescent="0.25">
      <c r="A62" s="32">
        <v>8428</v>
      </c>
      <c r="B62" s="14" t="s">
        <v>105</v>
      </c>
      <c r="C62" s="12" t="s">
        <v>31</v>
      </c>
      <c r="D62" s="2"/>
      <c r="E62" s="2"/>
      <c r="F62" s="2"/>
      <c r="G62" s="2"/>
    </row>
    <row r="63" spans="1:7" ht="29.25" customHeight="1" x14ac:dyDescent="0.25">
      <c r="A63" s="32">
        <v>4518</v>
      </c>
      <c r="B63" s="14" t="s">
        <v>105</v>
      </c>
      <c r="C63" s="12" t="s">
        <v>44</v>
      </c>
      <c r="D63" s="2"/>
      <c r="E63" s="2"/>
      <c r="F63" s="2"/>
      <c r="G63" s="2"/>
    </row>
    <row r="64" spans="1:7" ht="29.25" customHeight="1" thickBot="1" x14ac:dyDescent="0.3">
      <c r="A64" s="43">
        <v>2414</v>
      </c>
      <c r="B64" s="16" t="s">
        <v>105</v>
      </c>
      <c r="C64" s="15" t="s">
        <v>78</v>
      </c>
      <c r="D64" s="5"/>
      <c r="E64" s="5"/>
      <c r="F64" s="5"/>
      <c r="G64" s="5"/>
    </row>
    <row r="65" spans="1:12" ht="29.25" customHeight="1" thickBot="1" x14ac:dyDescent="0.3">
      <c r="A65" s="572"/>
      <c r="B65" s="573"/>
      <c r="C65" s="573"/>
      <c r="D65" s="573"/>
      <c r="E65" s="573"/>
      <c r="F65" s="573"/>
      <c r="G65" s="573"/>
      <c r="L65" s="44"/>
    </row>
    <row r="66" spans="1:12" ht="29.25" customHeight="1" x14ac:dyDescent="0.25">
      <c r="A66" s="24" t="s">
        <v>74</v>
      </c>
      <c r="B66" s="10" t="s">
        <v>75</v>
      </c>
      <c r="C66" s="10" t="s">
        <v>76</v>
      </c>
      <c r="D66" s="52" t="s">
        <v>114</v>
      </c>
      <c r="E66" s="52" t="s">
        <v>115</v>
      </c>
      <c r="F66" s="52" t="s">
        <v>116</v>
      </c>
      <c r="G66" s="52" t="s">
        <v>117</v>
      </c>
    </row>
    <row r="67" spans="1:12" ht="29.25" customHeight="1" x14ac:dyDescent="0.25">
      <c r="A67" s="32">
        <v>3591</v>
      </c>
      <c r="B67" s="14" t="s">
        <v>106</v>
      </c>
      <c r="C67" s="14" t="s">
        <v>62</v>
      </c>
      <c r="D67" s="2"/>
      <c r="E67" s="2"/>
      <c r="F67" s="2"/>
      <c r="G67" s="2"/>
    </row>
    <row r="68" spans="1:12" ht="29.25" customHeight="1" x14ac:dyDescent="0.25">
      <c r="A68" s="32">
        <v>1755</v>
      </c>
      <c r="B68" s="14" t="s">
        <v>106</v>
      </c>
      <c r="C68" s="14" t="s">
        <v>71</v>
      </c>
      <c r="D68" s="2"/>
      <c r="E68" s="2"/>
      <c r="F68" s="2"/>
      <c r="G68" s="2"/>
    </row>
    <row r="69" spans="1:12" ht="29.25" customHeight="1" thickBot="1" x14ac:dyDescent="0.3">
      <c r="A69" s="43">
        <v>2917</v>
      </c>
      <c r="B69" s="16" t="s">
        <v>106</v>
      </c>
      <c r="C69" s="16" t="s">
        <v>56</v>
      </c>
      <c r="D69" s="5"/>
      <c r="E69" s="5"/>
      <c r="F69" s="5"/>
      <c r="G69" s="5"/>
    </row>
    <row r="70" spans="1:12" ht="29.25" customHeight="1" thickBot="1" x14ac:dyDescent="0.3">
      <c r="A70" s="570"/>
      <c r="B70" s="571"/>
      <c r="C70" s="571"/>
      <c r="D70" s="571"/>
      <c r="E70" s="571"/>
      <c r="F70" s="571"/>
      <c r="G70" s="571"/>
    </row>
    <row r="71" spans="1:12" ht="29.25" customHeight="1" x14ac:dyDescent="0.25">
      <c r="A71" s="24" t="s">
        <v>74</v>
      </c>
      <c r="B71" s="10" t="s">
        <v>75</v>
      </c>
      <c r="C71" s="10" t="s">
        <v>76</v>
      </c>
      <c r="D71" s="52" t="s">
        <v>114</v>
      </c>
      <c r="E71" s="52" t="s">
        <v>115</v>
      </c>
      <c r="F71" s="52" t="s">
        <v>116</v>
      </c>
      <c r="G71" s="52" t="s">
        <v>117</v>
      </c>
    </row>
    <row r="72" spans="1:12" ht="29.25" customHeight="1" x14ac:dyDescent="0.25">
      <c r="A72" s="32" t="s">
        <v>98</v>
      </c>
      <c r="B72" s="14" t="s">
        <v>89</v>
      </c>
      <c r="C72" s="14" t="s">
        <v>97</v>
      </c>
      <c r="D72" s="2"/>
      <c r="E72" s="2"/>
      <c r="F72" s="2"/>
      <c r="G72" s="2"/>
    </row>
    <row r="73" spans="1:12" ht="29.25" customHeight="1" thickBot="1" x14ac:dyDescent="0.3">
      <c r="A73" s="43" t="s">
        <v>98</v>
      </c>
      <c r="B73" s="16" t="s">
        <v>89</v>
      </c>
      <c r="C73" s="16" t="s">
        <v>99</v>
      </c>
      <c r="D73" s="5"/>
      <c r="E73" s="5"/>
      <c r="F73" s="5"/>
      <c r="G73" s="5"/>
    </row>
    <row r="74" spans="1:12" ht="29.25" customHeight="1" thickBot="1" x14ac:dyDescent="0.3">
      <c r="A74" s="570"/>
      <c r="B74" s="571"/>
      <c r="C74" s="571"/>
      <c r="D74" s="571"/>
      <c r="E74" s="571"/>
      <c r="F74" s="571"/>
      <c r="G74" s="571"/>
    </row>
    <row r="75" spans="1:12" ht="29.25" customHeight="1" x14ac:dyDescent="0.25">
      <c r="A75" s="24" t="s">
        <v>74</v>
      </c>
      <c r="B75" s="10" t="s">
        <v>75</v>
      </c>
      <c r="C75" s="10" t="s">
        <v>76</v>
      </c>
      <c r="D75" s="52" t="s">
        <v>114</v>
      </c>
      <c r="E75" s="52" t="s">
        <v>115</v>
      </c>
      <c r="F75" s="52" t="s">
        <v>116</v>
      </c>
      <c r="G75" s="52" t="s">
        <v>117</v>
      </c>
    </row>
    <row r="76" spans="1:12" ht="29.25" customHeight="1" x14ac:dyDescent="0.25">
      <c r="A76" s="30">
        <v>3534</v>
      </c>
      <c r="B76" s="12" t="s">
        <v>90</v>
      </c>
      <c r="C76" s="12" t="s">
        <v>62</v>
      </c>
      <c r="D76" s="2"/>
      <c r="E76" s="2"/>
      <c r="F76" s="2"/>
      <c r="G76" s="2"/>
    </row>
    <row r="77" spans="1:12" ht="29.25" customHeight="1" x14ac:dyDescent="0.25">
      <c r="A77" s="30">
        <v>5306</v>
      </c>
      <c r="B77" s="12" t="s">
        <v>90</v>
      </c>
      <c r="C77" s="12" t="s">
        <v>47</v>
      </c>
      <c r="D77" s="2"/>
      <c r="E77" s="2"/>
      <c r="F77" s="2"/>
      <c r="G77" s="2"/>
    </row>
    <row r="78" spans="1:12" ht="29.25" customHeight="1" x14ac:dyDescent="0.25">
      <c r="A78" s="30">
        <v>8364</v>
      </c>
      <c r="B78" s="12" t="s">
        <v>90</v>
      </c>
      <c r="C78" s="12" t="s">
        <v>31</v>
      </c>
      <c r="D78" s="2"/>
      <c r="E78" s="2"/>
      <c r="F78" s="2"/>
      <c r="G78" s="2"/>
    </row>
    <row r="79" spans="1:12" ht="29.25" customHeight="1" thickBot="1" x14ac:dyDescent="0.3">
      <c r="A79" s="31">
        <v>2898</v>
      </c>
      <c r="B79" s="15" t="s">
        <v>90</v>
      </c>
      <c r="C79" s="15" t="s">
        <v>56</v>
      </c>
      <c r="D79" s="5"/>
      <c r="E79" s="5"/>
      <c r="F79" s="5"/>
      <c r="G79" s="5"/>
    </row>
    <row r="80" spans="1:12" ht="29.25" customHeight="1" thickBot="1" x14ac:dyDescent="0.3">
      <c r="A80" s="566"/>
      <c r="B80" s="567"/>
      <c r="C80" s="567"/>
      <c r="D80" s="567"/>
      <c r="E80" s="567"/>
      <c r="F80" s="567"/>
      <c r="G80" s="567"/>
    </row>
    <row r="81" spans="1:7" ht="29.25" customHeight="1" thickBot="1" x14ac:dyDescent="0.3">
      <c r="A81" s="568" t="s">
        <v>96</v>
      </c>
      <c r="B81" s="569"/>
      <c r="C81" s="569"/>
      <c r="D81" s="569"/>
      <c r="E81" s="569"/>
      <c r="F81" s="569"/>
      <c r="G81" s="569"/>
    </row>
    <row r="82" spans="1:7" ht="29.25" customHeight="1" x14ac:dyDescent="0.25">
      <c r="A82" s="45" t="s">
        <v>74</v>
      </c>
      <c r="B82" s="6" t="s">
        <v>75</v>
      </c>
      <c r="C82" s="6" t="s">
        <v>76</v>
      </c>
      <c r="D82" s="52" t="s">
        <v>114</v>
      </c>
      <c r="E82" s="52" t="s">
        <v>115</v>
      </c>
      <c r="F82" s="52" t="s">
        <v>116</v>
      </c>
      <c r="G82" s="52" t="s">
        <v>117</v>
      </c>
    </row>
    <row r="83" spans="1:7" ht="29.25" customHeight="1" x14ac:dyDescent="0.25">
      <c r="A83" s="46" t="s">
        <v>49</v>
      </c>
      <c r="B83" s="23" t="s">
        <v>107</v>
      </c>
      <c r="C83" s="13" t="s">
        <v>47</v>
      </c>
      <c r="D83" s="2"/>
      <c r="E83" s="2"/>
      <c r="F83" s="2"/>
      <c r="G83" s="2"/>
    </row>
    <row r="84" spans="1:7" ht="29.25" customHeight="1" thickBot="1" x14ac:dyDescent="0.3">
      <c r="A84" s="564"/>
      <c r="B84" s="565"/>
      <c r="C84" s="565"/>
      <c r="D84" s="565"/>
      <c r="E84" s="565"/>
      <c r="F84" s="565"/>
      <c r="G84" s="565"/>
    </row>
    <row r="85" spans="1:7" ht="29.25" customHeight="1" x14ac:dyDescent="0.25">
      <c r="A85" s="47" t="s">
        <v>74</v>
      </c>
      <c r="B85" s="6" t="s">
        <v>75</v>
      </c>
      <c r="C85" s="6" t="s">
        <v>76</v>
      </c>
      <c r="D85" s="52" t="s">
        <v>114</v>
      </c>
      <c r="E85" s="52" t="s">
        <v>115</v>
      </c>
      <c r="F85" s="52" t="s">
        <v>116</v>
      </c>
      <c r="G85" s="52" t="s">
        <v>117</v>
      </c>
    </row>
    <row r="86" spans="1:7" ht="29.25" customHeight="1" x14ac:dyDescent="0.25">
      <c r="A86" s="48" t="s">
        <v>65</v>
      </c>
      <c r="B86" s="17" t="s">
        <v>108</v>
      </c>
      <c r="C86" s="17" t="s">
        <v>62</v>
      </c>
      <c r="D86" s="2"/>
      <c r="E86" s="2"/>
      <c r="F86" s="2"/>
      <c r="G86" s="2"/>
    </row>
    <row r="87" spans="1:7" ht="29.25" customHeight="1" thickBot="1" x14ac:dyDescent="0.3">
      <c r="A87" s="564"/>
      <c r="B87" s="565"/>
      <c r="C87" s="565"/>
      <c r="D87" s="565"/>
      <c r="E87" s="565"/>
      <c r="F87" s="565"/>
      <c r="G87" s="565"/>
    </row>
    <row r="88" spans="1:7" ht="29.25" customHeight="1" x14ac:dyDescent="0.25">
      <c r="A88" s="47" t="s">
        <v>74</v>
      </c>
      <c r="B88" s="6" t="s">
        <v>75</v>
      </c>
      <c r="C88" s="6" t="s">
        <v>76</v>
      </c>
      <c r="D88" s="52" t="s">
        <v>114</v>
      </c>
      <c r="E88" s="52" t="s">
        <v>115</v>
      </c>
      <c r="F88" s="52" t="s">
        <v>116</v>
      </c>
      <c r="G88" s="52" t="s">
        <v>117</v>
      </c>
    </row>
    <row r="89" spans="1:7" ht="29.25" customHeight="1" x14ac:dyDescent="0.25">
      <c r="A89" s="48" t="s">
        <v>69</v>
      </c>
      <c r="B89" s="17" t="s">
        <v>109</v>
      </c>
      <c r="C89" s="17" t="s">
        <v>62</v>
      </c>
      <c r="D89" s="2"/>
      <c r="E89" s="2"/>
      <c r="F89" s="2"/>
      <c r="G89" s="2"/>
    </row>
    <row r="90" spans="1:7" ht="29.25" customHeight="1" thickBot="1" x14ac:dyDescent="0.3">
      <c r="A90" s="564"/>
      <c r="B90" s="565"/>
      <c r="C90" s="565"/>
      <c r="D90" s="565"/>
      <c r="E90" s="565"/>
      <c r="F90" s="565"/>
      <c r="G90" s="565"/>
    </row>
    <row r="91" spans="1:7" ht="29.25" customHeight="1" x14ac:dyDescent="0.25">
      <c r="A91" s="47" t="s">
        <v>74</v>
      </c>
      <c r="B91" s="6" t="s">
        <v>75</v>
      </c>
      <c r="C91" s="6" t="s">
        <v>76</v>
      </c>
      <c r="D91" s="52" t="s">
        <v>114</v>
      </c>
      <c r="E91" s="52" t="s">
        <v>115</v>
      </c>
      <c r="F91" s="52" t="s">
        <v>116</v>
      </c>
      <c r="G91" s="52" t="s">
        <v>117</v>
      </c>
    </row>
    <row r="92" spans="1:7" ht="29.25" customHeight="1" thickBot="1" x14ac:dyDescent="0.3">
      <c r="A92" s="49" t="s">
        <v>52</v>
      </c>
      <c r="B92" s="50" t="s">
        <v>110</v>
      </c>
      <c r="C92" s="51" t="s">
        <v>47</v>
      </c>
      <c r="D92" s="5"/>
      <c r="E92" s="5"/>
      <c r="F92" s="5"/>
      <c r="G92" s="5"/>
    </row>
  </sheetData>
  <mergeCells count="19">
    <mergeCell ref="A10:G10"/>
    <mergeCell ref="A20:G20"/>
    <mergeCell ref="A24:G24"/>
    <mergeCell ref="A14:G14"/>
    <mergeCell ref="A37:G37"/>
    <mergeCell ref="A27:G27"/>
    <mergeCell ref="A31:G31"/>
    <mergeCell ref="A51:G51"/>
    <mergeCell ref="A41:G41"/>
    <mergeCell ref="A46:G46"/>
    <mergeCell ref="A70:G70"/>
    <mergeCell ref="A74:G74"/>
    <mergeCell ref="A59:G59"/>
    <mergeCell ref="A65:G65"/>
    <mergeCell ref="A87:G87"/>
    <mergeCell ref="A90:G90"/>
    <mergeCell ref="A80:G80"/>
    <mergeCell ref="A81:G81"/>
    <mergeCell ref="A84:G84"/>
  </mergeCells>
  <printOptions gridLines="1"/>
  <pageMargins left="0.23622047244094491" right="0.23622047244094491" top="0.74803149606299213" bottom="0.74803149606299213" header="0.31496062992125984" footer="0.31496062992125984"/>
  <pageSetup paperSize="9" fitToHeight="0" orientation="portrait" r:id="rId1"/>
  <rowBreaks count="2" manualBreakCount="2">
    <brk id="23" max="9" man="1"/>
    <brk id="45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76BEE-C62D-4997-B112-1BAA1260BC0B}">
  <sheetPr codeName="Foglio15">
    <pageSetUpPr fitToPage="1"/>
  </sheetPr>
  <dimension ref="A1:V55"/>
  <sheetViews>
    <sheetView zoomScale="80" zoomScaleNormal="80" workbookViewId="0">
      <selection activeCell="N10" sqref="N10"/>
    </sheetView>
  </sheetViews>
  <sheetFormatPr defaultColWidth="9.140625" defaultRowHeight="12.75" x14ac:dyDescent="0.25"/>
  <cols>
    <col min="1" max="1" width="13.140625" style="491" customWidth="1"/>
    <col min="2" max="2" width="33.42578125" style="484" bestFit="1" customWidth="1"/>
    <col min="3" max="3" width="18.85546875" style="484" customWidth="1"/>
    <col min="4" max="4" width="15.140625" style="492" bestFit="1" customWidth="1"/>
    <col min="5" max="8" width="10.7109375" style="484" customWidth="1"/>
    <col min="9" max="9" width="9.140625" style="484"/>
    <col min="10" max="10" width="12.42578125" style="484" bestFit="1" customWidth="1"/>
    <col min="11" max="11" width="9.140625" style="484"/>
    <col min="12" max="12" width="7.140625" style="484" customWidth="1"/>
    <col min="13" max="13" width="10.85546875" style="484" bestFit="1" customWidth="1"/>
    <col min="14" max="14" width="13.140625" style="484" bestFit="1" customWidth="1"/>
    <col min="15" max="15" width="13.42578125" style="484" bestFit="1" customWidth="1"/>
    <col min="16" max="16" width="21.5703125" style="490" bestFit="1" customWidth="1"/>
    <col min="17" max="17" width="14.42578125" style="484" bestFit="1" customWidth="1"/>
    <col min="18" max="16384" width="9.140625" style="484"/>
  </cols>
  <sheetData>
    <row r="1" spans="1:17" ht="25.5" x14ac:dyDescent="0.25">
      <c r="A1" s="482" t="s">
        <v>95</v>
      </c>
      <c r="B1" s="482" t="s">
        <v>15</v>
      </c>
      <c r="C1" s="482" t="s">
        <v>76</v>
      </c>
      <c r="D1" s="483" t="s">
        <v>145</v>
      </c>
      <c r="E1" s="482" t="s">
        <v>91</v>
      </c>
      <c r="F1" s="482" t="s">
        <v>92</v>
      </c>
      <c r="G1" s="482" t="s">
        <v>93</v>
      </c>
      <c r="H1" s="482" t="s">
        <v>94</v>
      </c>
      <c r="I1" s="482" t="s">
        <v>111</v>
      </c>
      <c r="J1" s="488" t="s">
        <v>282</v>
      </c>
      <c r="K1" s="488"/>
      <c r="L1" s="488"/>
      <c r="M1" s="488" t="s">
        <v>206</v>
      </c>
      <c r="N1" s="493" t="s">
        <v>245</v>
      </c>
      <c r="O1" s="488" t="s">
        <v>246</v>
      </c>
      <c r="P1" s="488" t="s">
        <v>247</v>
      </c>
      <c r="Q1" s="488" t="s">
        <v>248</v>
      </c>
    </row>
    <row r="2" spans="1:17" x14ac:dyDescent="0.25">
      <c r="A2" s="485">
        <f>+ANALISI!A3</f>
        <v>8601</v>
      </c>
      <c r="B2" s="488" t="str">
        <f>+ANALISI!C3</f>
        <v xml:space="preserve">TER-GRAN SASSO </v>
      </c>
      <c r="C2" s="486" t="str">
        <f>+ANALISI!B3</f>
        <v>BERSHKA</v>
      </c>
      <c r="D2" s="487">
        <f>VLOOKUP(A2,ANALISI!A:O,14,FALSE)</f>
        <v>7.3299999535083771</v>
      </c>
      <c r="E2" s="488">
        <f>_xlfn.IFNA(VLOOKUP(A2,ANALISI!A:O,4,FALSE),0)</f>
        <v>66</v>
      </c>
      <c r="F2" s="488">
        <f>_xlfn.IFNA(VLOOKUP(A2,ANALISI!A:O,5,FALSE),0)</f>
        <v>0</v>
      </c>
      <c r="G2" s="488">
        <f>_xlfn.IFNA(VLOOKUP(A2,ANALISI!A:O,8,FALSE),0)</f>
        <v>6</v>
      </c>
      <c r="H2" s="488">
        <f>_xlfn.IFNA(VLOOKUP(A2,ANALISI!A:O,11,FALSE),0)</f>
        <v>2</v>
      </c>
      <c r="I2" s="489">
        <f>CEILING(D2/1.9,1)</f>
        <v>4</v>
      </c>
      <c r="J2" s="488" t="str">
        <f>+VLOOKUP(A2,'SPUNTA ARRIVI '!A:Z,26,FALSE)</f>
        <v>ZA2</v>
      </c>
      <c r="K2" s="488"/>
      <c r="L2" s="488"/>
      <c r="M2" s="488">
        <f>+A2</f>
        <v>8601</v>
      </c>
      <c r="N2" s="495">
        <v>10</v>
      </c>
      <c r="O2" s="488">
        <f>IFERROR(VLOOKUP(M2,'SPUNTA ARRIVI '!$A$2:$C$76,1,FALSE),A2)</f>
        <v>8601</v>
      </c>
      <c r="P2" s="494" t="str">
        <f>IFERROR(VLOOKUP(M2,'SPUNTA ARRIVI '!$A$2:$C$76,2,FALSE), $B2)</f>
        <v>C.C. Gran sasso</v>
      </c>
      <c r="Q2" s="488" t="str">
        <f>IFERROR(VLOOKUP(M2,'SPUNTA ARRIVI '!$A$2:$C$76,3,FALSE),C2)</f>
        <v>BERSHKA</v>
      </c>
    </row>
    <row r="3" spans="1:17" x14ac:dyDescent="0.25">
      <c r="A3" s="485">
        <f>+ANALISI!A4</f>
        <v>8364</v>
      </c>
      <c r="B3" s="488" t="str">
        <f>+ANALISI!C4</f>
        <v xml:space="preserve">ROM-ROMA EST   </v>
      </c>
      <c r="C3" s="486" t="str">
        <f>+ANALISI!B4</f>
        <v>BERSHKA</v>
      </c>
      <c r="D3" s="487">
        <f>VLOOKUP(A3,ANALISI!A:O,14,FALSE)</f>
        <v>14.239999711513519</v>
      </c>
      <c r="E3" s="488">
        <f>_xlfn.IFNA(VLOOKUP(A3,ANALISI!A:O,4,FALSE),0)</f>
        <v>136</v>
      </c>
      <c r="F3" s="488">
        <f>_xlfn.IFNA(VLOOKUP(A3,ANALISI!A:O,5,FALSE),0)</f>
        <v>2</v>
      </c>
      <c r="G3" s="488">
        <f>_xlfn.IFNA(VLOOKUP(A3,ANALISI!A:O,8,FALSE),0)</f>
        <v>11</v>
      </c>
      <c r="H3" s="488">
        <f>_xlfn.IFNA(VLOOKUP(A3,ANALISI!A:O,11,FALSE),0)</f>
        <v>0</v>
      </c>
      <c r="I3" s="489">
        <f t="shared" ref="I3:I51" si="0">CEILING(D3/1.9,1)</f>
        <v>8</v>
      </c>
      <c r="J3" s="488" t="str">
        <f>+VLOOKUP(A3,'SPUNTA ARRIVI '!A:Z,26,FALSE)</f>
        <v>ZA14</v>
      </c>
      <c r="K3" s="488"/>
      <c r="L3" s="488"/>
      <c r="M3" s="488">
        <f t="shared" ref="M3:M51" si="1">+A3</f>
        <v>8364</v>
      </c>
      <c r="N3" s="495">
        <v>17</v>
      </c>
      <c r="O3" s="488">
        <f>IFERROR(VLOOKUP(M3,'SPUNTA ARRIVI '!$A$2:$C$76,1,FALSE),A3)</f>
        <v>8364</v>
      </c>
      <c r="P3" s="494" t="str">
        <f>IFERROR(VLOOKUP(M3,'SPUNTA ARRIVI '!$A$2:$C$76,2,FALSE), $B3)</f>
        <v xml:space="preserve">CC Roma EST </v>
      </c>
      <c r="Q3" s="488" t="str">
        <f>IFERROR(VLOOKUP(M3,'SPUNTA ARRIVI '!$A$2:$C$76,3,FALSE),C3)</f>
        <v>BERSHKA</v>
      </c>
    </row>
    <row r="4" spans="1:17" x14ac:dyDescent="0.25">
      <c r="A4" s="485">
        <f>+ANALISI!A5</f>
        <v>14825</v>
      </c>
      <c r="B4" s="488" t="str">
        <f>+ANALISI!C5</f>
        <v xml:space="preserve">ROM-P.DI ROMA  </v>
      </c>
      <c r="C4" s="486" t="str">
        <f>+ANALISI!B5</f>
        <v>BERSHKA</v>
      </c>
      <c r="D4" s="487">
        <f>VLOOKUP(A4,ANALISI!A:O,14,FALSE)</f>
        <v>18.160000085830688</v>
      </c>
      <c r="E4" s="488">
        <f>_xlfn.IFNA(VLOOKUP(A4,ANALISI!A:O,4,FALSE),0)</f>
        <v>178</v>
      </c>
      <c r="F4" s="488">
        <f>_xlfn.IFNA(VLOOKUP(A4,ANALISI!A:O,5,FALSE),0)</f>
        <v>2</v>
      </c>
      <c r="G4" s="488">
        <f>_xlfn.IFNA(VLOOKUP(A4,ANALISI!A:O,8,FALSE),0)</f>
        <v>12</v>
      </c>
      <c r="H4" s="488">
        <f>_xlfn.IFNA(VLOOKUP(A4,ANALISI!A:O,11,FALSE),0)</f>
        <v>0</v>
      </c>
      <c r="I4" s="489">
        <f t="shared" si="0"/>
        <v>10</v>
      </c>
      <c r="J4" s="488" t="str">
        <f>+VLOOKUP(A4,'SPUNTA ARRIVI '!A:Z,26,FALSE)</f>
        <v>ZA4</v>
      </c>
      <c r="K4" s="488"/>
      <c r="L4" s="488"/>
      <c r="M4" s="488">
        <f t="shared" si="1"/>
        <v>14825</v>
      </c>
      <c r="N4" s="495">
        <v>16</v>
      </c>
      <c r="O4" s="488">
        <f>IFERROR(VLOOKUP(M4,'SPUNTA ARRIVI '!$A$2:$C$76,1,FALSE),A4)</f>
        <v>14825</v>
      </c>
      <c r="P4" s="494" t="str">
        <f>IFERROR(VLOOKUP(M4,'SPUNTA ARRIVI '!$A$2:$C$76,2,FALSE), $B4)</f>
        <v>C.C.La Porta di Roma</v>
      </c>
      <c r="Q4" s="488" t="str">
        <f>IFERROR(VLOOKUP(M4,'SPUNTA ARRIVI '!$A$2:$C$76,3,FALSE),C4)</f>
        <v>BERSHKA</v>
      </c>
    </row>
    <row r="5" spans="1:17" x14ac:dyDescent="0.25">
      <c r="A5" s="485">
        <f>+ANALISI!A6</f>
        <v>12899</v>
      </c>
      <c r="B5" s="488" t="str">
        <f>+ANALISI!C6</f>
        <v xml:space="preserve">ROM-GRAN ROMA  </v>
      </c>
      <c r="C5" s="486" t="str">
        <f>+ANALISI!B6</f>
        <v>BERSHKA</v>
      </c>
      <c r="D5" s="487">
        <f>VLOOKUP(A5,ANALISI!A:O,14,FALSE)</f>
        <v>5.4600001275539398</v>
      </c>
      <c r="E5" s="488">
        <f>_xlfn.IFNA(VLOOKUP(A5,ANALISI!A:O,4,FALSE),0)</f>
        <v>54</v>
      </c>
      <c r="F5" s="488">
        <f>_xlfn.IFNA(VLOOKUP(A5,ANALISI!A:O,5,FALSE),0)</f>
        <v>0</v>
      </c>
      <c r="G5" s="488">
        <f>_xlfn.IFNA(VLOOKUP(A5,ANALISI!A:O,8,FALSE),0)</f>
        <v>4</v>
      </c>
      <c r="H5" s="488">
        <f>_xlfn.IFNA(VLOOKUP(A5,ANALISI!A:O,11,FALSE),0)</f>
        <v>0</v>
      </c>
      <c r="I5" s="489">
        <f t="shared" si="0"/>
        <v>3</v>
      </c>
      <c r="J5" s="488" t="str">
        <f>+VLOOKUP(A5,'SPUNTA ARRIVI '!A:Z,26,FALSE)</f>
        <v>ZA8</v>
      </c>
      <c r="K5" s="488"/>
      <c r="L5" s="488"/>
      <c r="M5" s="488">
        <f t="shared" si="1"/>
        <v>12899</v>
      </c>
      <c r="N5" s="495">
        <v>9</v>
      </c>
      <c r="O5" s="488">
        <f>IFERROR(VLOOKUP(M5,'SPUNTA ARRIVI '!$A$2:$C$76,1,FALSE),A5)</f>
        <v>12899</v>
      </c>
      <c r="P5" s="494" t="str">
        <f>IFERROR(VLOOKUP(M5,'SPUNTA ARRIVI '!$A$2:$C$76,2,FALSE), $B5)</f>
        <v xml:space="preserve">CC GRAN ROMA </v>
      </c>
      <c r="Q5" s="488" t="str">
        <f>IFERROR(VLOOKUP(M5,'SPUNTA ARRIVI '!$A$2:$C$76,3,FALSE),C5)</f>
        <v>BERSHKA</v>
      </c>
    </row>
    <row r="6" spans="1:17" x14ac:dyDescent="0.25">
      <c r="A6" s="485">
        <f>+ANALISI!A7</f>
        <v>8428</v>
      </c>
      <c r="B6" s="488" t="str">
        <f>+ANALISI!C7</f>
        <v xml:space="preserve">ROM-EUROMA2    </v>
      </c>
      <c r="C6" s="486" t="str">
        <f>+ANALISI!B7</f>
        <v>BERSHKA</v>
      </c>
      <c r="D6" s="487">
        <f>VLOOKUP(A6,ANALISI!A:O,14,FALSE)</f>
        <v>15.149999797344208</v>
      </c>
      <c r="E6" s="488">
        <f>_xlfn.IFNA(VLOOKUP(A6,ANALISI!A:O,4,FALSE),0)</f>
        <v>154</v>
      </c>
      <c r="F6" s="488">
        <f>_xlfn.IFNA(VLOOKUP(A6,ANALISI!A:O,5,FALSE),0)</f>
        <v>0</v>
      </c>
      <c r="G6" s="488">
        <f>_xlfn.IFNA(VLOOKUP(A6,ANALISI!A:O,8,FALSE),0)</f>
        <v>7</v>
      </c>
      <c r="H6" s="488">
        <f>_xlfn.IFNA(VLOOKUP(A6,ANALISI!A:O,11,FALSE),0)</f>
        <v>0</v>
      </c>
      <c r="I6" s="489">
        <f t="shared" si="0"/>
        <v>8</v>
      </c>
      <c r="J6" s="488" t="str">
        <f>+VLOOKUP(A6,'SPUNTA ARRIVI '!A:Z,26,FALSE)</f>
        <v>ZA11</v>
      </c>
      <c r="K6" s="488"/>
      <c r="L6" s="488"/>
      <c r="M6" s="488">
        <f t="shared" si="1"/>
        <v>8428</v>
      </c>
      <c r="N6" s="495">
        <v>8</v>
      </c>
      <c r="O6" s="488">
        <f>IFERROR(VLOOKUP(M6,'SPUNTA ARRIVI '!$A$2:$C$76,1,FALSE),A6)</f>
        <v>8428</v>
      </c>
      <c r="P6" s="494" t="str">
        <f>IFERROR(VLOOKUP(M6,'SPUNTA ARRIVI '!$A$2:$C$76,2,FALSE), $B6)</f>
        <v>CC EUROMA2
GIRO 1</v>
      </c>
      <c r="Q6" s="488" t="str">
        <f>IFERROR(VLOOKUP(M6,'SPUNTA ARRIVI '!$A$2:$C$76,3,FALSE),C6)</f>
        <v>BERSHKA</v>
      </c>
    </row>
    <row r="7" spans="1:17" x14ac:dyDescent="0.25">
      <c r="A7" s="485">
        <f>+ANALISI!A8</f>
        <v>8453</v>
      </c>
      <c r="B7" s="488" t="str">
        <f>+ANALISI!C8</f>
        <v>PER-COLLESTRADA</v>
      </c>
      <c r="C7" s="486" t="str">
        <f>+ANALISI!B8</f>
        <v>BERSHKA</v>
      </c>
      <c r="D7" s="487">
        <f>VLOOKUP(A7,ANALISI!A:O,14,FALSE)</f>
        <v>6.6600000262260437</v>
      </c>
      <c r="E7" s="488">
        <f>_xlfn.IFNA(VLOOKUP(A7,ANALISI!A:O,4,FALSE),0)</f>
        <v>59</v>
      </c>
      <c r="F7" s="488">
        <f>_xlfn.IFNA(VLOOKUP(A7,ANALISI!A:O,5,FALSE),0)</f>
        <v>0</v>
      </c>
      <c r="G7" s="488">
        <f>_xlfn.IFNA(VLOOKUP(A7,ANALISI!A:O,8,FALSE),0)</f>
        <v>4</v>
      </c>
      <c r="H7" s="488">
        <f>_xlfn.IFNA(VLOOKUP(A7,ANALISI!A:O,11,FALSE),0)</f>
        <v>3</v>
      </c>
      <c r="I7" s="489">
        <f t="shared" si="0"/>
        <v>4</v>
      </c>
      <c r="J7" s="488" t="str">
        <f>+VLOOKUP(A7,'SPUNTA ARRIVI '!A:Z,26,FALSE)</f>
        <v>ZA10</v>
      </c>
      <c r="K7" s="488"/>
      <c r="L7" s="488"/>
      <c r="M7" s="488">
        <f t="shared" si="1"/>
        <v>8453</v>
      </c>
      <c r="N7" s="495">
        <v>6</v>
      </c>
      <c r="O7" s="488">
        <f>IFERROR(VLOOKUP(M7,'SPUNTA ARRIVI '!$A$2:$C$76,1,FALSE),A7)</f>
        <v>8453</v>
      </c>
      <c r="P7" s="494" t="str">
        <f>IFERROR(VLOOKUP(M7,'SPUNTA ARRIVI '!$A$2:$C$76,2,FALSE), $B7)</f>
        <v>C. C. Collestrada</v>
      </c>
      <c r="Q7" s="488" t="str">
        <f>IFERROR(VLOOKUP(M7,'SPUNTA ARRIVI '!$A$2:$C$76,3,FALSE),C7)</f>
        <v>BERSHKA</v>
      </c>
    </row>
    <row r="8" spans="1:17" x14ac:dyDescent="0.25">
      <c r="A8" s="485">
        <f>+ANALISI!A9</f>
        <v>16037</v>
      </c>
      <c r="B8" s="488" t="str">
        <f>+ANALISI!C9</f>
        <v>LATI-LATINAFIOR</v>
      </c>
      <c r="C8" s="486" t="str">
        <f>+ANALISI!B9</f>
        <v>BERSHKA</v>
      </c>
      <c r="D8" s="487">
        <f>VLOOKUP(A8,ANALISI!A:O,14,FALSE)</f>
        <v>8.629999965429306</v>
      </c>
      <c r="E8" s="488">
        <f>_xlfn.IFNA(VLOOKUP(A8,ANALISI!A:O,4,FALSE),0)</f>
        <v>83</v>
      </c>
      <c r="F8" s="488">
        <f>_xlfn.IFNA(VLOOKUP(A8,ANALISI!A:O,5,FALSE),0)</f>
        <v>0</v>
      </c>
      <c r="G8" s="488">
        <f>_xlfn.IFNA(VLOOKUP(A8,ANALISI!A:O,8,FALSE),0)</f>
        <v>5</v>
      </c>
      <c r="H8" s="488">
        <f>_xlfn.IFNA(VLOOKUP(A8,ANALISI!A:O,11,FALSE),0)</f>
        <v>3</v>
      </c>
      <c r="I8" s="489">
        <f t="shared" si="0"/>
        <v>5</v>
      </c>
      <c r="J8" s="488" t="str">
        <f>+VLOOKUP(A8,'SPUNTA ARRIVI '!A:Z,26,FALSE)</f>
        <v>ZA6</v>
      </c>
      <c r="K8" s="488"/>
      <c r="L8" s="488"/>
      <c r="M8" s="488">
        <f t="shared" si="1"/>
        <v>16037</v>
      </c>
      <c r="N8" s="495">
        <v>11</v>
      </c>
      <c r="O8" s="488">
        <f>IFERROR(VLOOKUP(M8,'SPUNTA ARRIVI '!$A$2:$C$76,1,FALSE),A8)</f>
        <v>16037</v>
      </c>
      <c r="P8" s="494" t="str">
        <f>IFERROR(VLOOKUP(M8,'SPUNTA ARRIVI '!$A$2:$C$76,2,FALSE), $B8)</f>
        <v>CC LATINA</v>
      </c>
      <c r="Q8" s="488" t="str">
        <f>IFERROR(VLOOKUP(M8,'SPUNTA ARRIVI '!$A$2:$C$76,3,FALSE),C8)</f>
        <v>BERSHKA</v>
      </c>
    </row>
    <row r="9" spans="1:17" x14ac:dyDescent="0.25">
      <c r="A9" s="485">
        <f>+ANALISI!A10</f>
        <v>11796</v>
      </c>
      <c r="B9" s="488" t="str">
        <f>+ANALISI!C10</f>
        <v>CITT-PESCARA NO</v>
      </c>
      <c r="C9" s="486" t="str">
        <f>+ANALISI!B10</f>
        <v>BERSHKA</v>
      </c>
      <c r="D9" s="487">
        <f>VLOOKUP(A9,ANALISI!A:O,14,FALSE)</f>
        <v>4.5500001311302185</v>
      </c>
      <c r="E9" s="488">
        <f>_xlfn.IFNA(VLOOKUP(A9,ANALISI!A:O,4,FALSE),0)</f>
        <v>42</v>
      </c>
      <c r="F9" s="488">
        <f>_xlfn.IFNA(VLOOKUP(A9,ANALISI!A:O,5,FALSE),0)</f>
        <v>0</v>
      </c>
      <c r="G9" s="488">
        <f>_xlfn.IFNA(VLOOKUP(A9,ANALISI!A:O,8,FALSE),0)</f>
        <v>2</v>
      </c>
      <c r="H9" s="488">
        <f>_xlfn.IFNA(VLOOKUP(A9,ANALISI!A:O,11,FALSE),0)</f>
        <v>2</v>
      </c>
      <c r="I9" s="489">
        <f t="shared" si="0"/>
        <v>3</v>
      </c>
      <c r="J9" s="488" t="str">
        <f>+VLOOKUP(A9,'SPUNTA ARRIVI '!A:Z,26,FALSE)</f>
        <v>ZA3</v>
      </c>
      <c r="K9" s="488"/>
      <c r="L9" s="488"/>
      <c r="M9" s="488">
        <f t="shared" si="1"/>
        <v>11796</v>
      </c>
      <c r="N9" s="495">
        <v>15</v>
      </c>
      <c r="O9" s="488">
        <f>IFERROR(VLOOKUP(M9,'SPUNTA ARRIVI '!$A$2:$C$76,1,FALSE),A9)</f>
        <v>11796</v>
      </c>
      <c r="P9" s="494" t="str">
        <f>IFERROR(VLOOKUP(M9,'SPUNTA ARRIVI '!$A$2:$C$76,2,FALSE), $B9)</f>
        <v>CC Pescara Nord</v>
      </c>
      <c r="Q9" s="488" t="str">
        <f>IFERROR(VLOOKUP(M9,'SPUNTA ARRIVI '!$A$2:$C$76,3,FALSE),C9)</f>
        <v>BERSHKA</v>
      </c>
    </row>
    <row r="10" spans="1:17" x14ac:dyDescent="0.25">
      <c r="A10" s="485">
        <f>+ANALISI!A11</f>
        <v>14010</v>
      </c>
      <c r="B10" s="488" t="str">
        <f>+ANALISI!C11</f>
        <v>ROM-OTTAVIANO</v>
      </c>
      <c r="C10" s="486" t="str">
        <f>+ANALISI!B11</f>
        <v>BERSHKA</v>
      </c>
      <c r="D10" s="487">
        <f>VLOOKUP(A10,ANALISI!A:O,14,FALSE)</f>
        <v>20.439999759197235</v>
      </c>
      <c r="E10" s="488">
        <f>_xlfn.IFNA(VLOOKUP(A10,ANALISI!A:O,4,FALSE),0)</f>
        <v>206</v>
      </c>
      <c r="F10" s="488">
        <f>_xlfn.IFNA(VLOOKUP(A10,ANALISI!A:O,5,FALSE),0)</f>
        <v>0</v>
      </c>
      <c r="G10" s="488">
        <f>_xlfn.IFNA(VLOOKUP(A10,ANALISI!A:O,8,FALSE),0)</f>
        <v>7</v>
      </c>
      <c r="H10" s="488">
        <f>_xlfn.IFNA(VLOOKUP(A10,ANALISI!A:O,11,FALSE),0)</f>
        <v>0</v>
      </c>
      <c r="I10" s="489">
        <f t="shared" si="0"/>
        <v>11</v>
      </c>
      <c r="J10" s="488" t="str">
        <f>+VLOOKUP(A10,'SPUNTA ARRIVI '!A:Z,26,FALSE)</f>
        <v>ZA5</v>
      </c>
      <c r="K10" s="488"/>
      <c r="L10" s="488"/>
      <c r="M10" s="488">
        <f t="shared" si="1"/>
        <v>14010</v>
      </c>
      <c r="N10" s="495">
        <v>13</v>
      </c>
      <c r="O10" s="488">
        <f>IFERROR(VLOOKUP(M10,'SPUNTA ARRIVI '!$A$2:$C$76,1,FALSE),A10)</f>
        <v>14010</v>
      </c>
      <c r="P10" s="494" t="str">
        <f>IFERROR(VLOOKUP(M10,'SPUNTA ARRIVI '!$A$2:$C$76,2,FALSE), $B10)</f>
        <v>ROMA VIA OTTAVIANO</v>
      </c>
      <c r="Q10" s="488" t="str">
        <f>IFERROR(VLOOKUP(M10,'SPUNTA ARRIVI '!$A$2:$C$76,3,FALSE),C10)</f>
        <v>BERSHKA</v>
      </c>
    </row>
    <row r="11" spans="1:17" x14ac:dyDescent="0.25">
      <c r="A11" s="485">
        <f>+ANALISI!A12</f>
        <v>4518</v>
      </c>
      <c r="B11" s="488" t="str">
        <f>+ANALISI!C12</f>
        <v xml:space="preserve">ROM-EUROMA2    </v>
      </c>
      <c r="C11" s="486" t="str">
        <f>+ANALISI!B12</f>
        <v>MASSIMO DUTTI</v>
      </c>
      <c r="D11" s="487">
        <f>VLOOKUP(A11,ANALISI!A:O,14,FALSE)</f>
        <v>2.9300001263618469</v>
      </c>
      <c r="E11" s="488">
        <f>_xlfn.IFNA(VLOOKUP(A11,ANALISI!A:O,4,FALSE),0)</f>
        <v>23</v>
      </c>
      <c r="F11" s="488">
        <f>_xlfn.IFNA(VLOOKUP(A11,ANALISI!A:O,5,FALSE),0)</f>
        <v>0</v>
      </c>
      <c r="G11" s="488">
        <f>_xlfn.IFNA(VLOOKUP(A11,ANALISI!A:O,8,FALSE),0)</f>
        <v>5</v>
      </c>
      <c r="H11" s="488">
        <f>_xlfn.IFNA(VLOOKUP(A11,ANALISI!A:O,11,FALSE),0)</f>
        <v>0</v>
      </c>
      <c r="I11" s="489">
        <f t="shared" si="0"/>
        <v>2</v>
      </c>
      <c r="J11" s="488" t="str">
        <f>+VLOOKUP(A11,'SPUNTA ARRIVI '!A:Z,26,FALSE)</f>
        <v>ZA11</v>
      </c>
      <c r="K11" s="488"/>
      <c r="L11" s="488"/>
      <c r="M11" s="488">
        <f t="shared" si="1"/>
        <v>4518</v>
      </c>
      <c r="N11" s="495">
        <v>276</v>
      </c>
      <c r="O11" s="488">
        <f>IFERROR(VLOOKUP(M11,'SPUNTA ARRIVI '!$A$2:$C$76,1,FALSE),A11)</f>
        <v>4518</v>
      </c>
      <c r="P11" s="494" t="str">
        <f>IFERROR(VLOOKUP(M11,'SPUNTA ARRIVI '!$A$2:$C$76,2,FALSE), $B11)</f>
        <v>CC EUROMA2
GIRO 1</v>
      </c>
      <c r="Q11" s="488" t="str">
        <f>IFERROR(VLOOKUP(M11,'SPUNTA ARRIVI '!$A$2:$C$76,3,FALSE),C11)</f>
        <v>MASSIMO DUTTI</v>
      </c>
    </row>
    <row r="12" spans="1:17" x14ac:dyDescent="0.25">
      <c r="A12" s="485">
        <f>+ANALISI!A13</f>
        <v>2435</v>
      </c>
      <c r="B12" s="488" t="str">
        <f>+ANALISI!C13</f>
        <v xml:space="preserve">ROM-P.DI ROMA  </v>
      </c>
      <c r="C12" s="486" t="str">
        <f>+ANALISI!B13</f>
        <v xml:space="preserve">OYSHO  </v>
      </c>
      <c r="D12" s="487">
        <f>VLOOKUP(A12,ANALISI!A:O,14,FALSE)</f>
        <v>2.5600000098347664</v>
      </c>
      <c r="E12" s="488">
        <f>_xlfn.IFNA(VLOOKUP(A12,ANALISI!A:O,4,FALSE),0)</f>
        <v>26</v>
      </c>
      <c r="F12" s="488">
        <f>_xlfn.IFNA(VLOOKUP(A12,ANALISI!A:O,5,FALSE),0)</f>
        <v>0</v>
      </c>
      <c r="G12" s="488">
        <f>_xlfn.IFNA(VLOOKUP(A12,ANALISI!A:O,8,FALSE),0)</f>
        <v>2</v>
      </c>
      <c r="H12" s="488">
        <f>_xlfn.IFNA(VLOOKUP(A12,ANALISI!A:O,11,FALSE),0)</f>
        <v>1</v>
      </c>
      <c r="I12" s="489">
        <f t="shared" si="0"/>
        <v>2</v>
      </c>
      <c r="J12" s="488" t="str">
        <f>+VLOOKUP(A12,'SPUNTA ARRIVI '!A:Z,26,FALSE)</f>
        <v>ZA4</v>
      </c>
      <c r="K12" s="488"/>
      <c r="L12" s="488"/>
      <c r="M12" s="488">
        <f t="shared" si="1"/>
        <v>2435</v>
      </c>
      <c r="N12" s="495">
        <v>279</v>
      </c>
      <c r="O12" s="488">
        <f>IFERROR(VLOOKUP(M12,'SPUNTA ARRIVI '!$A$2:$C$76,1,FALSE),A12)</f>
        <v>2435</v>
      </c>
      <c r="P12" s="494" t="str">
        <f>IFERROR(VLOOKUP(M12,'SPUNTA ARRIVI '!$A$2:$C$76,2,FALSE), $B12)</f>
        <v>C.C.La Porta di Roma</v>
      </c>
      <c r="Q12" s="488" t="str">
        <f>IFERROR(VLOOKUP(M12,'SPUNTA ARRIVI '!$A$2:$C$76,3,FALSE),C12)</f>
        <v>OYSHO</v>
      </c>
    </row>
    <row r="13" spans="1:17" x14ac:dyDescent="0.25">
      <c r="A13" s="485">
        <f>+ANALISI!A14</f>
        <v>2414</v>
      </c>
      <c r="B13" s="488" t="str">
        <f>+ANALISI!C14</f>
        <v xml:space="preserve">ROM-EUROMA2    </v>
      </c>
      <c r="C13" s="486" t="str">
        <f>+ANALISI!B14</f>
        <v xml:space="preserve">OYSHO  </v>
      </c>
      <c r="D13" s="487">
        <f>VLOOKUP(A13,ANALISI!A:O,14,FALSE)</f>
        <v>2.6499999240040779</v>
      </c>
      <c r="E13" s="488">
        <f>_xlfn.IFNA(VLOOKUP(A13,ANALISI!A:O,4,FALSE),0)</f>
        <v>27</v>
      </c>
      <c r="F13" s="488">
        <f>_xlfn.IFNA(VLOOKUP(A13,ANALISI!A:O,5,FALSE),0)</f>
        <v>0</v>
      </c>
      <c r="G13" s="488">
        <f>_xlfn.IFNA(VLOOKUP(A13,ANALISI!A:O,8,FALSE),0)</f>
        <v>2</v>
      </c>
      <c r="H13" s="488">
        <f>_xlfn.IFNA(VLOOKUP(A13,ANALISI!A:O,11,FALSE),0)</f>
        <v>1</v>
      </c>
      <c r="I13" s="489">
        <f t="shared" si="0"/>
        <v>2</v>
      </c>
      <c r="J13" s="488" t="str">
        <f>+VLOOKUP(A13,'SPUNTA ARRIVI '!A:Z,26,FALSE)</f>
        <v>ZA11</v>
      </c>
      <c r="K13" s="488"/>
      <c r="L13" s="488"/>
      <c r="M13" s="488">
        <f t="shared" si="1"/>
        <v>2414</v>
      </c>
      <c r="N13" s="495">
        <v>277</v>
      </c>
      <c r="O13" s="488">
        <f>IFERROR(VLOOKUP(M13,'SPUNTA ARRIVI '!$A$2:$C$76,1,FALSE),A13)</f>
        <v>2414</v>
      </c>
      <c r="P13" s="494" t="str">
        <f>IFERROR(VLOOKUP(M13,'SPUNTA ARRIVI '!$A$2:$C$76,2,FALSE), $B13)</f>
        <v>CC EUROMA2
GIRO 1</v>
      </c>
      <c r="Q13" s="488" t="str">
        <f>IFERROR(VLOOKUP(M13,'SPUNTA ARRIVI '!$A$2:$C$76,3,FALSE),C13)</f>
        <v>OYSHO</v>
      </c>
    </row>
    <row r="14" spans="1:17" x14ac:dyDescent="0.25">
      <c r="A14" s="485">
        <f>+ANALISI!A15</f>
        <v>16269</v>
      </c>
      <c r="B14" s="488" t="str">
        <f>+ANALISI!C15</f>
        <v>LATI-LATINAFIOR</v>
      </c>
      <c r="C14" s="486" t="str">
        <f>+ANALISI!B15</f>
        <v>STRADIVARIUS</v>
      </c>
      <c r="D14" s="487">
        <f>VLOOKUP(A14,ANALISI!A:O,14,FALSE)</f>
        <v>10.209999859333038</v>
      </c>
      <c r="E14" s="488">
        <f>_xlfn.IFNA(VLOOKUP(A14,ANALISI!A:O,4,FALSE),0)</f>
        <v>93</v>
      </c>
      <c r="F14" s="488">
        <f>_xlfn.IFNA(VLOOKUP(A14,ANALISI!A:O,5,FALSE),0)</f>
        <v>0</v>
      </c>
      <c r="G14" s="488">
        <f>_xlfn.IFNA(VLOOKUP(A14,ANALISI!A:O,8,FALSE),0)</f>
        <v>6</v>
      </c>
      <c r="H14" s="488">
        <f>_xlfn.IFNA(VLOOKUP(A14,ANALISI!A:O,11,FALSE),0)</f>
        <v>0</v>
      </c>
      <c r="I14" s="489">
        <f t="shared" si="0"/>
        <v>6</v>
      </c>
      <c r="J14" s="488" t="str">
        <f>+VLOOKUP(A14,'SPUNTA ARRIVI '!A:Z,26,FALSE)</f>
        <v>ZA6</v>
      </c>
      <c r="K14" s="488"/>
      <c r="L14" s="488"/>
      <c r="M14" s="488">
        <f t="shared" si="1"/>
        <v>16269</v>
      </c>
      <c r="N14" s="495">
        <v>297</v>
      </c>
      <c r="O14" s="488">
        <f>IFERROR(VLOOKUP(M14,'SPUNTA ARRIVI '!$A$2:$C$76,1,FALSE),A14)</f>
        <v>16269</v>
      </c>
      <c r="P14" s="494" t="str">
        <f>IFERROR(VLOOKUP(M14,'SPUNTA ARRIVI '!$A$2:$C$76,2,FALSE), $B14)</f>
        <v>CC LATINA</v>
      </c>
      <c r="Q14" s="488" t="str">
        <f>IFERROR(VLOOKUP(M14,'SPUNTA ARRIVI '!$A$2:$C$76,3,FALSE),C14)</f>
        <v>STRADIVARIUS</v>
      </c>
    </row>
    <row r="15" spans="1:17" x14ac:dyDescent="0.25">
      <c r="A15" s="485">
        <f>+ANALISI!A16</f>
        <v>16060</v>
      </c>
      <c r="B15" s="488" t="str">
        <f>+ANALISI!C16</f>
        <v>LATI-LATINAFIOR</v>
      </c>
      <c r="C15" s="486" t="str">
        <f>+ANALISI!B16</f>
        <v>PULL&amp;BEAR</v>
      </c>
      <c r="D15" s="487">
        <f>VLOOKUP(A15,ANALISI!A:O,14,FALSE)</f>
        <v>13.739999681711197</v>
      </c>
      <c r="E15" s="488">
        <f>_xlfn.IFNA(VLOOKUP(A15,ANALISI!A:O,4,FALSE),0)</f>
        <v>145</v>
      </c>
      <c r="F15" s="488">
        <f>_xlfn.IFNA(VLOOKUP(A15,ANALISI!A:O,5,FALSE),0)</f>
        <v>0</v>
      </c>
      <c r="G15" s="488">
        <f>_xlfn.IFNA(VLOOKUP(A15,ANALISI!A:O,8,FALSE),0)</f>
        <v>5</v>
      </c>
      <c r="H15" s="488">
        <f>_xlfn.IFNA(VLOOKUP(A15,ANALISI!A:O,11,FALSE),0)</f>
        <v>1</v>
      </c>
      <c r="I15" s="489">
        <f t="shared" si="0"/>
        <v>8</v>
      </c>
      <c r="J15" s="488" t="str">
        <f>+VLOOKUP(A15,'SPUNTA ARRIVI '!A:Z,26,FALSE)</f>
        <v>ZA6</v>
      </c>
      <c r="K15" s="488"/>
      <c r="L15" s="488"/>
      <c r="M15" s="488">
        <f t="shared" si="1"/>
        <v>16060</v>
      </c>
      <c r="N15" s="495">
        <v>286</v>
      </c>
      <c r="O15" s="488">
        <f>IFERROR(VLOOKUP(M15,'SPUNTA ARRIVI '!$A$2:$C$76,1,FALSE),A15)</f>
        <v>16060</v>
      </c>
      <c r="P15" s="494" t="str">
        <f>IFERROR(VLOOKUP(M15,'SPUNTA ARRIVI '!$A$2:$C$76,2,FALSE), $B15)</f>
        <v>CC LATINA</v>
      </c>
      <c r="Q15" s="488" t="str">
        <f>IFERROR(VLOOKUP(M15,'SPUNTA ARRIVI '!$A$2:$C$76,3,FALSE),C15)</f>
        <v>P&amp;B</v>
      </c>
    </row>
    <row r="16" spans="1:17" x14ac:dyDescent="0.25">
      <c r="A16" s="485">
        <f>+ANALISI!A17</f>
        <v>12152</v>
      </c>
      <c r="B16" s="488" t="str">
        <f>+ANALISI!C17</f>
        <v xml:space="preserve">TER-GRAN SASSO </v>
      </c>
      <c r="C16" s="486" t="str">
        <f>+ANALISI!B17</f>
        <v>PULL&amp;BEAR</v>
      </c>
      <c r="D16" s="487">
        <f>VLOOKUP(A16,ANALISI!A:O,14,FALSE)</f>
        <v>5.9300000965595245</v>
      </c>
      <c r="E16" s="488">
        <f>_xlfn.IFNA(VLOOKUP(A16,ANALISI!A:O,4,FALSE),0)</f>
        <v>63</v>
      </c>
      <c r="F16" s="488">
        <f>_xlfn.IFNA(VLOOKUP(A16,ANALISI!A:O,5,FALSE),0)</f>
        <v>0</v>
      </c>
      <c r="G16" s="488">
        <f>_xlfn.IFNA(VLOOKUP(A16,ANALISI!A:O,8,FALSE),0)</f>
        <v>3</v>
      </c>
      <c r="H16" s="488">
        <f>_xlfn.IFNA(VLOOKUP(A16,ANALISI!A:O,11,FALSE),0)</f>
        <v>1</v>
      </c>
      <c r="I16" s="489">
        <f t="shared" si="0"/>
        <v>4</v>
      </c>
      <c r="J16" s="488" t="str">
        <f>+VLOOKUP(A16,'SPUNTA ARRIVI '!A:Z,26,FALSE)</f>
        <v>ZA2</v>
      </c>
      <c r="K16" s="488"/>
      <c r="L16" s="488"/>
      <c r="M16" s="488">
        <f t="shared" si="1"/>
        <v>12152</v>
      </c>
      <c r="N16" s="495">
        <v>285</v>
      </c>
      <c r="O16" s="488">
        <f>IFERROR(VLOOKUP(M16,'SPUNTA ARRIVI '!$A$2:$C$76,1,FALSE),A16)</f>
        <v>12152</v>
      </c>
      <c r="P16" s="494" t="str">
        <f>IFERROR(VLOOKUP(M16,'SPUNTA ARRIVI '!$A$2:$C$76,2,FALSE), $B16)</f>
        <v>C.C. Gran sasso</v>
      </c>
      <c r="Q16" s="488" t="str">
        <f>IFERROR(VLOOKUP(M16,'SPUNTA ARRIVI '!$A$2:$C$76,3,FALSE),C16)</f>
        <v>PULL&amp;BEAR</v>
      </c>
    </row>
    <row r="17" spans="1:22" x14ac:dyDescent="0.25">
      <c r="A17" s="485">
        <f>+ANALISI!A18</f>
        <v>5306</v>
      </c>
      <c r="B17" s="488" t="str">
        <f>+ANALISI!C18</f>
        <v xml:space="preserve">ROM-ROMA EST   </v>
      </c>
      <c r="C17" s="486" t="str">
        <f>+ANALISI!B18</f>
        <v>PULL&amp;BEAR</v>
      </c>
      <c r="D17" s="487">
        <f>VLOOKUP(A17,ANALISI!A:O,14,FALSE)</f>
        <v>12.979999631643295</v>
      </c>
      <c r="E17" s="488">
        <f>_xlfn.IFNA(VLOOKUP(A17,ANALISI!A:O,4,FALSE),0)</f>
        <v>139</v>
      </c>
      <c r="F17" s="488">
        <f>_xlfn.IFNA(VLOOKUP(A17,ANALISI!A:O,5,FALSE),0)</f>
        <v>0</v>
      </c>
      <c r="G17" s="488">
        <f>_xlfn.IFNA(VLOOKUP(A17,ANALISI!A:O,8,FALSE),0)</f>
        <v>7</v>
      </c>
      <c r="H17" s="488">
        <f>_xlfn.IFNA(VLOOKUP(A17,ANALISI!A:O,11,FALSE),0)</f>
        <v>1</v>
      </c>
      <c r="I17" s="489">
        <f t="shared" si="0"/>
        <v>7</v>
      </c>
      <c r="J17" s="488" t="str">
        <f>+VLOOKUP(A17,'SPUNTA ARRIVI '!A:Z,26,FALSE)</f>
        <v>ZA14</v>
      </c>
      <c r="K17" s="488"/>
      <c r="L17" s="488"/>
      <c r="M17" s="488">
        <f t="shared" si="1"/>
        <v>5306</v>
      </c>
      <c r="N17" s="495">
        <v>290</v>
      </c>
      <c r="O17" s="488">
        <f>IFERROR(VLOOKUP(M17,'SPUNTA ARRIVI '!$A$2:$C$76,1,FALSE),A17)</f>
        <v>5306</v>
      </c>
      <c r="P17" s="494" t="str">
        <f>IFERROR(VLOOKUP(M17,'SPUNTA ARRIVI '!$A$2:$C$76,2,FALSE), $B17)</f>
        <v xml:space="preserve">CC Roma EST </v>
      </c>
      <c r="Q17" s="488" t="str">
        <f>IFERROR(VLOOKUP(M17,'SPUNTA ARRIVI '!$A$2:$C$76,3,FALSE),C17)</f>
        <v>PULL&amp;BEAR</v>
      </c>
    </row>
    <row r="18" spans="1:22" x14ac:dyDescent="0.25">
      <c r="A18" s="485">
        <f>+ANALISI!A19</f>
        <v>5367</v>
      </c>
      <c r="B18" s="488" t="str">
        <f>+ANALISI!C19</f>
        <v xml:space="preserve">ROM-P.DI ROMA  </v>
      </c>
      <c r="C18" s="486" t="str">
        <f>+ANALISI!B19</f>
        <v>PULL&amp;BEAR</v>
      </c>
      <c r="D18" s="487">
        <f>VLOOKUP(A18,ANALISI!A:O,14,FALSE)</f>
        <v>22.610000103712082</v>
      </c>
      <c r="E18" s="488">
        <f>_xlfn.IFNA(VLOOKUP(A18,ANALISI!A:O,4,FALSE),0)</f>
        <v>241</v>
      </c>
      <c r="F18" s="488">
        <f>_xlfn.IFNA(VLOOKUP(A18,ANALISI!A:O,5,FALSE),0)</f>
        <v>0</v>
      </c>
      <c r="G18" s="488">
        <f>_xlfn.IFNA(VLOOKUP(A18,ANALISI!A:O,8,FALSE),0)</f>
        <v>17</v>
      </c>
      <c r="H18" s="488">
        <f>_xlfn.IFNA(VLOOKUP(A18,ANALISI!A:O,11,FALSE),0)</f>
        <v>1</v>
      </c>
      <c r="I18" s="489">
        <f t="shared" si="0"/>
        <v>12</v>
      </c>
      <c r="J18" s="488" t="str">
        <f>+VLOOKUP(A18,'SPUNTA ARRIVI '!A:Z,26,FALSE)</f>
        <v>ZA4</v>
      </c>
      <c r="K18" s="488"/>
      <c r="L18" s="488"/>
      <c r="M18" s="488">
        <f t="shared" si="1"/>
        <v>5367</v>
      </c>
      <c r="N18" s="495">
        <v>289</v>
      </c>
      <c r="O18" s="488">
        <f>IFERROR(VLOOKUP(M18,'SPUNTA ARRIVI '!$A$2:$C$76,1,FALSE),A18)</f>
        <v>5367</v>
      </c>
      <c r="P18" s="494" t="str">
        <f>IFERROR(VLOOKUP(M18,'SPUNTA ARRIVI '!$A$2:$C$76,2,FALSE), $B18)</f>
        <v>C.C. La Porta di Roma</v>
      </c>
      <c r="Q18" s="488" t="str">
        <f>IFERROR(VLOOKUP(M18,'SPUNTA ARRIVI '!$A$2:$C$76,3,FALSE),C18)</f>
        <v>PULL&amp;BEAR</v>
      </c>
    </row>
    <row r="19" spans="1:22" x14ac:dyDescent="0.25">
      <c r="A19" s="485">
        <f>+ANALISI!A20</f>
        <v>10504</v>
      </c>
      <c r="B19" s="488" t="str">
        <f>+ANALISI!C20</f>
        <v xml:space="preserve">ROM-GRAN ROMA  </v>
      </c>
      <c r="C19" s="486" t="str">
        <f>+ANALISI!B20</f>
        <v>PULL&amp;BEAR</v>
      </c>
      <c r="D19" s="487">
        <f>VLOOKUP(A19,ANALISI!A:O,14,FALSE)</f>
        <v>7.4499997943639755</v>
      </c>
      <c r="E19" s="488">
        <f>_xlfn.IFNA(VLOOKUP(A19,ANALISI!A:O,4,FALSE),0)</f>
        <v>79</v>
      </c>
      <c r="F19" s="488">
        <f>_xlfn.IFNA(VLOOKUP(A19,ANALISI!A:O,5,FALSE),0)</f>
        <v>0</v>
      </c>
      <c r="G19" s="488">
        <f>_xlfn.IFNA(VLOOKUP(A19,ANALISI!A:O,8,FALSE),0)</f>
        <v>3</v>
      </c>
      <c r="H19" s="488">
        <f>_xlfn.IFNA(VLOOKUP(A19,ANALISI!A:O,11,FALSE),0)</f>
        <v>3</v>
      </c>
      <c r="I19" s="489">
        <f t="shared" si="0"/>
        <v>4</v>
      </c>
      <c r="J19" s="488" t="str">
        <f>+VLOOKUP(A19,'SPUNTA ARRIVI '!A:Z,26,FALSE)</f>
        <v>ZA8</v>
      </c>
      <c r="K19" s="488"/>
      <c r="L19" s="488"/>
      <c r="M19" s="488">
        <f t="shared" si="1"/>
        <v>10504</v>
      </c>
      <c r="N19" s="495">
        <v>284</v>
      </c>
      <c r="O19" s="488">
        <f>IFERROR(VLOOKUP(M19,'SPUNTA ARRIVI '!$A$2:$C$76,1,FALSE),A19)</f>
        <v>10504</v>
      </c>
      <c r="P19" s="494" t="str">
        <f>IFERROR(VLOOKUP(M19,'SPUNTA ARRIVI '!$A$2:$C$76,2,FALSE), $B19)</f>
        <v xml:space="preserve">CC GRAN ROMA </v>
      </c>
      <c r="Q19" s="488" t="str">
        <f>IFERROR(VLOOKUP(M19,'SPUNTA ARRIVI '!$A$2:$C$76,3,FALSE),C19)</f>
        <v>PULL&amp;BEAR</v>
      </c>
    </row>
    <row r="20" spans="1:22" x14ac:dyDescent="0.25">
      <c r="A20" s="485">
        <f>+ANALISI!A21</f>
        <v>5349</v>
      </c>
      <c r="B20" s="488" t="str">
        <f>+ANALISI!C21</f>
        <v>ROM-EUROMA2 APT0</v>
      </c>
      <c r="C20" s="486" t="str">
        <f>+ANALISI!B21</f>
        <v>PULL&amp;BEAR</v>
      </c>
      <c r="D20" s="487">
        <f>VLOOKUP(A20,ANALISI!A:O,14,FALSE)</f>
        <v>21.680000305175781</v>
      </c>
      <c r="E20" s="488">
        <f>_xlfn.IFNA(VLOOKUP(A20,ANALISI!A:O,4,FALSE),0)</f>
        <v>246</v>
      </c>
      <c r="F20" s="488">
        <f>_xlfn.IFNA(VLOOKUP(A20,ANALISI!A:O,5,FALSE),0)</f>
        <v>0</v>
      </c>
      <c r="G20" s="488">
        <f>_xlfn.IFNA(VLOOKUP(A20,ANALISI!A:O,8,FALSE),0)</f>
        <v>13</v>
      </c>
      <c r="H20" s="488">
        <f>_xlfn.IFNA(VLOOKUP(A20,ANALISI!A:O,11,FALSE),0)</f>
        <v>0</v>
      </c>
      <c r="I20" s="489">
        <f t="shared" si="0"/>
        <v>12</v>
      </c>
      <c r="J20" s="488" t="str">
        <f>+VLOOKUP(A20,'SPUNTA ARRIVI '!A:Z,26,FALSE)</f>
        <v>ZA11</v>
      </c>
      <c r="K20" s="488"/>
      <c r="L20" s="488"/>
      <c r="M20" s="488">
        <f t="shared" si="1"/>
        <v>5349</v>
      </c>
      <c r="N20" s="495">
        <v>283</v>
      </c>
      <c r="O20" s="488">
        <f>IFERROR(VLOOKUP(M20,'SPUNTA ARRIVI '!$A$2:$C$76,1,FALSE),A20)</f>
        <v>5349</v>
      </c>
      <c r="P20" s="494" t="str">
        <f>IFERROR(VLOOKUP(M20,'SPUNTA ARRIVI '!$A$2:$C$76,2,FALSE), $B20)</f>
        <v>CC EUROMA2
GIRO 1</v>
      </c>
      <c r="Q20" s="488" t="str">
        <f>IFERROR(VLOOKUP(M20,'SPUNTA ARRIVI '!$A$2:$C$76,3,FALSE),C20)</f>
        <v>PULL&amp;BEAR</v>
      </c>
    </row>
    <row r="21" spans="1:22" x14ac:dyDescent="0.25">
      <c r="A21" s="485">
        <f>+ANALISI!A22</f>
        <v>6525</v>
      </c>
      <c r="B21" s="488" t="str">
        <f>+ANALISI!C22</f>
        <v>PER-COLLESTRADA APT0</v>
      </c>
      <c r="C21" s="486" t="str">
        <f>+ANALISI!B22</f>
        <v>PULL&amp;BEAR</v>
      </c>
      <c r="D21" s="487">
        <f>VLOOKUP(A21,ANALISI!A:O,14,FALSE)</f>
        <v>14.380000203847885</v>
      </c>
      <c r="E21" s="488">
        <f>_xlfn.IFNA(VLOOKUP(A21,ANALISI!A:O,4,FALSE),0)</f>
        <v>155</v>
      </c>
      <c r="F21" s="488">
        <f>_xlfn.IFNA(VLOOKUP(A21,ANALISI!A:O,5,FALSE),0)</f>
        <v>0</v>
      </c>
      <c r="G21" s="488">
        <f>_xlfn.IFNA(VLOOKUP(A21,ANALISI!A:O,8,FALSE),0)</f>
        <v>12</v>
      </c>
      <c r="H21" s="488">
        <f>_xlfn.IFNA(VLOOKUP(A21,ANALISI!A:O,11,FALSE),0)</f>
        <v>1</v>
      </c>
      <c r="I21" s="489">
        <f t="shared" si="0"/>
        <v>8</v>
      </c>
      <c r="J21" s="488" t="str">
        <f>+VLOOKUP(A21,'SPUNTA ARRIVI '!A:Z,26,FALSE)</f>
        <v>ZA10</v>
      </c>
      <c r="K21" s="488"/>
      <c r="L21" s="488"/>
      <c r="M21" s="488">
        <f t="shared" si="1"/>
        <v>6525</v>
      </c>
      <c r="N21" s="495">
        <v>281</v>
      </c>
      <c r="O21" s="488">
        <f>IFERROR(VLOOKUP(M21,'SPUNTA ARRIVI '!$A$2:$C$76,1,FALSE),A21)</f>
        <v>6525</v>
      </c>
      <c r="P21" s="494" t="str">
        <f>IFERROR(VLOOKUP(M21,'SPUNTA ARRIVI '!$A$2:$C$76,2,FALSE), $B21)</f>
        <v>C. C. Collestrada</v>
      </c>
      <c r="Q21" s="488" t="str">
        <f>IFERROR(VLOOKUP(M21,'SPUNTA ARRIVI '!$A$2:$C$76,3,FALSE),C21)</f>
        <v>PULL&amp;BEAR</v>
      </c>
    </row>
    <row r="22" spans="1:22" x14ac:dyDescent="0.25">
      <c r="A22" s="485">
        <f>+ANALISI!A23</f>
        <v>11629</v>
      </c>
      <c r="B22" s="488" t="str">
        <f>+ANALISI!C23</f>
        <v xml:space="preserve">ASC-AL BATTENT </v>
      </c>
      <c r="C22" s="486" t="str">
        <f>+ANALISI!B23</f>
        <v>PULL&amp;BEAR</v>
      </c>
      <c r="D22" s="487">
        <f>VLOOKUP(A22,ANALISI!A:O,14,FALSE)</f>
        <v>6.4600000381469727</v>
      </c>
      <c r="E22" s="488">
        <f>_xlfn.IFNA(VLOOKUP(A22,ANALISI!A:O,4,FALSE),0)</f>
        <v>71</v>
      </c>
      <c r="F22" s="488">
        <f>_xlfn.IFNA(VLOOKUP(A22,ANALISI!A:O,5,FALSE),0)</f>
        <v>0</v>
      </c>
      <c r="G22" s="488">
        <f>_xlfn.IFNA(VLOOKUP(A22,ANALISI!A:O,8,FALSE),0)</f>
        <v>4</v>
      </c>
      <c r="H22" s="488">
        <f>_xlfn.IFNA(VLOOKUP(A22,ANALISI!A:O,11,FALSE),0)</f>
        <v>2</v>
      </c>
      <c r="I22" s="489">
        <f t="shared" si="0"/>
        <v>4</v>
      </c>
      <c r="J22" s="488" t="str">
        <f>+VLOOKUP(A22,'SPUNTA ARRIVI '!A:Z,26,FALSE)</f>
        <v>ZA9</v>
      </c>
      <c r="K22" s="488"/>
      <c r="L22" s="488"/>
      <c r="M22" s="488">
        <f t="shared" si="1"/>
        <v>11629</v>
      </c>
      <c r="N22" s="495">
        <v>280</v>
      </c>
      <c r="O22" s="488">
        <f>IFERROR(VLOOKUP(M22,'SPUNTA ARRIVI '!$A$2:$C$76,1,FALSE),A22)</f>
        <v>11629</v>
      </c>
      <c r="P22" s="494" t="str">
        <f>IFERROR(VLOOKUP(M22,'SPUNTA ARRIVI '!$A$2:$C$76,2,FALSE), $B22)</f>
        <v>C.C. Al Battente</v>
      </c>
      <c r="Q22" s="488" t="str">
        <f>IFERROR(VLOOKUP(M22,'SPUNTA ARRIVI '!$A$2:$C$76,3,FALSE),C22)</f>
        <v>PULL&amp;BEAR</v>
      </c>
    </row>
    <row r="23" spans="1:22" x14ac:dyDescent="0.25">
      <c r="A23" s="485">
        <f>+ANALISI!A24</f>
        <v>7593</v>
      </c>
      <c r="B23" s="488" t="str">
        <f>+ANALISI!C24</f>
        <v>ROM-VIA TUSCOLA</v>
      </c>
      <c r="C23" s="486" t="str">
        <f>+ANALISI!B24</f>
        <v>STRADIVARIUS</v>
      </c>
      <c r="D23" s="487">
        <f>VLOOKUP(A23,ANALISI!A:O,14,FALSE)</f>
        <v>9.8299996256828308</v>
      </c>
      <c r="E23" s="488">
        <f>_xlfn.IFNA(VLOOKUP(A23,ANALISI!A:O,4,FALSE),0)</f>
        <v>93</v>
      </c>
      <c r="F23" s="488">
        <f>_xlfn.IFNA(VLOOKUP(A23,ANALISI!A:O,5,FALSE),0)</f>
        <v>0</v>
      </c>
      <c r="G23" s="488">
        <f>_xlfn.IFNA(VLOOKUP(A23,ANALISI!A:O,8,FALSE),0)</f>
        <v>4</v>
      </c>
      <c r="H23" s="488">
        <f>_xlfn.IFNA(VLOOKUP(A23,ANALISI!A:O,11,FALSE),0)</f>
        <v>0</v>
      </c>
      <c r="I23" s="489">
        <f t="shared" si="0"/>
        <v>6</v>
      </c>
      <c r="J23" s="488" t="str">
        <f>+VLOOKUP(A23,'SPUNTA ARRIVI '!A:Z,26,FALSE)</f>
        <v>ZA8</v>
      </c>
      <c r="K23" s="488"/>
      <c r="L23" s="488"/>
      <c r="M23" s="488">
        <f t="shared" si="1"/>
        <v>7593</v>
      </c>
      <c r="N23" s="495">
        <v>303</v>
      </c>
      <c r="O23" s="488">
        <f>IFERROR(VLOOKUP(M23,'SPUNTA ARRIVI '!$A$2:$C$76,1,FALSE),A23)</f>
        <v>7593</v>
      </c>
      <c r="P23" s="494" t="str">
        <f>IFERROR(VLOOKUP(M23,'SPUNTA ARRIVI '!$A$2:$C$76,2,FALSE), $B23)</f>
        <v>ROMA VIA TUSCOLANA</v>
      </c>
      <c r="Q23" s="488" t="str">
        <f>IFERROR(VLOOKUP(M23,'SPUNTA ARRIVI '!$A$2:$C$76,3,FALSE),C23)</f>
        <v>STRADIVARIUS</v>
      </c>
    </row>
    <row r="24" spans="1:22" x14ac:dyDescent="0.25">
      <c r="A24" s="485">
        <f>+ANALISI!A25</f>
        <v>2898</v>
      </c>
      <c r="B24" s="488" t="str">
        <f>+ANALISI!C25</f>
        <v xml:space="preserve">ROM-ROMA EST   </v>
      </c>
      <c r="C24" s="486" t="str">
        <f>+ANALISI!B25</f>
        <v>STRADIVARIUS</v>
      </c>
      <c r="D24" s="487">
        <f>VLOOKUP(A24,ANALISI!A:O,14,FALSE)</f>
        <v>13.560000121593475</v>
      </c>
      <c r="E24" s="488">
        <f>_xlfn.IFNA(VLOOKUP(A24,ANALISI!A:O,4,FALSE),0)</f>
        <v>126</v>
      </c>
      <c r="F24" s="488">
        <f>_xlfn.IFNA(VLOOKUP(A24,ANALISI!A:O,5,FALSE),0)</f>
        <v>0</v>
      </c>
      <c r="G24" s="488">
        <f>_xlfn.IFNA(VLOOKUP(A24,ANALISI!A:O,8,FALSE),0)</f>
        <v>4</v>
      </c>
      <c r="H24" s="488">
        <f>_xlfn.IFNA(VLOOKUP(A24,ANALISI!A:O,11,FALSE),0)</f>
        <v>0</v>
      </c>
      <c r="I24" s="489">
        <f t="shared" si="0"/>
        <v>8</v>
      </c>
      <c r="J24" s="488" t="str">
        <f>+VLOOKUP(A24,'SPUNTA ARRIVI '!A:Z,26,FALSE)</f>
        <v>ZA14</v>
      </c>
      <c r="K24" s="488"/>
      <c r="L24" s="488"/>
      <c r="M24" s="488">
        <f t="shared" si="1"/>
        <v>2898</v>
      </c>
      <c r="N24" s="495">
        <v>302</v>
      </c>
      <c r="O24" s="488">
        <f>IFERROR(VLOOKUP(M24,'SPUNTA ARRIVI '!$A$2:$C$76,1,FALSE),A24)</f>
        <v>2898</v>
      </c>
      <c r="P24" s="494" t="str">
        <f>IFERROR(VLOOKUP(M24,'SPUNTA ARRIVI '!$A$2:$C$76,2,FALSE), $B24)</f>
        <v xml:space="preserve">CC Roma EST </v>
      </c>
      <c r="Q24" s="488" t="str">
        <f>IFERROR(VLOOKUP(M24,'SPUNTA ARRIVI '!$A$2:$C$76,3,FALSE),C24)</f>
        <v>STRADIVARIUS</v>
      </c>
    </row>
    <row r="25" spans="1:22" x14ac:dyDescent="0.25">
      <c r="A25" s="485">
        <f>+ANALISI!A26</f>
        <v>12093</v>
      </c>
      <c r="B25" s="488" t="str">
        <f>+ANALISI!C26</f>
        <v xml:space="preserve">ROM-GRAN ROMA  </v>
      </c>
      <c r="C25" s="486" t="str">
        <f>+ANALISI!B26</f>
        <v>STRADIVARIUS</v>
      </c>
      <c r="D25" s="487">
        <f>VLOOKUP(A25,ANALISI!A:O,14,FALSE)</f>
        <v>6.4599998593330383</v>
      </c>
      <c r="E25" s="488">
        <f>_xlfn.IFNA(VLOOKUP(A25,ANALISI!A:O,4,FALSE),0)</f>
        <v>59</v>
      </c>
      <c r="F25" s="488">
        <f>_xlfn.IFNA(VLOOKUP(A25,ANALISI!A:O,5,FALSE),0)</f>
        <v>0</v>
      </c>
      <c r="G25" s="488">
        <f>_xlfn.IFNA(VLOOKUP(A25,ANALISI!A:O,8,FALSE),0)</f>
        <v>4</v>
      </c>
      <c r="H25" s="488">
        <f>_xlfn.IFNA(VLOOKUP(A25,ANALISI!A:O,11,FALSE),0)</f>
        <v>0</v>
      </c>
      <c r="I25" s="489">
        <f t="shared" si="0"/>
        <v>4</v>
      </c>
      <c r="J25" s="488" t="str">
        <f>+VLOOKUP(A25,'SPUNTA ARRIVI '!A:Z,26,FALSE)</f>
        <v>ZA8</v>
      </c>
      <c r="K25" s="488"/>
      <c r="L25" s="488"/>
      <c r="M25" s="488">
        <f t="shared" si="1"/>
        <v>12093</v>
      </c>
      <c r="N25" s="495">
        <v>296</v>
      </c>
      <c r="O25" s="488">
        <f>IFERROR(VLOOKUP(M25,'SPUNTA ARRIVI '!$A$2:$C$76,1,FALSE),A25)</f>
        <v>12093</v>
      </c>
      <c r="P25" s="494" t="str">
        <f>IFERROR(VLOOKUP(M25,'SPUNTA ARRIVI '!$A$2:$C$76,2,FALSE), $B25)</f>
        <v xml:space="preserve">CC GRAN ROMA </v>
      </c>
      <c r="Q25" s="488" t="str">
        <f>IFERROR(VLOOKUP(M25,'SPUNTA ARRIVI '!$A$2:$C$76,3,FALSE),C25)</f>
        <v>STRADIVARIUS</v>
      </c>
    </row>
    <row r="26" spans="1:22" x14ac:dyDescent="0.25">
      <c r="A26" s="485">
        <f>+ANALISI!A27</f>
        <v>2917</v>
      </c>
      <c r="B26" s="488" t="str">
        <f>+ANALISI!C27</f>
        <v xml:space="preserve">ROM-EUROMA2    </v>
      </c>
      <c r="C26" s="486" t="str">
        <f>+ANALISI!B27</f>
        <v>STRADIVARIUS</v>
      </c>
      <c r="D26" s="487">
        <f>VLOOKUP(A26,ANALISI!A:O,14,FALSE)</f>
        <v>13.289999783039093</v>
      </c>
      <c r="E26" s="488">
        <f>_xlfn.IFNA(VLOOKUP(A26,ANALISI!A:O,4,FALSE),0)</f>
        <v>119</v>
      </c>
      <c r="F26" s="488">
        <f>_xlfn.IFNA(VLOOKUP(A26,ANALISI!A:O,5,FALSE),0)</f>
        <v>0</v>
      </c>
      <c r="G26" s="488">
        <f>_xlfn.IFNA(VLOOKUP(A26,ANALISI!A:O,8,FALSE),0)</f>
        <v>6</v>
      </c>
      <c r="H26" s="488">
        <f>_xlfn.IFNA(VLOOKUP(A26,ANALISI!A:O,11,FALSE),0)</f>
        <v>0</v>
      </c>
      <c r="I26" s="489">
        <f t="shared" si="0"/>
        <v>7</v>
      </c>
      <c r="J26" s="488" t="str">
        <f>+VLOOKUP(A26,'SPUNTA ARRIVI '!A:Z,26,FALSE)</f>
        <v>ZA11</v>
      </c>
      <c r="K26" s="488"/>
      <c r="L26" s="488"/>
      <c r="M26" s="488">
        <f t="shared" si="1"/>
        <v>2917</v>
      </c>
      <c r="N26" s="495">
        <v>295</v>
      </c>
      <c r="O26" s="488">
        <f>IFERROR(VLOOKUP(M26,'SPUNTA ARRIVI '!$A$2:$C$76,1,FALSE),A26)</f>
        <v>2917</v>
      </c>
      <c r="P26" s="494" t="str">
        <f>IFERROR(VLOOKUP(M26,'SPUNTA ARRIVI '!$A$2:$C$76,2,FALSE), $B26)</f>
        <v>CC EUROMA2
GIRO 2</v>
      </c>
      <c r="Q26" s="488" t="str">
        <f>IFERROR(VLOOKUP(M26,'SPUNTA ARRIVI '!$A$2:$C$76,3,FALSE),C26)</f>
        <v>STRADIVARIUS</v>
      </c>
    </row>
    <row r="27" spans="1:22" x14ac:dyDescent="0.25">
      <c r="A27" s="485">
        <f>+ANALISI!A28</f>
        <v>10265</v>
      </c>
      <c r="B27" s="488" t="str">
        <f>+ANALISI!C28</f>
        <v xml:space="preserve">PES-VITTORIO E </v>
      </c>
      <c r="C27" s="486" t="str">
        <f>+ANALISI!B28</f>
        <v>STRADIVARIUS</v>
      </c>
      <c r="D27" s="487">
        <f>VLOOKUP(A27,ANALISI!A:O,14,FALSE)</f>
        <v>5.0499999225139618</v>
      </c>
      <c r="E27" s="488">
        <f>_xlfn.IFNA(VLOOKUP(A27,ANALISI!A:O,4,FALSE),0)</f>
        <v>48</v>
      </c>
      <c r="F27" s="488">
        <f>_xlfn.IFNA(VLOOKUP(A27,ANALISI!A:O,5,FALSE),0)</f>
        <v>0</v>
      </c>
      <c r="G27" s="488">
        <f>_xlfn.IFNA(VLOOKUP(A27,ANALISI!A:O,8,FALSE),0)</f>
        <v>2</v>
      </c>
      <c r="H27" s="488">
        <f>_xlfn.IFNA(VLOOKUP(A27,ANALISI!A:O,11,FALSE),0)</f>
        <v>0</v>
      </c>
      <c r="I27" s="489">
        <f t="shared" si="0"/>
        <v>3</v>
      </c>
      <c r="J27" s="488" t="str">
        <f>+VLOOKUP(A27,'SPUNTA ARRIVI '!A:Z,26,FALSE)</f>
        <v>ZA3</v>
      </c>
      <c r="K27" s="488"/>
      <c r="L27" s="488"/>
      <c r="M27" s="488">
        <f t="shared" si="1"/>
        <v>10265</v>
      </c>
      <c r="N27" s="495">
        <v>299</v>
      </c>
      <c r="O27" s="488">
        <f>IFERROR(VLOOKUP(M27,'SPUNTA ARRIVI '!$A$2:$C$76,1,FALSE),A27)</f>
        <v>10265</v>
      </c>
      <c r="P27" s="494" t="str">
        <f>IFERROR(VLOOKUP(M27,'SPUNTA ARRIVI '!$A$2:$C$76,2,FALSE), $B27)</f>
        <v>Pescara</v>
      </c>
      <c r="Q27" s="488" t="str">
        <f>IFERROR(VLOOKUP(M27,'SPUNTA ARRIVI '!$A$2:$C$76,3,FALSE),C27)</f>
        <v>STRADIVARIUS</v>
      </c>
    </row>
    <row r="28" spans="1:22" x14ac:dyDescent="0.25">
      <c r="A28" s="485">
        <f>+ANALISI!A29</f>
        <v>7672</v>
      </c>
      <c r="B28" s="488" t="str">
        <f>+ANALISI!C29</f>
        <v>CITT-PESCARA NO</v>
      </c>
      <c r="C28" s="486" t="str">
        <f>+ANALISI!B29</f>
        <v>STRADIVARIUS</v>
      </c>
      <c r="D28" s="487">
        <f>VLOOKUP(A28,ANALISI!A:O,14,FALSE)</f>
        <v>0</v>
      </c>
      <c r="E28" s="488">
        <f>_xlfn.IFNA(VLOOKUP(A28,ANALISI!A:O,4,FALSE),0)</f>
        <v>0</v>
      </c>
      <c r="F28" s="488">
        <f>_xlfn.IFNA(VLOOKUP(A28,ANALISI!A:O,5,FALSE),0)</f>
        <v>0</v>
      </c>
      <c r="G28" s="488">
        <f>_xlfn.IFNA(VLOOKUP(A28,ANALISI!A:O,8,FALSE),0)</f>
        <v>0</v>
      </c>
      <c r="H28" s="488">
        <f>_xlfn.IFNA(VLOOKUP(A28,ANALISI!A:O,11,FALSE),0)</f>
        <v>0</v>
      </c>
      <c r="I28" s="489">
        <f t="shared" si="0"/>
        <v>0</v>
      </c>
      <c r="J28" s="488" t="s">
        <v>269</v>
      </c>
      <c r="K28" s="488"/>
      <c r="L28" s="488"/>
      <c r="M28" s="488">
        <f t="shared" si="1"/>
        <v>7672</v>
      </c>
      <c r="N28" s="495">
        <v>0</v>
      </c>
      <c r="O28" s="488">
        <f>IFERROR(VLOOKUP(M28,'SPUNTA ARRIVI '!$A$2:$C$76,1,FALSE),A28)</f>
        <v>7672</v>
      </c>
      <c r="P28" s="494" t="str">
        <f>IFERROR(VLOOKUP(M28,'SPUNTA ARRIVI '!$A$2:$C$76,2,FALSE), $B28)</f>
        <v>CITT-PESCARA NO</v>
      </c>
      <c r="Q28" s="488" t="str">
        <f>IFERROR(VLOOKUP(M28,'SPUNTA ARRIVI '!$A$2:$C$76,3,FALSE),C28)</f>
        <v>STRADIVARIUS</v>
      </c>
    </row>
    <row r="29" spans="1:22" x14ac:dyDescent="0.25">
      <c r="A29" s="485">
        <f>+ANALISI!A30</f>
        <v>16647</v>
      </c>
      <c r="B29" s="488" t="str">
        <f>+ANALISI!C30</f>
        <v xml:space="preserve">CHIETI-MEGALO  </v>
      </c>
      <c r="C29" s="486" t="str">
        <f>+ANALISI!B30</f>
        <v>STRADIVARIUS</v>
      </c>
      <c r="D29" s="487">
        <f>VLOOKUP(A29,ANALISI!A:O,14,FALSE)</f>
        <v>7.4900000691413879</v>
      </c>
      <c r="E29" s="488">
        <f>_xlfn.IFNA(VLOOKUP(A29,ANALISI!A:O,4,FALSE),0)</f>
        <v>67</v>
      </c>
      <c r="F29" s="488">
        <f>_xlfn.IFNA(VLOOKUP(A29,ANALISI!A:O,5,FALSE),0)</f>
        <v>0</v>
      </c>
      <c r="G29" s="488">
        <f>_xlfn.IFNA(VLOOKUP(A29,ANALISI!A:O,8,FALSE),0)</f>
        <v>3</v>
      </c>
      <c r="H29" s="488">
        <f>_xlfn.IFNA(VLOOKUP(A29,ANALISI!A:O,11,FALSE),0)</f>
        <v>0</v>
      </c>
      <c r="I29" s="489">
        <f t="shared" si="0"/>
        <v>4</v>
      </c>
      <c r="J29" s="488" t="str">
        <f>+VLOOKUP(A29,'SPUNTA ARRIVI '!A:Z,26,FALSE)</f>
        <v>ZA1</v>
      </c>
      <c r="K29" s="488"/>
      <c r="L29" s="488"/>
      <c r="M29" s="488">
        <f t="shared" si="1"/>
        <v>16647</v>
      </c>
      <c r="N29" s="495">
        <v>298</v>
      </c>
      <c r="O29" s="488">
        <f>IFERROR(VLOOKUP(M29,'SPUNTA ARRIVI '!$A$2:$C$76,1,FALSE),A29)</f>
        <v>16647</v>
      </c>
      <c r="P29" s="494" t="str">
        <f>IFERROR(VLOOKUP(M29,'SPUNTA ARRIVI '!$A$2:$C$76,2,FALSE), $B29)</f>
        <v>CC Chieti Megalò</v>
      </c>
      <c r="Q29" s="488" t="str">
        <f>IFERROR(VLOOKUP(M29,'SPUNTA ARRIVI '!$A$2:$C$76,3,FALSE),C29)</f>
        <v>STRADIVARIUS</v>
      </c>
    </row>
    <row r="30" spans="1:22" x14ac:dyDescent="0.25">
      <c r="A30" s="485">
        <f>+ANALISI!A31</f>
        <v>12154</v>
      </c>
      <c r="B30" s="488" t="str">
        <f>+ANALISI!C31</f>
        <v xml:space="preserve">ASC-AL BATTENT </v>
      </c>
      <c r="C30" s="486" t="str">
        <f>+ANALISI!B31</f>
        <v>STRADIVARIUS</v>
      </c>
      <c r="D30" s="487">
        <f>VLOOKUP(A30,ANALISI!A:O,14,FALSE)</f>
        <v>2.4399999380111694</v>
      </c>
      <c r="E30" s="488">
        <f>_xlfn.IFNA(VLOOKUP(A30,ANALISI!A:O,4,FALSE),0)</f>
        <v>20</v>
      </c>
      <c r="F30" s="488">
        <f>_xlfn.IFNA(VLOOKUP(A30,ANALISI!A:O,5,FALSE),0)</f>
        <v>0</v>
      </c>
      <c r="G30" s="488">
        <f>_xlfn.IFNA(VLOOKUP(A30,ANALISI!A:O,8,FALSE),0)</f>
        <v>4</v>
      </c>
      <c r="H30" s="488">
        <f>_xlfn.IFNA(VLOOKUP(A30,ANALISI!A:O,11,FALSE),0)</f>
        <v>0</v>
      </c>
      <c r="I30" s="489">
        <f t="shared" si="0"/>
        <v>2</v>
      </c>
      <c r="J30" s="488" t="str">
        <f>+VLOOKUP(A30,'SPUNTA ARRIVI '!A:Z,26,FALSE)</f>
        <v>ZA9</v>
      </c>
      <c r="K30" s="488"/>
      <c r="L30" s="488"/>
      <c r="M30" s="488">
        <f t="shared" si="1"/>
        <v>12154</v>
      </c>
      <c r="N30" s="495">
        <v>293</v>
      </c>
      <c r="O30" s="488">
        <f>IFERROR(VLOOKUP(M30,'SPUNTA ARRIVI '!$A$2:$C$76,1,FALSE),A30)</f>
        <v>12154</v>
      </c>
      <c r="P30" s="494" t="str">
        <f>IFERROR(VLOOKUP(M30,'SPUNTA ARRIVI '!$A$2:$C$76,2,FALSE), $B30)</f>
        <v>C.C. Al Battente</v>
      </c>
      <c r="Q30" s="488" t="str">
        <f>IFERROR(VLOOKUP(M30,'SPUNTA ARRIVI '!$A$2:$C$76,3,FALSE),C30)</f>
        <v>STRADIVARIUS</v>
      </c>
    </row>
    <row r="31" spans="1:22" x14ac:dyDescent="0.25">
      <c r="A31" s="485">
        <f>+ANALISI!A32</f>
        <v>12271</v>
      </c>
      <c r="B31" s="488" t="str">
        <f>+ANALISI!C32</f>
        <v xml:space="preserve">TER-GRAN SASSO </v>
      </c>
      <c r="C31" s="486" t="str">
        <f>+ANALISI!B32</f>
        <v xml:space="preserve">ZARA   </v>
      </c>
      <c r="D31" s="487">
        <f>VLOOKUP(A31,ANALISI!A:O,14,FALSE)</f>
        <v>26.87999951839447</v>
      </c>
      <c r="E31" s="488">
        <f>_xlfn.IFNA(VLOOKUP(A31,ANALISI!A:O,4,FALSE),0)</f>
        <v>220</v>
      </c>
      <c r="F31" s="488">
        <f>_xlfn.IFNA(VLOOKUP(A31,ANALISI!A:O,5,FALSE),0)</f>
        <v>10</v>
      </c>
      <c r="G31" s="488">
        <f>_xlfn.IFNA(VLOOKUP(A31,ANALISI!A:O,8,FALSE),0)</f>
        <v>13</v>
      </c>
      <c r="H31" s="488">
        <f>_xlfn.IFNA(VLOOKUP(A31,ANALISI!A:O,11,FALSE),0)</f>
        <v>0</v>
      </c>
      <c r="I31" s="489">
        <f t="shared" si="0"/>
        <v>15</v>
      </c>
      <c r="J31" s="488" t="str">
        <f>+VLOOKUP(A31,'SPUNTA ARRIVI '!A:Z,26,FALSE)</f>
        <v>ZA2</v>
      </c>
      <c r="K31" s="488"/>
      <c r="L31" s="488"/>
      <c r="M31" s="488">
        <f t="shared" si="1"/>
        <v>12271</v>
      </c>
      <c r="N31" s="495">
        <v>313</v>
      </c>
      <c r="O31" s="488">
        <f>IFERROR(VLOOKUP(M31,'SPUNTA ARRIVI '!$A$2:$C$76,1,FALSE),A31)</f>
        <v>12271</v>
      </c>
      <c r="P31" s="494" t="str">
        <f>IFERROR(VLOOKUP(M31,'SPUNTA ARRIVI '!$A$2:$C$76,2,FALSE), $B31)</f>
        <v>C.C. Gran sasso</v>
      </c>
      <c r="Q31" s="488" t="str">
        <f>IFERROR(VLOOKUP(M31,'SPUNTA ARRIVI '!$A$2:$C$76,3,FALSE),C31)</f>
        <v>ZARA</v>
      </c>
      <c r="V31" s="496"/>
    </row>
    <row r="32" spans="1:22" x14ac:dyDescent="0.25">
      <c r="A32" s="485">
        <f>+ANALISI!A33</f>
        <v>1265</v>
      </c>
      <c r="B32" s="488" t="str">
        <f>+ANALISI!C33</f>
        <v xml:space="preserve">TER-GRAN SASSO </v>
      </c>
      <c r="C32" s="486" t="str">
        <f>+ANALISI!B33</f>
        <v xml:space="preserve">ZARA   </v>
      </c>
      <c r="D32" s="487">
        <f>VLOOKUP(A32,ANALISI!A:O,14,FALSE)</f>
        <v>39.96999979019165</v>
      </c>
      <c r="E32" s="488">
        <f>_xlfn.IFNA(VLOOKUP(A32,ANALISI!A:O,4,FALSE),0)</f>
        <v>299</v>
      </c>
      <c r="F32" s="488">
        <f>_xlfn.IFNA(VLOOKUP(A32,ANALISI!A:O,5,FALSE),0)</f>
        <v>24</v>
      </c>
      <c r="G32" s="488">
        <f>_xlfn.IFNA(VLOOKUP(A32,ANALISI!A:O,8,FALSE),0)</f>
        <v>36</v>
      </c>
      <c r="H32" s="488">
        <f>_xlfn.IFNA(VLOOKUP(A32,ANALISI!A:O,11,FALSE),0)</f>
        <v>0</v>
      </c>
      <c r="I32" s="489">
        <f t="shared" si="0"/>
        <v>22</v>
      </c>
      <c r="J32" s="488" t="str">
        <f>+VLOOKUP(A32,'SPUNTA ARRIVI '!A:Z,26,FALSE)</f>
        <v>ZA7</v>
      </c>
      <c r="K32" s="488"/>
      <c r="L32" s="488"/>
      <c r="M32" s="488">
        <f t="shared" si="1"/>
        <v>1265</v>
      </c>
      <c r="N32" s="495">
        <v>308</v>
      </c>
      <c r="O32" s="488">
        <f>IFERROR(VLOOKUP(M32,'SPUNTA ARRIVI '!$A$2:$C$76,1,FALSE),A32)</f>
        <v>1265</v>
      </c>
      <c r="P32" s="494" t="str">
        <f>IFERROR(VLOOKUP(M32,'SPUNTA ARRIVI '!$A$2:$C$76,2,FALSE), $B32)</f>
        <v>ROMA VIA APPIA</v>
      </c>
      <c r="Q32" s="488" t="str">
        <f>IFERROR(VLOOKUP(M32,'SPUNTA ARRIVI '!$A$2:$C$76,3,FALSE),C32)</f>
        <v>ZARA</v>
      </c>
    </row>
    <row r="33" spans="1:17" x14ac:dyDescent="0.25">
      <c r="A33" s="485">
        <f>+ANALISI!A34</f>
        <v>3534</v>
      </c>
      <c r="B33" s="488" t="str">
        <f>+ANALISI!C34</f>
        <v xml:space="preserve">ROM-ROMA EST   </v>
      </c>
      <c r="C33" s="486" t="str">
        <f>+ANALISI!B34</f>
        <v xml:space="preserve">ZARA   </v>
      </c>
      <c r="D33" s="487">
        <f>VLOOKUP(A33,ANALISI!A:O,14,FALSE)</f>
        <v>46.270001411437988</v>
      </c>
      <c r="E33" s="488">
        <f>_xlfn.IFNA(VLOOKUP(A33,ANALISI!A:O,4,FALSE),0)</f>
        <v>370</v>
      </c>
      <c r="F33" s="488">
        <f>_xlfn.IFNA(VLOOKUP(A33,ANALISI!A:O,5,FALSE),0)</f>
        <v>28</v>
      </c>
      <c r="G33" s="488">
        <f>_xlfn.IFNA(VLOOKUP(A33,ANALISI!A:O,8,FALSE),0)</f>
        <v>31</v>
      </c>
      <c r="H33" s="488">
        <f>_xlfn.IFNA(VLOOKUP(A33,ANALISI!A:O,11,FALSE),0)</f>
        <v>0</v>
      </c>
      <c r="I33" s="489">
        <f t="shared" si="0"/>
        <v>25</v>
      </c>
      <c r="J33" s="488" t="str">
        <f>+VLOOKUP(A33,'SPUNTA ARRIVI '!A:Z,26,FALSE)</f>
        <v>ZA14</v>
      </c>
      <c r="K33" s="488"/>
      <c r="L33" s="488"/>
      <c r="M33" s="488">
        <f t="shared" si="1"/>
        <v>3534</v>
      </c>
      <c r="N33" s="495">
        <v>320</v>
      </c>
      <c r="O33" s="488">
        <f>IFERROR(VLOOKUP(M33,'SPUNTA ARRIVI '!$A$2:$C$76,1,FALSE),A33)</f>
        <v>3534</v>
      </c>
      <c r="P33" s="494" t="str">
        <f>IFERROR(VLOOKUP(M33,'SPUNTA ARRIVI '!$A$2:$C$76,2,FALSE), $B33)</f>
        <v xml:space="preserve">CC Roma EST </v>
      </c>
      <c r="Q33" s="488" t="str">
        <f>IFERROR(VLOOKUP(M33,'SPUNTA ARRIVI '!$A$2:$C$76,3,FALSE),C33)</f>
        <v>ZARA</v>
      </c>
    </row>
    <row r="34" spans="1:17" x14ac:dyDescent="0.25">
      <c r="A34" s="485">
        <f>+ANALISI!A35</f>
        <v>3680</v>
      </c>
      <c r="B34" s="488" t="str">
        <f>+ANALISI!C35</f>
        <v xml:space="preserve">ROM-P.DI ROMA  </v>
      </c>
      <c r="C34" s="486" t="str">
        <f>+ANALISI!B35</f>
        <v>ZARA</v>
      </c>
      <c r="D34" s="487">
        <f>VLOOKUP(A34,ANALISI!A:O,14,FALSE)</f>
        <v>37.359999179840088</v>
      </c>
      <c r="E34" s="488">
        <f>_xlfn.IFNA(VLOOKUP(A34,ANALISI!A:O,4,FALSE),0)</f>
        <v>273</v>
      </c>
      <c r="F34" s="488">
        <f>_xlfn.IFNA(VLOOKUP(A34,ANALISI!A:O,5,FALSE),0)</f>
        <v>37</v>
      </c>
      <c r="G34" s="488">
        <f>_xlfn.IFNA(VLOOKUP(A34,ANALISI!A:O,8,FALSE),0)</f>
        <v>48</v>
      </c>
      <c r="H34" s="488">
        <f>_xlfn.IFNA(VLOOKUP(A34,ANALISI!A:O,11,FALSE),0)</f>
        <v>0</v>
      </c>
      <c r="I34" s="489">
        <f t="shared" si="0"/>
        <v>20</v>
      </c>
      <c r="J34" s="488" t="str">
        <f>+VLOOKUP(A34,'SPUNTA ARRIVI '!A:Z,26,FALSE)</f>
        <v>ZA4</v>
      </c>
      <c r="K34" s="488"/>
      <c r="L34" s="488"/>
      <c r="M34" s="488">
        <f t="shared" si="1"/>
        <v>3680</v>
      </c>
      <c r="N34" s="495">
        <v>319</v>
      </c>
      <c r="O34" s="488">
        <f>IFERROR(VLOOKUP(M34,'SPUNTA ARRIVI '!$A$2:$C$76,1,FALSE),A34)</f>
        <v>3680</v>
      </c>
      <c r="P34" s="494" t="str">
        <f>IFERROR(VLOOKUP(M34,'SPUNTA ARRIVI '!$A$2:$C$76,2,FALSE), $B34)</f>
        <v>C.C.La Porta di Roma</v>
      </c>
      <c r="Q34" s="488" t="str">
        <f>IFERROR(VLOOKUP(M34,'SPUNTA ARRIVI '!$A$2:$C$76,3,FALSE),C34)</f>
        <v>ZARA</v>
      </c>
    </row>
    <row r="35" spans="1:17" x14ac:dyDescent="0.25">
      <c r="A35" s="485">
        <f>+ANALISI!A36</f>
        <v>9226</v>
      </c>
      <c r="B35" s="488" t="str">
        <f>+ANALISI!C36</f>
        <v xml:space="preserve">ROM-P BOCCONI  </v>
      </c>
      <c r="C35" s="486" t="str">
        <f>+ANALISI!B36</f>
        <v xml:space="preserve">ZARA   </v>
      </c>
      <c r="D35" s="487">
        <f>VLOOKUP(A35,ANALISI!A:O,14,FALSE)</f>
        <v>42.70999813079834</v>
      </c>
      <c r="E35" s="488">
        <f>_xlfn.IFNA(VLOOKUP(A35,ANALISI!A:O,4,FALSE),0)</f>
        <v>280</v>
      </c>
      <c r="F35" s="488">
        <f>_xlfn.IFNA(VLOOKUP(A35,ANALISI!A:O,5,FALSE),0)</f>
        <v>61</v>
      </c>
      <c r="G35" s="488">
        <f>_xlfn.IFNA(VLOOKUP(A35,ANALISI!A:O,8,FALSE),0)</f>
        <v>74</v>
      </c>
      <c r="H35" s="488">
        <f>_xlfn.IFNA(VLOOKUP(A35,ANALISI!A:O,11,FALSE),0)</f>
        <v>0</v>
      </c>
      <c r="I35" s="489">
        <f t="shared" si="0"/>
        <v>23</v>
      </c>
      <c r="J35" s="488" t="str">
        <f>+VLOOKUP(A35,'SPUNTA ARRIVI '!A:Z,26,FALSE)</f>
        <v>ZA12</v>
      </c>
      <c r="K35" s="488"/>
      <c r="L35" s="488"/>
      <c r="M35" s="488">
        <f t="shared" si="1"/>
        <v>9226</v>
      </c>
      <c r="N35" s="495">
        <v>321</v>
      </c>
      <c r="O35" s="488">
        <f>IFERROR(VLOOKUP(M35,'SPUNTA ARRIVI '!$A$2:$C$76,1,FALSE),A35)</f>
        <v>9226</v>
      </c>
      <c r="P35" s="494" t="str">
        <f>IFERROR(VLOOKUP(M35,'SPUNTA ARRIVI '!$A$2:$C$76,2,FALSE), $B35)</f>
        <v>VIA DEL CORSO</v>
      </c>
      <c r="Q35" s="488" t="str">
        <f>IFERROR(VLOOKUP(M35,'SPUNTA ARRIVI '!$A$2:$C$76,3,FALSE),C35)</f>
        <v>ZARA</v>
      </c>
    </row>
    <row r="36" spans="1:17" x14ac:dyDescent="0.25">
      <c r="A36" s="485">
        <f>+ANALISI!A37</f>
        <v>12059</v>
      </c>
      <c r="B36" s="488" t="str">
        <f>+ANALISI!C37</f>
        <v xml:space="preserve">ROM-GRAN ROMA  </v>
      </c>
      <c r="C36" s="486" t="str">
        <f>+ANALISI!B37</f>
        <v xml:space="preserve">ZARA   </v>
      </c>
      <c r="D36" s="487">
        <f>VLOOKUP(A36,ANALISI!A:O,14,FALSE)</f>
        <v>36.930001735687256</v>
      </c>
      <c r="E36" s="488">
        <f>_xlfn.IFNA(VLOOKUP(A36,ANALISI!A:O,4,FALSE),0)</f>
        <v>306</v>
      </c>
      <c r="F36" s="488">
        <f>_xlfn.IFNA(VLOOKUP(A36,ANALISI!A:O,5,FALSE),0)</f>
        <v>13</v>
      </c>
      <c r="G36" s="488">
        <f>_xlfn.IFNA(VLOOKUP(A36,ANALISI!A:O,8,FALSE),0)</f>
        <v>20</v>
      </c>
      <c r="H36" s="488">
        <f>_xlfn.IFNA(VLOOKUP(A36,ANALISI!A:O,11,FALSE),0)</f>
        <v>0</v>
      </c>
      <c r="I36" s="489">
        <f t="shared" si="0"/>
        <v>20</v>
      </c>
      <c r="J36" s="488" t="str">
        <f>+VLOOKUP(A36,'SPUNTA ARRIVI '!A:Z,26,FALSE)</f>
        <v>ZA8</v>
      </c>
      <c r="K36" s="488"/>
      <c r="L36" s="488"/>
      <c r="M36" s="488">
        <f t="shared" si="1"/>
        <v>12059</v>
      </c>
      <c r="N36" s="495">
        <v>312</v>
      </c>
      <c r="O36" s="488">
        <f>IFERROR(VLOOKUP(M36,'SPUNTA ARRIVI '!$A$2:$C$76,1,FALSE),A36)</f>
        <v>12059</v>
      </c>
      <c r="P36" s="494" t="str">
        <f>IFERROR(VLOOKUP(M36,'SPUNTA ARRIVI '!$A$2:$C$76,2,FALSE), $B36)</f>
        <v xml:space="preserve">CC GRAN ROMA </v>
      </c>
      <c r="Q36" s="488" t="str">
        <f>IFERROR(VLOOKUP(M36,'SPUNTA ARRIVI '!$A$2:$C$76,3,FALSE),C36)</f>
        <v>ZARA</v>
      </c>
    </row>
    <row r="37" spans="1:17" x14ac:dyDescent="0.25">
      <c r="A37" s="485">
        <f>+ANALISI!A38</f>
        <v>3591</v>
      </c>
      <c r="B37" s="488" t="str">
        <f>+ANALISI!C38</f>
        <v xml:space="preserve">ROM-EUROMA2    </v>
      </c>
      <c r="C37" s="486" t="str">
        <f>+ANALISI!B38</f>
        <v xml:space="preserve">ZARA   </v>
      </c>
      <c r="D37" s="487">
        <f>VLOOKUP(A37,ANALISI!A:O,14,FALSE)</f>
        <v>41.56000018119812</v>
      </c>
      <c r="E37" s="488">
        <f>_xlfn.IFNA(VLOOKUP(A37,ANALISI!A:O,4,FALSE),0)</f>
        <v>332</v>
      </c>
      <c r="F37" s="488">
        <f>_xlfn.IFNA(VLOOKUP(A37,ANALISI!A:O,5,FALSE),0)</f>
        <v>36</v>
      </c>
      <c r="G37" s="488">
        <f>_xlfn.IFNA(VLOOKUP(A37,ANALISI!A:O,8,FALSE),0)</f>
        <v>41</v>
      </c>
      <c r="H37" s="488">
        <f>_xlfn.IFNA(VLOOKUP(A37,ANALISI!A:O,11,FALSE),0)</f>
        <v>0</v>
      </c>
      <c r="I37" s="489">
        <f t="shared" si="0"/>
        <v>22</v>
      </c>
      <c r="J37" s="488" t="str">
        <f>+VLOOKUP(A37,'SPUNTA ARRIVI '!A:Z,26,FALSE)</f>
        <v>ZA11</v>
      </c>
      <c r="K37" s="488"/>
      <c r="L37" s="488"/>
      <c r="M37" s="488">
        <f t="shared" si="1"/>
        <v>3591</v>
      </c>
      <c r="N37" s="495">
        <v>311</v>
      </c>
      <c r="O37" s="488">
        <f>IFERROR(VLOOKUP(M37,'SPUNTA ARRIVI '!$A$2:$C$76,1,FALSE),A37)</f>
        <v>3591</v>
      </c>
      <c r="P37" s="494" t="str">
        <f>IFERROR(VLOOKUP(M37,'SPUNTA ARRIVI '!$A$2:$C$76,2,FALSE), $B37)</f>
        <v>CC EUROMA2
GIRO 2</v>
      </c>
      <c r="Q37" s="488" t="str">
        <f>IFERROR(VLOOKUP(M37,'SPUNTA ARRIVI '!$A$2:$C$76,3,FALSE),C37)</f>
        <v>ZARA</v>
      </c>
    </row>
    <row r="38" spans="1:17" x14ac:dyDescent="0.25">
      <c r="A38" s="485">
        <f>+ANALISI!A39</f>
        <v>16723</v>
      </c>
      <c r="B38" s="488" t="str">
        <f>+ANALISI!C39</f>
        <v>PER-COLLESTRADA</v>
      </c>
      <c r="C38" s="486" t="str">
        <f>+ANALISI!B39</f>
        <v xml:space="preserve">ZARA   </v>
      </c>
      <c r="D38" s="487">
        <f>VLOOKUP(A38,ANALISI!A:O,14,FALSE)</f>
        <v>61.209999084472656</v>
      </c>
      <c r="E38" s="488">
        <f>_xlfn.IFNA(VLOOKUP(A38,ANALISI!A:O,4,FALSE),0)</f>
        <v>480</v>
      </c>
      <c r="F38" s="488">
        <f>_xlfn.IFNA(VLOOKUP(A38,ANALISI!A:O,5,FALSE),0)</f>
        <v>24</v>
      </c>
      <c r="G38" s="488">
        <f>_xlfn.IFNA(VLOOKUP(A38,ANALISI!A:O,8,FALSE),0)</f>
        <v>48</v>
      </c>
      <c r="H38" s="488">
        <f>_xlfn.IFNA(VLOOKUP(A38,ANALISI!A:O,11,FALSE),0)</f>
        <v>0</v>
      </c>
      <c r="I38" s="489">
        <f t="shared" si="0"/>
        <v>33</v>
      </c>
      <c r="J38" s="488" t="str">
        <f>+VLOOKUP(A38,'SPUNTA ARRIVI '!A:Z,26,FALSE)</f>
        <v>ZA10</v>
      </c>
      <c r="K38" s="488"/>
      <c r="L38" s="488"/>
      <c r="M38" s="488">
        <f t="shared" si="1"/>
        <v>16723</v>
      </c>
      <c r="N38" s="495">
        <v>310</v>
      </c>
      <c r="O38" s="488">
        <f>IFERROR(VLOOKUP(M38,'SPUNTA ARRIVI '!$A$2:$C$76,1,FALSE),A38)</f>
        <v>16723</v>
      </c>
      <c r="P38" s="494" t="str">
        <f>IFERROR(VLOOKUP(M38,'SPUNTA ARRIVI '!$A$2:$C$76,2,FALSE), $B38)</f>
        <v>C. C. Collestrada</v>
      </c>
      <c r="Q38" s="488" t="str">
        <f>IFERROR(VLOOKUP(M38,'SPUNTA ARRIVI '!$A$2:$C$76,3,FALSE),C38)</f>
        <v>ZARA</v>
      </c>
    </row>
    <row r="39" spans="1:17" x14ac:dyDescent="0.25">
      <c r="A39" s="485">
        <f>+ANALISI!A40</f>
        <v>3494</v>
      </c>
      <c r="B39" s="488" t="str">
        <f>+ANALISI!C40</f>
        <v xml:space="preserve">FIUM-LEONARDO  </v>
      </c>
      <c r="C39" s="486" t="str">
        <f>+ANALISI!B40</f>
        <v xml:space="preserve">ZARA   </v>
      </c>
      <c r="D39" s="487">
        <f>VLOOKUP(A39,ANALISI!A:O,14,FALSE)</f>
        <v>0</v>
      </c>
      <c r="E39" s="488">
        <f>_xlfn.IFNA(VLOOKUP(A39,ANALISI!A:O,4,FALSE),0)</f>
        <v>0</v>
      </c>
      <c r="F39" s="488">
        <f>_xlfn.IFNA(VLOOKUP(A39,ANALISI!A:O,5,FALSE),0)</f>
        <v>0</v>
      </c>
      <c r="G39" s="488">
        <f>_xlfn.IFNA(VLOOKUP(A39,ANALISI!A:O,8,FALSE),0)</f>
        <v>0</v>
      </c>
      <c r="H39" s="488">
        <f>_xlfn.IFNA(VLOOKUP(A39,ANALISI!A:O,11,FALSE),0)</f>
        <v>0</v>
      </c>
      <c r="I39" s="489">
        <f t="shared" si="0"/>
        <v>0</v>
      </c>
      <c r="J39" s="488" t="s">
        <v>277</v>
      </c>
      <c r="K39" s="488"/>
      <c r="L39" s="488"/>
      <c r="M39" s="488">
        <f t="shared" si="1"/>
        <v>3494</v>
      </c>
      <c r="N39" s="495">
        <v>0</v>
      </c>
      <c r="O39" s="488">
        <f>IFERROR(VLOOKUP(M39,'SPUNTA ARRIVI '!$A$2:$C$76,1,FALSE),A39)</f>
        <v>3494</v>
      </c>
      <c r="P39" s="494" t="str">
        <f>IFERROR(VLOOKUP(M39,'SPUNTA ARRIVI '!$A$2:$C$76,2,FALSE), $B39)</f>
        <v xml:space="preserve">FIUM-LEONARDO  </v>
      </c>
      <c r="Q39" s="488" t="str">
        <f>IFERROR(VLOOKUP(M39,'SPUNTA ARRIVI '!$A$2:$C$76,3,FALSE),C39)</f>
        <v xml:space="preserve">ZARA   </v>
      </c>
    </row>
    <row r="40" spans="1:17" x14ac:dyDescent="0.25">
      <c r="A40" s="485">
        <f>+ANALISI!A41</f>
        <v>3503</v>
      </c>
      <c r="B40" s="488" t="str">
        <f>+ANALISI!C41</f>
        <v xml:space="preserve">CHIETI-MEGALO APT0  </v>
      </c>
      <c r="C40" s="486" t="str">
        <f>+ANALISI!B41</f>
        <v>ZARA</v>
      </c>
      <c r="D40" s="487">
        <f>VLOOKUP(A40,ANALISI!A:O,14,FALSE)</f>
        <v>54.03000020980835</v>
      </c>
      <c r="E40" s="488">
        <f>_xlfn.IFNA(VLOOKUP(A40,ANALISI!A:O,4,FALSE),0)</f>
        <v>430</v>
      </c>
      <c r="F40" s="488">
        <f>_xlfn.IFNA(VLOOKUP(A40,ANALISI!A:O,5,FALSE),0)</f>
        <v>16</v>
      </c>
      <c r="G40" s="488">
        <f>_xlfn.IFNA(VLOOKUP(A40,ANALISI!A:O,8,FALSE),0)</f>
        <v>40</v>
      </c>
      <c r="H40" s="488">
        <f>_xlfn.IFNA(VLOOKUP(A40,ANALISI!A:O,11,FALSE),0)</f>
        <v>0</v>
      </c>
      <c r="I40" s="489">
        <f t="shared" si="0"/>
        <v>29</v>
      </c>
      <c r="J40" s="488" t="str">
        <f>+VLOOKUP(A40,'SPUNTA ARRIVI '!A:Z,26,FALSE)</f>
        <v>ZA1</v>
      </c>
      <c r="K40" s="488"/>
      <c r="L40" s="488"/>
      <c r="M40" s="488">
        <f t="shared" si="1"/>
        <v>3503</v>
      </c>
      <c r="N40" s="495">
        <v>317</v>
      </c>
      <c r="O40" s="488">
        <f>IFERROR(VLOOKUP(M40,'SPUNTA ARRIVI '!$A$2:$C$76,1,FALSE),A40)</f>
        <v>3503</v>
      </c>
      <c r="P40" s="494" t="str">
        <f>IFERROR(VLOOKUP(M40,'SPUNTA ARRIVI '!$A$2:$C$76,2,FALSE), $B40)</f>
        <v>CC Chieti Megalò</v>
      </c>
      <c r="Q40" s="488" t="str">
        <f>IFERROR(VLOOKUP(M40,'SPUNTA ARRIVI '!$A$2:$C$76,3,FALSE),C40)</f>
        <v>ZARA</v>
      </c>
    </row>
    <row r="41" spans="1:17" x14ac:dyDescent="0.25">
      <c r="A41" s="485">
        <f>+ANALISI!A42</f>
        <v>1971</v>
      </c>
      <c r="B41" s="488" t="str">
        <f>+ANALISI!C42</f>
        <v xml:space="preserve">ROM-P.DI ROMA  </v>
      </c>
      <c r="C41" s="486" t="str">
        <f>+ANALISI!B42</f>
        <v>ZARA HOME</v>
      </c>
      <c r="D41" s="487">
        <f>VLOOKUP(A41,ANALISI!A:O,14,FALSE)</f>
        <v>13.570000171661377</v>
      </c>
      <c r="E41" s="488">
        <f>_xlfn.IFNA(VLOOKUP(A41,ANALISI!A:O,4,FALSE),0)</f>
        <v>140</v>
      </c>
      <c r="F41" s="488">
        <f>_xlfn.IFNA(VLOOKUP(A41,ANALISI!A:O,5,FALSE),0)</f>
        <v>0</v>
      </c>
      <c r="G41" s="488">
        <f>_xlfn.IFNA(VLOOKUP(A41,ANALISI!A:O,8,FALSE),0)</f>
        <v>0</v>
      </c>
      <c r="H41" s="488">
        <f>_xlfn.IFNA(VLOOKUP(A41,ANALISI!A:O,11,FALSE),0)</f>
        <v>11</v>
      </c>
      <c r="I41" s="489">
        <f t="shared" si="0"/>
        <v>8</v>
      </c>
      <c r="J41" s="488" t="str">
        <f>+VLOOKUP(A41,'SPUNTA ARRIVI '!A:Z,26,FALSE)</f>
        <v>ZA4</v>
      </c>
      <c r="K41" s="488"/>
      <c r="L41" s="488"/>
      <c r="M41" s="488">
        <f t="shared" si="1"/>
        <v>1971</v>
      </c>
      <c r="N41" s="495">
        <v>316</v>
      </c>
      <c r="O41" s="488">
        <f>IFERROR(VLOOKUP(M41,'SPUNTA ARRIVI '!$A$2:$C$76,1,FALSE),A41)</f>
        <v>1971</v>
      </c>
      <c r="P41" s="494" t="str">
        <f>IFERROR(VLOOKUP(M41,'SPUNTA ARRIVI '!$A$2:$C$76,2,FALSE), $B41)</f>
        <v>C.C.La Porta di Roma</v>
      </c>
      <c r="Q41" s="488" t="str">
        <f>IFERROR(VLOOKUP(M41,'SPUNTA ARRIVI '!$A$2:$C$76,3,FALSE),C41)</f>
        <v>ZARA HOME</v>
      </c>
    </row>
    <row r="42" spans="1:17" x14ac:dyDescent="0.25">
      <c r="A42" s="485">
        <f>+ANALISI!A43</f>
        <v>1755</v>
      </c>
      <c r="B42" s="488" t="str">
        <f>+ANALISI!C43</f>
        <v xml:space="preserve">ROM-EUROMA2    </v>
      </c>
      <c r="C42" s="486" t="str">
        <f>+ANALISI!B43</f>
        <v>ZARA HOME</v>
      </c>
      <c r="D42" s="487">
        <f>VLOOKUP(A42,ANALISI!A:O,14,FALSE)</f>
        <v>8.970000147819519</v>
      </c>
      <c r="E42" s="488">
        <f>_xlfn.IFNA(VLOOKUP(A42,ANALISI!A:O,4,FALSE),0)</f>
        <v>88</v>
      </c>
      <c r="F42" s="488">
        <f>_xlfn.IFNA(VLOOKUP(A42,ANALISI!A:O,5,FALSE),0)</f>
        <v>0</v>
      </c>
      <c r="G42" s="488">
        <f>_xlfn.IFNA(VLOOKUP(A42,ANALISI!A:O,8,FALSE),0)</f>
        <v>0</v>
      </c>
      <c r="H42" s="488">
        <f>_xlfn.IFNA(VLOOKUP(A42,ANALISI!A:O,11,FALSE),0)</f>
        <v>14</v>
      </c>
      <c r="I42" s="489">
        <f t="shared" si="0"/>
        <v>5</v>
      </c>
      <c r="J42" s="488" t="str">
        <f>+VLOOKUP(A42,'SPUNTA ARRIVI '!A:Z,26,FALSE)</f>
        <v>ZA11</v>
      </c>
      <c r="K42" s="488"/>
      <c r="L42" s="488"/>
      <c r="M42" s="488">
        <f t="shared" si="1"/>
        <v>1755</v>
      </c>
      <c r="N42" s="495">
        <v>315</v>
      </c>
      <c r="O42" s="488">
        <f>IFERROR(VLOOKUP(M42,'SPUNTA ARRIVI '!$A$2:$C$76,1,FALSE),A42)</f>
        <v>1755</v>
      </c>
      <c r="P42" s="494" t="str">
        <f>IFERROR(VLOOKUP(M42,'SPUNTA ARRIVI '!$A$2:$C$76,2,FALSE), $B42)</f>
        <v>CC EUROMA2
GIRO 2</v>
      </c>
      <c r="Q42" s="488" t="str">
        <f>IFERROR(VLOOKUP(M42,'SPUNTA ARRIVI '!$A$2:$C$76,3,FALSE),C42)</f>
        <v>ZARA HOME</v>
      </c>
    </row>
    <row r="43" spans="1:17" x14ac:dyDescent="0.25">
      <c r="A43" s="485">
        <f>+ANALISI!A44</f>
        <v>1984</v>
      </c>
      <c r="B43" s="488" t="str">
        <f>+ANALISI!C44</f>
        <v>ROM-COLA RIENZO</v>
      </c>
      <c r="C43" s="486" t="str">
        <f>+ANALISI!B44</f>
        <v>ZARA HOME</v>
      </c>
      <c r="D43" s="487">
        <f>VLOOKUP(A43,ANALISI!A:O,14,FALSE)</f>
        <v>18.420000910758972</v>
      </c>
      <c r="E43" s="488">
        <f>_xlfn.IFNA(VLOOKUP(A43,ANALISI!A:O,4,FALSE),0)</f>
        <v>186</v>
      </c>
      <c r="F43" s="488">
        <f>_xlfn.IFNA(VLOOKUP(A43,ANALISI!A:O,5,FALSE),0)</f>
        <v>6</v>
      </c>
      <c r="G43" s="488">
        <f>_xlfn.IFNA(VLOOKUP(A43,ANALISI!A:O,8,FALSE),0)</f>
        <v>0</v>
      </c>
      <c r="H43" s="488">
        <f>_xlfn.IFNA(VLOOKUP(A43,ANALISI!A:O,11,FALSE),0)</f>
        <v>17</v>
      </c>
      <c r="I43" s="489">
        <f t="shared" si="0"/>
        <v>10</v>
      </c>
      <c r="J43" s="488" t="str">
        <f>+VLOOKUP(A43,'SPUNTA ARRIVI '!A:Z,26,FALSE)</f>
        <v>ZA5</v>
      </c>
      <c r="K43" s="488"/>
      <c r="L43" s="488"/>
      <c r="M43" s="488">
        <f t="shared" si="1"/>
        <v>1984</v>
      </c>
      <c r="N43" s="495">
        <v>314</v>
      </c>
      <c r="O43" s="488">
        <f>IFERROR(VLOOKUP(M43,'SPUNTA ARRIVI '!$A$2:$C$76,1,FALSE),A43)</f>
        <v>1984</v>
      </c>
      <c r="P43" s="494" t="str">
        <f>IFERROR(VLOOKUP(M43,'SPUNTA ARRIVI '!$A$2:$C$76,2,FALSE), $B43)</f>
        <v>ROMA 
COLA RIENZO</v>
      </c>
      <c r="Q43" s="488" t="str">
        <f>IFERROR(VLOOKUP(M43,'SPUNTA ARRIVI '!$A$2:$C$76,3,FALSE),C43)</f>
        <v>ZARA HOME</v>
      </c>
    </row>
    <row r="44" spans="1:17" x14ac:dyDescent="0.25">
      <c r="A44" s="485">
        <f>+ANALISI!A45</f>
        <v>6760</v>
      </c>
      <c r="B44" s="488" t="str">
        <f>+ANALISI!C45</f>
        <v xml:space="preserve">ROM-P.DI ROMA  </v>
      </c>
      <c r="C44" s="486" t="str">
        <f>+ANALISI!B45</f>
        <v>STRADIVARIUS</v>
      </c>
      <c r="D44" s="487">
        <f>VLOOKUP(A44,ANALISI!A:O,14,FALSE)</f>
        <v>15.559999942779541</v>
      </c>
      <c r="E44" s="488">
        <f>_xlfn.IFNA(VLOOKUP(A44,ANALISI!A:O,4,FALSE),0)</f>
        <v>137</v>
      </c>
      <c r="F44" s="488">
        <f>_xlfn.IFNA(VLOOKUP(A44,ANALISI!A:O,5,FALSE),0)</f>
        <v>0</v>
      </c>
      <c r="G44" s="488">
        <f>_xlfn.IFNA(VLOOKUP(A44,ANALISI!A:O,8,FALSE),0)</f>
        <v>11</v>
      </c>
      <c r="H44" s="488">
        <f>_xlfn.IFNA(VLOOKUP(A44,ANALISI!A:O,11,FALSE),0)</f>
        <v>0</v>
      </c>
      <c r="I44" s="489">
        <f t="shared" si="0"/>
        <v>9</v>
      </c>
      <c r="J44" s="488" t="str">
        <f>+VLOOKUP(A44,'SPUNTA ARRIVI '!A:Z,26,FALSE)</f>
        <v>ZA4</v>
      </c>
      <c r="K44" s="488"/>
      <c r="L44" s="488"/>
      <c r="M44" s="488">
        <f t="shared" si="1"/>
        <v>6760</v>
      </c>
      <c r="N44" s="495">
        <v>301</v>
      </c>
      <c r="O44" s="488">
        <f>IFERROR(VLOOKUP(M44,'SPUNTA ARRIVI '!$A$2:$C$76,1,FALSE),A44)</f>
        <v>6760</v>
      </c>
      <c r="P44" s="494" t="str">
        <f>IFERROR(VLOOKUP(M44,'SPUNTA ARRIVI '!$A$2:$C$76,2,FALSE), $B44)</f>
        <v>C.C.La Porta di Roma</v>
      </c>
      <c r="Q44" s="488" t="str">
        <f>IFERROR(VLOOKUP(M44,'SPUNTA ARRIVI '!$A$2:$C$76,3,FALSE),C44)</f>
        <v>STRADIVARIUS</v>
      </c>
    </row>
    <row r="45" spans="1:17" x14ac:dyDescent="0.25">
      <c r="A45" s="485">
        <f>+ANALISI!A46</f>
        <v>15733</v>
      </c>
      <c r="B45" s="488" t="str">
        <f>+ANALISI!C46</f>
        <v>CD2-IT-ROMA</v>
      </c>
      <c r="C45" s="486" t="str">
        <f>+ANALISI!B46</f>
        <v xml:space="preserve">ZARA   </v>
      </c>
      <c r="D45" s="487">
        <f>VLOOKUP(A45,ANALISI!A:O,14,FALSE)</f>
        <v>245.07999610900879</v>
      </c>
      <c r="E45" s="488">
        <f>_xlfn.IFNA(VLOOKUP(A45,ANALISI!A:O,4,FALSE),0)</f>
        <v>1959</v>
      </c>
      <c r="F45" s="488">
        <f>_xlfn.IFNA(VLOOKUP(A45,ANALISI!A:O,5,FALSE),0)</f>
        <v>34</v>
      </c>
      <c r="G45" s="488">
        <f>_xlfn.IFNA(VLOOKUP(A45,ANALISI!A:O,8,FALSE),0)</f>
        <v>162</v>
      </c>
      <c r="H45" s="488">
        <f>_xlfn.IFNA(VLOOKUP(A45,ANALISI!A:O,11,FALSE),0)</f>
        <v>0</v>
      </c>
      <c r="I45" s="489">
        <f t="shared" si="0"/>
        <v>129</v>
      </c>
      <c r="J45" s="488" t="str">
        <f>+VLOOKUP(A45,'SPUNTA ARRIVI '!A:Z,26,FALSE)</f>
        <v>ZA13</v>
      </c>
      <c r="K45" s="488"/>
      <c r="L45" s="488"/>
      <c r="M45" s="488">
        <f t="shared" si="1"/>
        <v>15733</v>
      </c>
      <c r="N45" s="495">
        <v>309</v>
      </c>
      <c r="O45" s="488">
        <f>IFERROR(VLOOKUP(M45,'SPUNTA ARRIVI '!$A$2:$C$76,1,FALSE),A45)</f>
        <v>15733</v>
      </c>
      <c r="P45" s="494" t="str">
        <f>IFERROR(VLOOKUP(M45,'SPUNTA ARRIVI '!$A$2:$C$76,2,FALSE), $B45)</f>
        <v>CASTEL GIUBILEO</v>
      </c>
      <c r="Q45" s="488" t="str">
        <f>IFERROR(VLOOKUP(M45,'SPUNTA ARRIVI '!$A$2:$C$76,3,FALSE),C45)</f>
        <v>PRIMA USCITA</v>
      </c>
    </row>
    <row r="46" spans="1:17" x14ac:dyDescent="0.25">
      <c r="A46" s="485">
        <f>+ANALISI!A47</f>
        <v>5641</v>
      </c>
      <c r="B46" s="488" t="str">
        <f>+ANALISI!C47</f>
        <v xml:space="preserve">MAC-ADRIATICO  </v>
      </c>
      <c r="C46" s="486" t="str">
        <f>+ANALISI!B47</f>
        <v>BERSHKA</v>
      </c>
      <c r="D46" s="487">
        <f>VLOOKUP(A46,ANALISI!A:O,14,FALSE)</f>
        <v>11.63999979197979</v>
      </c>
      <c r="E46" s="488">
        <f>_xlfn.IFNA(VLOOKUP(A46,ANALISI!A:O,4,FALSE),0)</f>
        <v>111</v>
      </c>
      <c r="F46" s="488">
        <f>_xlfn.IFNA(VLOOKUP(A46,ANALISI!A:O,5,FALSE),0)</f>
        <v>0</v>
      </c>
      <c r="G46" s="488">
        <f>_xlfn.IFNA(VLOOKUP(A46,ANALISI!A:O,8,FALSE),0)</f>
        <v>5</v>
      </c>
      <c r="H46" s="488">
        <f>_xlfn.IFNA(VLOOKUP(A46,ANALISI!A:O,11,FALSE),0)</f>
        <v>1</v>
      </c>
      <c r="I46" s="489">
        <f t="shared" si="0"/>
        <v>7</v>
      </c>
      <c r="J46" s="488" t="str">
        <f>+VLOOKUP(A46,'SPUNTA ARRIVI '!A:Z,26,FALSE)</f>
        <v>ZA2</v>
      </c>
      <c r="K46" s="488"/>
      <c r="L46" s="488"/>
      <c r="M46" s="488">
        <f t="shared" si="1"/>
        <v>5641</v>
      </c>
      <c r="N46" s="495">
        <v>7</v>
      </c>
      <c r="O46" s="488">
        <f>IFERROR(VLOOKUP(M46,'SPUNTA ARRIVI '!$A$2:$C$76,1,FALSE),A46)</f>
        <v>5641</v>
      </c>
      <c r="P46" s="494" t="str">
        <f>IFERROR(VLOOKUP(M46,'SPUNTA ARRIVI '!$A$2:$C$76,2,FALSE), $B46)</f>
        <v>C.C. IL CUORE ADRIATICO</v>
      </c>
      <c r="Q46" s="488" t="str">
        <f>IFERROR(VLOOKUP(M46,'SPUNTA ARRIVI '!$A$2:$C$76,3,FALSE),C46)</f>
        <v>BERSHKA</v>
      </c>
    </row>
    <row r="47" spans="1:17" x14ac:dyDescent="0.25">
      <c r="A47" s="485">
        <f>+ANALISI!A48</f>
        <v>5405</v>
      </c>
      <c r="B47" s="488" t="str">
        <f>+ANALISI!C48</f>
        <v xml:space="preserve">MAC-ADRIATICO  </v>
      </c>
      <c r="C47" s="486" t="str">
        <f>+ANALISI!B48</f>
        <v>PULL&amp;BEAR</v>
      </c>
      <c r="D47" s="487">
        <f>VLOOKUP(A47,ANALISI!A:O,14,FALSE)</f>
        <v>11.099999964237213</v>
      </c>
      <c r="E47" s="488">
        <f>_xlfn.IFNA(VLOOKUP(A47,ANALISI!A:O,4,FALSE),0)</f>
        <v>120</v>
      </c>
      <c r="F47" s="488">
        <f>_xlfn.IFNA(VLOOKUP(A47,ANALISI!A:O,5,FALSE),0)</f>
        <v>0</v>
      </c>
      <c r="G47" s="488">
        <f>_xlfn.IFNA(VLOOKUP(A47,ANALISI!A:O,8,FALSE),0)</f>
        <v>4</v>
      </c>
      <c r="H47" s="488">
        <f>_xlfn.IFNA(VLOOKUP(A47,ANALISI!A:O,11,FALSE),0)</f>
        <v>2</v>
      </c>
      <c r="I47" s="489">
        <f t="shared" si="0"/>
        <v>6</v>
      </c>
      <c r="J47" s="488" t="str">
        <f>+VLOOKUP(A47,'SPUNTA ARRIVI '!A:Z,26,FALSE)</f>
        <v>ZA2</v>
      </c>
      <c r="K47" s="488"/>
      <c r="L47" s="488"/>
      <c r="M47" s="488">
        <f t="shared" si="1"/>
        <v>5405</v>
      </c>
      <c r="N47" s="495">
        <v>282</v>
      </c>
      <c r="O47" s="488">
        <f>IFERROR(VLOOKUP(M47,'SPUNTA ARRIVI '!$A$2:$C$76,1,FALSE),A47)</f>
        <v>5405</v>
      </c>
      <c r="P47" s="494" t="str">
        <f>IFERROR(VLOOKUP(M47,'SPUNTA ARRIVI '!$A$2:$C$76,2,FALSE), $B47)</f>
        <v>C.C. IL CUORE ADRIATICO</v>
      </c>
      <c r="Q47" s="488" t="str">
        <f>IFERROR(VLOOKUP(M47,'SPUNTA ARRIVI '!$A$2:$C$76,3,FALSE),C47)</f>
        <v>PULL&amp;BEAR</v>
      </c>
    </row>
    <row r="48" spans="1:17" x14ac:dyDescent="0.25">
      <c r="A48" s="485">
        <f>+ANALISI!A49</f>
        <v>2972</v>
      </c>
      <c r="B48" s="488" t="str">
        <f>+ANALISI!C49</f>
        <v xml:space="preserve">MAC-ADRIATICO  </v>
      </c>
      <c r="C48" s="486" t="str">
        <f>+ANALISI!B49</f>
        <v>STRADIVARIUS</v>
      </c>
      <c r="D48" s="487">
        <f>VLOOKUP(A48,ANALISI!A:O,14,FALSE)</f>
        <v>8.2199998795986176</v>
      </c>
      <c r="E48" s="488">
        <f>_xlfn.IFNA(VLOOKUP(A48,ANALISI!A:O,4,FALSE),0)</f>
        <v>73</v>
      </c>
      <c r="F48" s="488">
        <f>_xlfn.IFNA(VLOOKUP(A48,ANALISI!A:O,5,FALSE),0)</f>
        <v>0</v>
      </c>
      <c r="G48" s="488">
        <f>_xlfn.IFNA(VLOOKUP(A48,ANALISI!A:O,8,FALSE),0)</f>
        <v>4</v>
      </c>
      <c r="H48" s="488">
        <f>_xlfn.IFNA(VLOOKUP(A48,ANALISI!A:O,11,FALSE),0)</f>
        <v>0</v>
      </c>
      <c r="I48" s="489">
        <f t="shared" si="0"/>
        <v>5</v>
      </c>
      <c r="J48" s="488" t="str">
        <f>+VLOOKUP(A48,'SPUNTA ARRIVI '!A:Z,26,FALSE)</f>
        <v>ZA2</v>
      </c>
      <c r="K48" s="488"/>
      <c r="L48" s="488"/>
      <c r="M48" s="488">
        <f t="shared" si="1"/>
        <v>2972</v>
      </c>
      <c r="N48" s="495">
        <v>294</v>
      </c>
      <c r="O48" s="488">
        <f>IFERROR(VLOOKUP(M48,'SPUNTA ARRIVI '!$A$2:$C$76,1,FALSE),A48)</f>
        <v>2972</v>
      </c>
      <c r="P48" s="494" t="str">
        <f>IFERROR(VLOOKUP(M48,'SPUNTA ARRIVI '!$A$2:$C$76,2,FALSE), $B48)</f>
        <v>C.C. IL CUORE ADRIATICO</v>
      </c>
      <c r="Q48" s="488" t="str">
        <f>IFERROR(VLOOKUP(M48,'SPUNTA ARRIVI '!$A$2:$C$76,3,FALSE),C48)</f>
        <v>STRADIVARIUS</v>
      </c>
    </row>
    <row r="49" spans="1:17" x14ac:dyDescent="0.25">
      <c r="A49" s="485">
        <f>+ANALISI!A50</f>
        <v>16351</v>
      </c>
      <c r="B49" s="488" t="str">
        <f>+ANALISI!C50</f>
        <v>CHIETI</v>
      </c>
      <c r="C49" s="486" t="str">
        <f>+ANALISI!B50</f>
        <v>BERSHKA</v>
      </c>
      <c r="D49" s="487">
        <f>VLOOKUP(A49,ANALISI!A:O,14,FALSE)</f>
        <v>14.35999958217144</v>
      </c>
      <c r="E49" s="488">
        <f>_xlfn.IFNA(VLOOKUP(A49,ANALISI!A:O,4,FALSE),0)</f>
        <v>137</v>
      </c>
      <c r="F49" s="488">
        <f>_xlfn.IFNA(VLOOKUP(A49,ANALISI!A:O,5,FALSE),0)</f>
        <v>0</v>
      </c>
      <c r="G49" s="488">
        <f>_xlfn.IFNA(VLOOKUP(A49,ANALISI!A:O,8,FALSE),0)</f>
        <v>9</v>
      </c>
      <c r="H49" s="488">
        <f>_xlfn.IFNA(VLOOKUP(A49,ANALISI!A:O,11,FALSE),0)</f>
        <v>1</v>
      </c>
      <c r="I49" s="489">
        <f t="shared" si="0"/>
        <v>8</v>
      </c>
      <c r="J49" s="488" t="str">
        <f>+VLOOKUP(A49,'SPUNTA ARRIVI '!A:Z,26,FALSE)</f>
        <v>ZA1</v>
      </c>
      <c r="K49" s="488"/>
      <c r="L49" s="488"/>
      <c r="M49" s="488">
        <f t="shared" si="1"/>
        <v>16351</v>
      </c>
      <c r="N49" s="495">
        <v>336</v>
      </c>
      <c r="O49" s="488">
        <f>IFERROR(VLOOKUP(M49,'SPUNTA ARRIVI '!$A$2:$C$76,1,FALSE),A49)</f>
        <v>16351</v>
      </c>
      <c r="P49" s="494" t="str">
        <f>IFERROR(VLOOKUP(M49,'SPUNTA ARRIVI '!$A$2:$C$76,2,FALSE), $B49)</f>
        <v>CC Chieti Megalò</v>
      </c>
      <c r="Q49" s="488" t="str">
        <f>IFERROR(VLOOKUP(M49,'SPUNTA ARRIVI '!$A$2:$C$76,3,FALSE),C49)</f>
        <v>BERSHKA</v>
      </c>
    </row>
    <row r="50" spans="1:17" x14ac:dyDescent="0.25">
      <c r="A50" s="485">
        <f>+ANALISI!A51</f>
        <v>16564</v>
      </c>
      <c r="B50" s="488" t="str">
        <f>+ANALISI!C51</f>
        <v>CHIETI</v>
      </c>
      <c r="C50" s="486" t="str">
        <f>+ANALISI!B51</f>
        <v>PULL&amp;BEAR</v>
      </c>
      <c r="D50" s="487">
        <f>VLOOKUP(A50,ANALISI!A:O,14,FALSE)</f>
        <v>13.920000433921814</v>
      </c>
      <c r="E50" s="488">
        <f>_xlfn.IFNA(VLOOKUP(A50,ANALISI!A:O,4,FALSE),0)</f>
        <v>148</v>
      </c>
      <c r="F50" s="488">
        <f>_xlfn.IFNA(VLOOKUP(A50,ANALISI!A:O,5,FALSE),0)</f>
        <v>0</v>
      </c>
      <c r="G50" s="488">
        <f>_xlfn.IFNA(VLOOKUP(A50,ANALISI!A:O,8,FALSE),0)</f>
        <v>10</v>
      </c>
      <c r="H50" s="488">
        <f>_xlfn.IFNA(VLOOKUP(A50,ANALISI!A:O,11,FALSE),0)</f>
        <v>0</v>
      </c>
      <c r="I50" s="489">
        <f t="shared" si="0"/>
        <v>8</v>
      </c>
      <c r="J50" s="488" t="str">
        <f>+VLOOKUP(A50,'SPUNTA ARRIVI '!A:Z,26,FALSE)</f>
        <v>ZA1</v>
      </c>
      <c r="K50" s="488"/>
      <c r="L50" s="488"/>
      <c r="M50" s="488">
        <f t="shared" si="1"/>
        <v>16564</v>
      </c>
      <c r="N50" s="495">
        <v>337</v>
      </c>
      <c r="O50" s="488">
        <f>IFERROR(VLOOKUP(M50,'SPUNTA ARRIVI '!$A$2:$C$76,1,FALSE),A50)</f>
        <v>16564</v>
      </c>
      <c r="P50" s="494" t="str">
        <f>IFERROR(VLOOKUP(M50,'SPUNTA ARRIVI '!$A$2:$C$76,2,FALSE), $B50)</f>
        <v>CC Chieti Megalò</v>
      </c>
      <c r="Q50" s="488" t="str">
        <f>IFERROR(VLOOKUP(M50,'SPUNTA ARRIVI '!$A$2:$C$76,3,FALSE),C50)</f>
        <v>PULL&amp;BEAR</v>
      </c>
    </row>
    <row r="51" spans="1:17" x14ac:dyDescent="0.25">
      <c r="A51" s="485">
        <f>+ANALISI!A52</f>
        <v>17019</v>
      </c>
      <c r="B51" s="488" t="str">
        <f>+ANALISI!C52</f>
        <v>ROM-PALAZZO RU</v>
      </c>
      <c r="C51" s="486" t="s">
        <v>44</v>
      </c>
      <c r="D51" s="487">
        <f>VLOOKUP(A51,ANALISI!A:O,14,FALSE)</f>
        <v>9.2600002288818359</v>
      </c>
      <c r="E51" s="488">
        <f>_xlfn.IFNA(VLOOKUP(A51,ANALISI!A:O,4,FALSE),0)</f>
        <v>45</v>
      </c>
      <c r="F51" s="488">
        <f>_xlfn.IFNA(VLOOKUP(A51,ANALISI!A:O,5,FALSE),0)</f>
        <v>3</v>
      </c>
      <c r="G51" s="488">
        <f>_xlfn.IFNA(VLOOKUP(A51,ANALISI!A:O,8,FALSE),0)</f>
        <v>17</v>
      </c>
      <c r="H51" s="488">
        <f>_xlfn.IFNA(VLOOKUP(A51,ANALISI!A:O,11,FALSE),0)</f>
        <v>0</v>
      </c>
      <c r="I51" s="489">
        <f t="shared" si="0"/>
        <v>5</v>
      </c>
      <c r="J51" s="488" t="str">
        <f>+VLOOKUP(A51,'SPUNTA ARRIVI '!A:Z,26,FALSE)</f>
        <v>ZA20</v>
      </c>
      <c r="K51" s="488"/>
      <c r="L51" s="488"/>
      <c r="M51" s="488">
        <f t="shared" si="1"/>
        <v>17019</v>
      </c>
      <c r="N51" s="495">
        <v>2358</v>
      </c>
      <c r="O51" s="488">
        <f>IFERROR(VLOOKUP(M51,'SPUNTA ARRIVI '!$A$2:$C$76,1,FALSE),A51)</f>
        <v>17019</v>
      </c>
      <c r="P51" s="494" t="str">
        <f>IFERROR(VLOOKUP(M51,'SPUNTA ARRIVI '!$A$2:$C$76,2,FALSE), $B51)</f>
        <v>ROM-PALAZZO RU</v>
      </c>
      <c r="Q51" s="488" t="str">
        <f>IFERROR(VLOOKUP(M51,'SPUNTA ARRIVI '!$A$2:$C$76,3,FALSE),C51)</f>
        <v>MASSIMO DUTTI</v>
      </c>
    </row>
    <row r="52" spans="1:17" x14ac:dyDescent="0.25">
      <c r="A52" s="485"/>
      <c r="B52" s="488"/>
      <c r="C52" s="486"/>
      <c r="D52" s="487"/>
      <c r="E52" s="488"/>
      <c r="F52" s="488"/>
      <c r="G52" s="488"/>
      <c r="H52" s="488"/>
      <c r="I52" s="489"/>
      <c r="J52" s="488"/>
      <c r="K52" s="488"/>
      <c r="L52" s="488"/>
      <c r="M52" s="488"/>
      <c r="N52" s="493"/>
      <c r="O52" s="488"/>
      <c r="P52" s="494"/>
      <c r="Q52" s="488"/>
    </row>
    <row r="53" spans="1:17" x14ac:dyDescent="0.25">
      <c r="A53" s="485"/>
      <c r="B53" s="488"/>
      <c r="C53" s="486"/>
      <c r="D53" s="487"/>
      <c r="E53" s="488"/>
      <c r="F53" s="488"/>
      <c r="G53" s="488"/>
      <c r="H53" s="488"/>
      <c r="I53" s="489"/>
      <c r="J53" s="488"/>
      <c r="K53" s="488"/>
      <c r="L53" s="488"/>
      <c r="M53" s="488"/>
      <c r="N53" s="493"/>
      <c r="O53" s="488"/>
      <c r="P53" s="494"/>
      <c r="Q53" s="488"/>
    </row>
    <row r="54" spans="1:17" x14ac:dyDescent="0.25">
      <c r="A54" s="485"/>
      <c r="B54" s="488"/>
      <c r="C54" s="486"/>
      <c r="D54" s="487"/>
      <c r="E54" s="488"/>
      <c r="F54" s="488"/>
      <c r="G54" s="488"/>
      <c r="H54" s="488"/>
      <c r="I54" s="489"/>
      <c r="J54" s="488"/>
      <c r="K54" s="488"/>
      <c r="L54" s="488"/>
      <c r="M54" s="488"/>
      <c r="N54" s="493"/>
      <c r="O54" s="488"/>
      <c r="P54" s="494"/>
      <c r="Q54" s="488"/>
    </row>
    <row r="55" spans="1:17" x14ac:dyDescent="0.25">
      <c r="A55" s="485"/>
      <c r="B55" s="488"/>
      <c r="C55" s="486"/>
      <c r="D55" s="487"/>
      <c r="E55" s="488"/>
      <c r="F55" s="488"/>
      <c r="G55" s="488"/>
      <c r="H55" s="488"/>
      <c r="I55" s="489"/>
      <c r="J55" s="488"/>
      <c r="K55" s="488"/>
      <c r="L55" s="488"/>
      <c r="M55" s="488"/>
      <c r="N55" s="493"/>
      <c r="O55" s="488"/>
      <c r="P55" s="494"/>
      <c r="Q55" s="488"/>
    </row>
  </sheetData>
  <autoFilter ref="A1:Q55" xr:uid="{74876BEE-C62D-4997-B112-1BAA1260BC0B}"/>
  <phoneticPr fontId="7" type="noConversion"/>
  <printOptions gridLines="1"/>
  <pageMargins left="0.25" right="0.25" top="0.75" bottom="0.75" header="0.3" footer="0.3"/>
  <pageSetup paperSize="9" scale="49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9E4E6-5BC2-4E61-884D-317F991FB98B}">
  <sheetPr codeName="Foglio18"/>
  <dimension ref="A1:J51"/>
  <sheetViews>
    <sheetView topLeftCell="A25" workbookViewId="0">
      <selection activeCell="J56" sqref="J56"/>
    </sheetView>
  </sheetViews>
  <sheetFormatPr defaultRowHeight="14.25" customHeight="1" x14ac:dyDescent="0.25"/>
  <cols>
    <col min="1" max="1" width="16.28515625" bestFit="1" customWidth="1"/>
    <col min="2" max="2" width="15.85546875" bestFit="1" customWidth="1"/>
    <col min="3" max="3" width="15.28515625" bestFit="1" customWidth="1"/>
    <col min="4" max="4" width="15.28515625" style="279" customWidth="1"/>
    <col min="5" max="5" width="19.42578125" customWidth="1"/>
    <col min="6" max="6" width="10.85546875" bestFit="1" customWidth="1"/>
    <col min="7" max="7" width="8.85546875" style="62" bestFit="1" customWidth="1"/>
    <col min="8" max="8" width="10.7109375" style="279" bestFit="1" customWidth="1"/>
    <col min="9" max="9" width="11.85546875" bestFit="1" customWidth="1"/>
    <col min="10" max="10" width="23.85546875" customWidth="1"/>
  </cols>
  <sheetData>
    <row r="1" spans="1:10" ht="14.25" customHeight="1" x14ac:dyDescent="0.25">
      <c r="A1" s="274" t="s">
        <v>249</v>
      </c>
      <c r="B1" s="275" t="s">
        <v>250</v>
      </c>
      <c r="C1" s="275" t="s">
        <v>251</v>
      </c>
      <c r="D1" s="373" t="s">
        <v>293</v>
      </c>
      <c r="E1" s="275" t="s">
        <v>252</v>
      </c>
      <c r="F1" s="274" t="s">
        <v>253</v>
      </c>
      <c r="G1" s="277" t="s">
        <v>21</v>
      </c>
      <c r="H1" s="377" t="s">
        <v>215</v>
      </c>
      <c r="I1" s="278" t="s">
        <v>283</v>
      </c>
      <c r="J1" s="278" t="s">
        <v>296</v>
      </c>
    </row>
    <row r="2" spans="1:10" ht="14.25" customHeight="1" x14ac:dyDescent="0.25">
      <c r="A2">
        <f>+sga!M2</f>
        <v>8601</v>
      </c>
      <c r="B2" s="276">
        <f ca="1">NOW()+1</f>
        <v>46317.501186805559</v>
      </c>
      <c r="C2" s="276">
        <f ca="1">+B2</f>
        <v>46317.501186805559</v>
      </c>
      <c r="D2" s="279">
        <v>1</v>
      </c>
      <c r="E2">
        <f>+VLOOKUP(A2,sga!$M$1:$Q$58,2,FALSE)</f>
        <v>10</v>
      </c>
      <c r="F2">
        <f>+H2*15</f>
        <v>1110</v>
      </c>
      <c r="G2" s="62">
        <f>IFERROR(VLOOKUP(A2,'SPUNTA ARRIVI '!$A$1:$L$78,4,FALSE),0)</f>
        <v>7.3299999535083771</v>
      </c>
      <c r="H2" s="279">
        <f>IFERROR(VLOOKUP(A2,'SPUNTA ARRIVI '!$A$1:$L$78,5,FALSE)+VLOOKUP(A2,'SPUNTA ARRIVI '!$A$1:$L$78,7,FALSE)+VLOOKUP(A2,'SPUNTA ARRIVI '!$A$1:$L$78,9,FALSE)+VLOOKUP(A2,'SPUNTA ARRIVI '!$A$1:$L$78,11,FALSE),0)</f>
        <v>74</v>
      </c>
      <c r="I2" t="str">
        <f>IFERROR(VLOOKUP(A2,'SPUNTA ARRIVI '!A:Z,26,FALSE),0)</f>
        <v>ZA2</v>
      </c>
    </row>
    <row r="3" spans="1:10" ht="14.25" customHeight="1" x14ac:dyDescent="0.25">
      <c r="A3" s="1">
        <f>+sga!M3</f>
        <v>8364</v>
      </c>
      <c r="B3" s="276">
        <f t="shared" ref="B3:B51" ca="1" si="0">NOW()+1</f>
        <v>46317.501186805559</v>
      </c>
      <c r="C3" s="276">
        <f t="shared" ref="C3:C51" ca="1" si="1">+B3</f>
        <v>46317.501186805559</v>
      </c>
      <c r="D3" s="279">
        <v>1</v>
      </c>
      <c r="E3" s="1">
        <f>+VLOOKUP(A3,sga!$M$1:$Q$58,2,FALSE)</f>
        <v>17</v>
      </c>
      <c r="F3" s="1">
        <f t="shared" ref="F3:F51" si="2">+H3*15</f>
        <v>2235</v>
      </c>
      <c r="G3" s="62">
        <f>IFERROR(VLOOKUP(A3,'SPUNTA ARRIVI '!$A$1:$L$78,4,FALSE),0)</f>
        <v>14.239999711513519</v>
      </c>
      <c r="H3" s="279">
        <f>IFERROR(VLOOKUP(A3,'SPUNTA ARRIVI '!$A$1:$L$78,5,FALSE)+VLOOKUP(A3,'SPUNTA ARRIVI '!$A$1:$L$78,7,FALSE)+VLOOKUP(A3,'SPUNTA ARRIVI '!$A$1:$L$78,9,FALSE)+VLOOKUP(A3,'SPUNTA ARRIVI '!$A$1:$L$78,11,FALSE),0)</f>
        <v>149</v>
      </c>
      <c r="I3" s="1" t="str">
        <f>IFERROR(VLOOKUP(A3,'SPUNTA ARRIVI '!A:Z,26,FALSE),0)</f>
        <v>ZA14</v>
      </c>
      <c r="J3" s="1"/>
    </row>
    <row r="4" spans="1:10" ht="14.25" customHeight="1" x14ac:dyDescent="0.25">
      <c r="A4" s="1">
        <f>+sga!M4</f>
        <v>14825</v>
      </c>
      <c r="B4" s="276">
        <f t="shared" ca="1" si="0"/>
        <v>46317.501186805559</v>
      </c>
      <c r="C4" s="276">
        <f t="shared" ca="1" si="1"/>
        <v>46317.501186805559</v>
      </c>
      <c r="D4" s="279">
        <v>1</v>
      </c>
      <c r="E4" s="1">
        <f>+VLOOKUP(A4,sga!$M$1:$Q$58,2,FALSE)</f>
        <v>16</v>
      </c>
      <c r="F4" s="1">
        <f t="shared" si="2"/>
        <v>2880</v>
      </c>
      <c r="G4" s="62">
        <f>IFERROR(VLOOKUP(A4,'SPUNTA ARRIVI '!$A$1:$L$78,4,FALSE),0)</f>
        <v>18.160000085830688</v>
      </c>
      <c r="H4" s="279">
        <f>IFERROR(VLOOKUP(A4,'SPUNTA ARRIVI '!$A$1:$L$78,5,FALSE)+VLOOKUP(A4,'SPUNTA ARRIVI '!$A$1:$L$78,7,FALSE)+VLOOKUP(A4,'SPUNTA ARRIVI '!$A$1:$L$78,9,FALSE)+VLOOKUP(A4,'SPUNTA ARRIVI '!$A$1:$L$78,11,FALSE),0)</f>
        <v>192</v>
      </c>
      <c r="I4" s="1" t="str">
        <f>IFERROR(VLOOKUP(A4,'SPUNTA ARRIVI '!A:Z,26,FALSE),0)</f>
        <v>ZA4</v>
      </c>
      <c r="J4" s="1"/>
    </row>
    <row r="5" spans="1:10" ht="14.25" customHeight="1" x14ac:dyDescent="0.25">
      <c r="A5" s="1">
        <f>+sga!M5</f>
        <v>12899</v>
      </c>
      <c r="B5" s="276">
        <f t="shared" ca="1" si="0"/>
        <v>46317.501186805559</v>
      </c>
      <c r="C5" s="276">
        <f t="shared" ca="1" si="1"/>
        <v>46317.501186805559</v>
      </c>
      <c r="D5" s="279">
        <v>1</v>
      </c>
      <c r="E5" s="1">
        <f>+VLOOKUP(A5,sga!$M$1:$Q$58,2,FALSE)</f>
        <v>9</v>
      </c>
      <c r="F5" s="1">
        <f t="shared" si="2"/>
        <v>870</v>
      </c>
      <c r="G5" s="62">
        <f>IFERROR(VLOOKUP(A5,'SPUNTA ARRIVI '!$A$1:$L$78,4,FALSE),0)</f>
        <v>5.4600001275539398</v>
      </c>
      <c r="H5" s="279">
        <f>IFERROR(VLOOKUP(A5,'SPUNTA ARRIVI '!$A$1:$L$78,5,FALSE)+VLOOKUP(A5,'SPUNTA ARRIVI '!$A$1:$L$78,7,FALSE)+VLOOKUP(A5,'SPUNTA ARRIVI '!$A$1:$L$78,9,FALSE)+VLOOKUP(A5,'SPUNTA ARRIVI '!$A$1:$L$78,11,FALSE),0)</f>
        <v>58</v>
      </c>
      <c r="I5" s="1" t="str">
        <f>IFERROR(VLOOKUP(A5,'SPUNTA ARRIVI '!A:Z,26,FALSE),0)</f>
        <v>ZA8</v>
      </c>
      <c r="J5" s="1"/>
    </row>
    <row r="6" spans="1:10" ht="14.25" customHeight="1" x14ac:dyDescent="0.25">
      <c r="A6" s="1">
        <f>+sga!M6</f>
        <v>8428</v>
      </c>
      <c r="B6" s="276">
        <f t="shared" ca="1" si="0"/>
        <v>46317.501186805559</v>
      </c>
      <c r="C6" s="276">
        <f t="shared" ca="1" si="1"/>
        <v>46317.501186805559</v>
      </c>
      <c r="D6" s="279">
        <v>1</v>
      </c>
      <c r="E6" s="1">
        <f>+VLOOKUP(A6,sga!$M$1:$Q$58,2,FALSE)</f>
        <v>8</v>
      </c>
      <c r="F6" s="1">
        <f t="shared" si="2"/>
        <v>2415</v>
      </c>
      <c r="G6" s="62">
        <f>IFERROR(VLOOKUP(A6,'SPUNTA ARRIVI '!$A$1:$L$78,4,FALSE),0)</f>
        <v>10.604999858140944</v>
      </c>
      <c r="H6" s="279">
        <f>IFERROR(VLOOKUP(A6,'SPUNTA ARRIVI '!$A$1:$L$78,5,FALSE)+VLOOKUP(A6,'SPUNTA ARRIVI '!$A$1:$L$78,7,FALSE)+VLOOKUP(A6,'SPUNTA ARRIVI '!$A$1:$L$78,9,FALSE)+VLOOKUP(A6,'SPUNTA ARRIVI '!$A$1:$L$78,11,FALSE),0)</f>
        <v>161</v>
      </c>
      <c r="I6" s="1" t="str">
        <f>IFERROR(VLOOKUP(A6,'SPUNTA ARRIVI '!A:Z,26,FALSE),0)</f>
        <v>ZA11</v>
      </c>
      <c r="J6" s="1"/>
    </row>
    <row r="7" spans="1:10" ht="14.25" customHeight="1" x14ac:dyDescent="0.25">
      <c r="A7" s="1">
        <f>+sga!M7</f>
        <v>8453</v>
      </c>
      <c r="B7" s="276">
        <f t="shared" ca="1" si="0"/>
        <v>46317.501186805559</v>
      </c>
      <c r="C7" s="276">
        <f t="shared" ca="1" si="1"/>
        <v>46317.501186805559</v>
      </c>
      <c r="D7" s="279">
        <v>1</v>
      </c>
      <c r="E7" s="1">
        <f>+VLOOKUP(A7,sga!$M$1:$Q$58,2,FALSE)</f>
        <v>6</v>
      </c>
      <c r="F7" s="1">
        <f t="shared" si="2"/>
        <v>990</v>
      </c>
      <c r="G7" s="62">
        <f>IFERROR(VLOOKUP(A7,'SPUNTA ARRIVI '!$A$1:$L$78,4,FALSE),0)</f>
        <v>6.6600000262260437</v>
      </c>
      <c r="H7" s="279">
        <f>IFERROR(VLOOKUP(A7,'SPUNTA ARRIVI '!$A$1:$L$78,5,FALSE)+VLOOKUP(A7,'SPUNTA ARRIVI '!$A$1:$L$78,7,FALSE)+VLOOKUP(A7,'SPUNTA ARRIVI '!$A$1:$L$78,9,FALSE)+VLOOKUP(A7,'SPUNTA ARRIVI '!$A$1:$L$78,11,FALSE),0)</f>
        <v>66</v>
      </c>
      <c r="I7" s="1" t="str">
        <f>IFERROR(VLOOKUP(A7,'SPUNTA ARRIVI '!A:Z,26,FALSE),0)</f>
        <v>ZA10</v>
      </c>
      <c r="J7" s="1"/>
    </row>
    <row r="8" spans="1:10" ht="14.25" customHeight="1" x14ac:dyDescent="0.25">
      <c r="A8" s="1">
        <f>+sga!M8</f>
        <v>16037</v>
      </c>
      <c r="B8" s="276">
        <f t="shared" ca="1" si="0"/>
        <v>46317.501186805559</v>
      </c>
      <c r="C8" s="276">
        <f t="shared" ca="1" si="1"/>
        <v>46317.501186805559</v>
      </c>
      <c r="D8" s="279">
        <v>1</v>
      </c>
      <c r="E8" s="1">
        <f>+VLOOKUP(A8,sga!$M$1:$Q$58,2,FALSE)</f>
        <v>11</v>
      </c>
      <c r="F8" s="1">
        <f t="shared" si="2"/>
        <v>1365</v>
      </c>
      <c r="G8" s="62">
        <f>IFERROR(VLOOKUP(A8,'SPUNTA ARRIVI '!$A$1:$L$78,4,FALSE),0)</f>
        <v>8.629999965429306</v>
      </c>
      <c r="H8" s="279">
        <f>IFERROR(VLOOKUP(A8,'SPUNTA ARRIVI '!$A$1:$L$78,5,FALSE)+VLOOKUP(A8,'SPUNTA ARRIVI '!$A$1:$L$78,7,FALSE)+VLOOKUP(A8,'SPUNTA ARRIVI '!$A$1:$L$78,9,FALSE)+VLOOKUP(A8,'SPUNTA ARRIVI '!$A$1:$L$78,11,FALSE),0)</f>
        <v>91</v>
      </c>
      <c r="I8" s="1" t="str">
        <f>IFERROR(VLOOKUP(A8,'SPUNTA ARRIVI '!A:Z,26,FALSE),0)</f>
        <v>ZA6</v>
      </c>
      <c r="J8" s="1"/>
    </row>
    <row r="9" spans="1:10" ht="14.25" customHeight="1" x14ac:dyDescent="0.25">
      <c r="A9" s="1">
        <f>+sga!M9</f>
        <v>11796</v>
      </c>
      <c r="B9" s="276">
        <f t="shared" ca="1" si="0"/>
        <v>46317.501186805559</v>
      </c>
      <c r="C9" s="276">
        <f t="shared" ca="1" si="1"/>
        <v>46317.501186805559</v>
      </c>
      <c r="D9" s="279">
        <v>1</v>
      </c>
      <c r="E9" s="1">
        <f>+VLOOKUP(A9,sga!$M$1:$Q$58,2,FALSE)</f>
        <v>15</v>
      </c>
      <c r="F9" s="1">
        <f t="shared" si="2"/>
        <v>690</v>
      </c>
      <c r="G9" s="62">
        <f>IFERROR(VLOOKUP(A9,'SPUNTA ARRIVI '!$A$1:$L$78,4,FALSE),0)</f>
        <v>4.5500001311302185</v>
      </c>
      <c r="H9" s="279">
        <f>IFERROR(VLOOKUP(A9,'SPUNTA ARRIVI '!$A$1:$L$78,5,FALSE)+VLOOKUP(A9,'SPUNTA ARRIVI '!$A$1:$L$78,7,FALSE)+VLOOKUP(A9,'SPUNTA ARRIVI '!$A$1:$L$78,9,FALSE)+VLOOKUP(A9,'SPUNTA ARRIVI '!$A$1:$L$78,11,FALSE),0)</f>
        <v>46</v>
      </c>
      <c r="I9" s="1" t="str">
        <f>IFERROR(VLOOKUP(A9,'SPUNTA ARRIVI '!A:Z,26,FALSE),0)</f>
        <v>ZA3</v>
      </c>
      <c r="J9" s="1"/>
    </row>
    <row r="10" spans="1:10" ht="14.25" customHeight="1" x14ac:dyDescent="0.25">
      <c r="A10" s="1">
        <f>+sga!M10</f>
        <v>14010</v>
      </c>
      <c r="B10" s="276">
        <f t="shared" ca="1" si="0"/>
        <v>46317.501186805559</v>
      </c>
      <c r="C10" s="276">
        <f t="shared" ca="1" si="1"/>
        <v>46317.501186805559</v>
      </c>
      <c r="D10" s="279">
        <v>1</v>
      </c>
      <c r="E10" s="1">
        <f>+VLOOKUP(A10,sga!$M$1:$Q$58,2,FALSE)</f>
        <v>13</v>
      </c>
      <c r="F10" s="1">
        <f t="shared" si="2"/>
        <v>3195</v>
      </c>
      <c r="G10" s="62">
        <f>IFERROR(VLOOKUP(A10,'SPUNTA ARRIVI '!$A$1:$L$78,4,FALSE),0)</f>
        <v>20.439999759197235</v>
      </c>
      <c r="H10" s="279">
        <f>IFERROR(VLOOKUP(A10,'SPUNTA ARRIVI '!$A$1:$L$78,5,FALSE)+VLOOKUP(A10,'SPUNTA ARRIVI '!$A$1:$L$78,7,FALSE)+VLOOKUP(A10,'SPUNTA ARRIVI '!$A$1:$L$78,9,FALSE)+VLOOKUP(A10,'SPUNTA ARRIVI '!$A$1:$L$78,11,FALSE),0)</f>
        <v>213</v>
      </c>
      <c r="I10" s="1" t="str">
        <f>IFERROR(VLOOKUP(A10,'SPUNTA ARRIVI '!A:Z,26,FALSE),0)</f>
        <v>ZA5</v>
      </c>
      <c r="J10" s="1"/>
    </row>
    <row r="11" spans="1:10" ht="14.25" customHeight="1" x14ac:dyDescent="0.25">
      <c r="A11" s="1">
        <f>+sga!M11</f>
        <v>4518</v>
      </c>
      <c r="B11" s="276">
        <f t="shared" ca="1" si="0"/>
        <v>46317.501186805559</v>
      </c>
      <c r="C11" s="276">
        <f t="shared" ca="1" si="1"/>
        <v>46317.501186805559</v>
      </c>
      <c r="D11" s="279">
        <v>1</v>
      </c>
      <c r="E11" s="1">
        <f>+VLOOKUP(A11,sga!$M$1:$Q$58,2,FALSE)</f>
        <v>276</v>
      </c>
      <c r="F11" s="1">
        <f t="shared" si="2"/>
        <v>420</v>
      </c>
      <c r="G11" s="62">
        <f>IFERROR(VLOOKUP(A11,'SPUNTA ARRIVI '!$A$1:$L$78,4,FALSE),0)</f>
        <v>2.9300001263618469</v>
      </c>
      <c r="H11" s="279">
        <f>IFERROR(VLOOKUP(A11,'SPUNTA ARRIVI '!$A$1:$L$78,5,FALSE)+VLOOKUP(A11,'SPUNTA ARRIVI '!$A$1:$L$78,7,FALSE)+VLOOKUP(A11,'SPUNTA ARRIVI '!$A$1:$L$78,9,FALSE)+VLOOKUP(A11,'SPUNTA ARRIVI '!$A$1:$L$78,11,FALSE),0)</f>
        <v>28</v>
      </c>
      <c r="I11" s="1" t="str">
        <f>IFERROR(VLOOKUP(A11,'SPUNTA ARRIVI '!A:Z,26,FALSE),0)</f>
        <v>ZA11</v>
      </c>
      <c r="J11" s="1"/>
    </row>
    <row r="12" spans="1:10" ht="14.25" customHeight="1" x14ac:dyDescent="0.25">
      <c r="A12" s="1">
        <f>+sga!M12</f>
        <v>2435</v>
      </c>
      <c r="B12" s="276">
        <f t="shared" ca="1" si="0"/>
        <v>46317.501186805559</v>
      </c>
      <c r="C12" s="276">
        <f t="shared" ca="1" si="1"/>
        <v>46317.501186805559</v>
      </c>
      <c r="D12" s="279">
        <v>1</v>
      </c>
      <c r="E12" s="1">
        <f>+VLOOKUP(A12,sga!$M$1:$Q$58,2,FALSE)</f>
        <v>279</v>
      </c>
      <c r="F12" s="1">
        <f t="shared" si="2"/>
        <v>435</v>
      </c>
      <c r="G12" s="62">
        <f>IFERROR(VLOOKUP(A12,'SPUNTA ARRIVI '!$A$1:$L$78,4,FALSE),0)</f>
        <v>2.5600000098347664</v>
      </c>
      <c r="H12" s="279">
        <f>IFERROR(VLOOKUP(A12,'SPUNTA ARRIVI '!$A$1:$L$78,5,FALSE)+VLOOKUP(A12,'SPUNTA ARRIVI '!$A$1:$L$78,7,FALSE)+VLOOKUP(A12,'SPUNTA ARRIVI '!$A$1:$L$78,9,FALSE)+VLOOKUP(A12,'SPUNTA ARRIVI '!$A$1:$L$78,11,FALSE),0)</f>
        <v>29</v>
      </c>
      <c r="I12" s="1" t="str">
        <f>IFERROR(VLOOKUP(A12,'SPUNTA ARRIVI '!A:Z,26,FALSE),0)</f>
        <v>ZA4</v>
      </c>
      <c r="J12" s="1"/>
    </row>
    <row r="13" spans="1:10" ht="14.25" customHeight="1" x14ac:dyDescent="0.25">
      <c r="A13" s="1">
        <f>+sga!M13</f>
        <v>2414</v>
      </c>
      <c r="B13" s="276">
        <f t="shared" ca="1" si="0"/>
        <v>46317.501186805559</v>
      </c>
      <c r="C13" s="276">
        <f t="shared" ca="1" si="1"/>
        <v>46317.501186805559</v>
      </c>
      <c r="D13" s="279">
        <v>1</v>
      </c>
      <c r="E13" s="1">
        <f>+VLOOKUP(A13,sga!$M$1:$Q$58,2,FALSE)</f>
        <v>277</v>
      </c>
      <c r="F13" s="1">
        <f t="shared" si="2"/>
        <v>450</v>
      </c>
      <c r="G13" s="62">
        <f>IFERROR(VLOOKUP(A13,'SPUNTA ARRIVI '!$A$1:$L$78,4,FALSE),0)</f>
        <v>2.6499999240040779</v>
      </c>
      <c r="H13" s="279">
        <f>IFERROR(VLOOKUP(A13,'SPUNTA ARRIVI '!$A$1:$L$78,5,FALSE)+VLOOKUP(A13,'SPUNTA ARRIVI '!$A$1:$L$78,7,FALSE)+VLOOKUP(A13,'SPUNTA ARRIVI '!$A$1:$L$78,9,FALSE)+VLOOKUP(A13,'SPUNTA ARRIVI '!$A$1:$L$78,11,FALSE),0)</f>
        <v>30</v>
      </c>
      <c r="I13" s="1" t="str">
        <f>IFERROR(VLOOKUP(A13,'SPUNTA ARRIVI '!A:Z,26,FALSE),0)</f>
        <v>ZA11</v>
      </c>
      <c r="J13" s="1"/>
    </row>
    <row r="14" spans="1:10" ht="14.25" customHeight="1" x14ac:dyDescent="0.25">
      <c r="A14" s="1">
        <f>+sga!M14</f>
        <v>16269</v>
      </c>
      <c r="B14" s="276">
        <f t="shared" ca="1" si="0"/>
        <v>46317.501186805559</v>
      </c>
      <c r="C14" s="276">
        <f t="shared" ca="1" si="1"/>
        <v>46317.501186805559</v>
      </c>
      <c r="D14" s="279">
        <v>1</v>
      </c>
      <c r="E14" s="1">
        <f>+VLOOKUP(A14,sga!$M$1:$Q$58,2,FALSE)</f>
        <v>297</v>
      </c>
      <c r="F14" s="1">
        <f t="shared" si="2"/>
        <v>1485</v>
      </c>
      <c r="G14" s="62">
        <f>IFERROR(VLOOKUP(A14,'SPUNTA ARRIVI '!$A$1:$L$78,4,FALSE),0)</f>
        <v>10.209999859333038</v>
      </c>
      <c r="H14" s="279">
        <f>IFERROR(VLOOKUP(A14,'SPUNTA ARRIVI '!$A$1:$L$78,5,FALSE)+VLOOKUP(A14,'SPUNTA ARRIVI '!$A$1:$L$78,7,FALSE)+VLOOKUP(A14,'SPUNTA ARRIVI '!$A$1:$L$78,9,FALSE)+VLOOKUP(A14,'SPUNTA ARRIVI '!$A$1:$L$78,11,FALSE),0)</f>
        <v>99</v>
      </c>
      <c r="I14" s="1" t="str">
        <f>IFERROR(VLOOKUP(A14,'SPUNTA ARRIVI '!A:Z,26,FALSE),0)</f>
        <v>ZA6</v>
      </c>
      <c r="J14" s="1"/>
    </row>
    <row r="15" spans="1:10" ht="14.25" customHeight="1" x14ac:dyDescent="0.25">
      <c r="A15" s="1">
        <f>+sga!M15</f>
        <v>16060</v>
      </c>
      <c r="B15" s="276">
        <f t="shared" ca="1" si="0"/>
        <v>46317.501186805559</v>
      </c>
      <c r="C15" s="276">
        <f t="shared" ca="1" si="1"/>
        <v>46317.501186805559</v>
      </c>
      <c r="D15" s="279">
        <v>1</v>
      </c>
      <c r="E15" s="1">
        <f>+VLOOKUP(A15,sga!$M$1:$Q$58,2,FALSE)</f>
        <v>286</v>
      </c>
      <c r="F15" s="1">
        <f t="shared" si="2"/>
        <v>2265</v>
      </c>
      <c r="G15" s="62">
        <f>IFERROR(VLOOKUP(A15,'SPUNTA ARRIVI '!$A$1:$L$78,4,FALSE),0)</f>
        <v>13.739999681711197</v>
      </c>
      <c r="H15" s="279">
        <f>IFERROR(VLOOKUP(A15,'SPUNTA ARRIVI '!$A$1:$L$78,5,FALSE)+VLOOKUP(A15,'SPUNTA ARRIVI '!$A$1:$L$78,7,FALSE)+VLOOKUP(A15,'SPUNTA ARRIVI '!$A$1:$L$78,9,FALSE)+VLOOKUP(A15,'SPUNTA ARRIVI '!$A$1:$L$78,11,FALSE),0)</f>
        <v>151</v>
      </c>
      <c r="I15" s="1" t="str">
        <f>IFERROR(VLOOKUP(A15,'SPUNTA ARRIVI '!A:Z,26,FALSE),0)</f>
        <v>ZA6</v>
      </c>
      <c r="J15" s="1"/>
    </row>
    <row r="16" spans="1:10" ht="14.25" customHeight="1" x14ac:dyDescent="0.25">
      <c r="A16" s="1">
        <f>+sga!M16</f>
        <v>12152</v>
      </c>
      <c r="B16" s="276">
        <f t="shared" ca="1" si="0"/>
        <v>46317.501186805559</v>
      </c>
      <c r="C16" s="276">
        <f t="shared" ca="1" si="1"/>
        <v>46317.501186805559</v>
      </c>
      <c r="D16" s="279">
        <v>1</v>
      </c>
      <c r="E16" s="1">
        <f>+VLOOKUP(A16,sga!$M$1:$Q$58,2,FALSE)</f>
        <v>285</v>
      </c>
      <c r="F16" s="1">
        <f t="shared" si="2"/>
        <v>1005</v>
      </c>
      <c r="G16" s="62">
        <f>IFERROR(VLOOKUP(A16,'SPUNTA ARRIVI '!$A$1:$L$78,4,FALSE),0)</f>
        <v>5.9300000965595245</v>
      </c>
      <c r="H16" s="279">
        <f>IFERROR(VLOOKUP(A16,'SPUNTA ARRIVI '!$A$1:$L$78,5,FALSE)+VLOOKUP(A16,'SPUNTA ARRIVI '!$A$1:$L$78,7,FALSE)+VLOOKUP(A16,'SPUNTA ARRIVI '!$A$1:$L$78,9,FALSE)+VLOOKUP(A16,'SPUNTA ARRIVI '!$A$1:$L$78,11,FALSE),0)</f>
        <v>67</v>
      </c>
      <c r="I16" s="1" t="str">
        <f>IFERROR(VLOOKUP(A16,'SPUNTA ARRIVI '!A:Z,26,FALSE),0)</f>
        <v>ZA2</v>
      </c>
      <c r="J16" s="1"/>
    </row>
    <row r="17" spans="1:10" ht="14.25" customHeight="1" x14ac:dyDescent="0.25">
      <c r="A17" s="1">
        <f>+sga!M17</f>
        <v>5306</v>
      </c>
      <c r="B17" s="276">
        <f t="shared" ca="1" si="0"/>
        <v>46317.501186805559</v>
      </c>
      <c r="C17" s="276">
        <f t="shared" ca="1" si="1"/>
        <v>46317.501186805559</v>
      </c>
      <c r="D17" s="279">
        <v>1</v>
      </c>
      <c r="E17" s="1">
        <f>+VLOOKUP(A17,sga!$M$1:$Q$58,2,FALSE)</f>
        <v>290</v>
      </c>
      <c r="F17" s="1">
        <f t="shared" si="2"/>
        <v>2205</v>
      </c>
      <c r="G17" s="62">
        <f>IFERROR(VLOOKUP(A17,'SPUNTA ARRIVI '!$A$1:$L$78,4,FALSE),0)</f>
        <v>12.979999631643295</v>
      </c>
      <c r="H17" s="279">
        <f>IFERROR(VLOOKUP(A17,'SPUNTA ARRIVI '!$A$1:$L$78,5,FALSE)+VLOOKUP(A17,'SPUNTA ARRIVI '!$A$1:$L$78,7,FALSE)+VLOOKUP(A17,'SPUNTA ARRIVI '!$A$1:$L$78,9,FALSE)+VLOOKUP(A17,'SPUNTA ARRIVI '!$A$1:$L$78,11,FALSE),0)</f>
        <v>147</v>
      </c>
      <c r="I17" s="1" t="str">
        <f>IFERROR(VLOOKUP(A17,'SPUNTA ARRIVI '!A:Z,26,FALSE),0)</f>
        <v>ZA14</v>
      </c>
      <c r="J17" s="1"/>
    </row>
    <row r="18" spans="1:10" ht="14.25" customHeight="1" x14ac:dyDescent="0.25">
      <c r="A18" s="1">
        <f>+sga!M18</f>
        <v>5367</v>
      </c>
      <c r="B18" s="276">
        <f t="shared" ca="1" si="0"/>
        <v>46317.501186805559</v>
      </c>
      <c r="C18" s="276">
        <f t="shared" ca="1" si="1"/>
        <v>46317.501186805559</v>
      </c>
      <c r="D18" s="279">
        <v>1</v>
      </c>
      <c r="E18" s="1">
        <f>+VLOOKUP(A18,sga!$M$1:$Q$58,2,FALSE)</f>
        <v>289</v>
      </c>
      <c r="F18" s="1">
        <f t="shared" si="2"/>
        <v>3885</v>
      </c>
      <c r="G18" s="62">
        <f>IFERROR(VLOOKUP(A18,'SPUNTA ARRIVI '!$A$1:$L$78,4,FALSE),0)</f>
        <v>15.827000072598457</v>
      </c>
      <c r="H18" s="279">
        <f>IFERROR(VLOOKUP(A18,'SPUNTA ARRIVI '!$A$1:$L$78,5,FALSE)+VLOOKUP(A18,'SPUNTA ARRIVI '!$A$1:$L$78,7,FALSE)+VLOOKUP(A18,'SPUNTA ARRIVI '!$A$1:$L$78,9,FALSE)+VLOOKUP(A18,'SPUNTA ARRIVI '!$A$1:$L$78,11,FALSE),0)</f>
        <v>259</v>
      </c>
      <c r="I18" s="1" t="str">
        <f>IFERROR(VLOOKUP(A18,'SPUNTA ARRIVI '!A:Z,26,FALSE),0)</f>
        <v>ZA4</v>
      </c>
      <c r="J18" s="1"/>
    </row>
    <row r="19" spans="1:10" ht="14.25" customHeight="1" x14ac:dyDescent="0.25">
      <c r="A19" s="1">
        <f>+sga!M19</f>
        <v>10504</v>
      </c>
      <c r="B19" s="276">
        <f t="shared" ca="1" si="0"/>
        <v>46317.501186805559</v>
      </c>
      <c r="C19" s="276">
        <f t="shared" ca="1" si="1"/>
        <v>46317.501186805559</v>
      </c>
      <c r="D19" s="279">
        <v>1</v>
      </c>
      <c r="E19" s="1">
        <f>+VLOOKUP(A19,sga!$M$1:$Q$58,2,FALSE)</f>
        <v>284</v>
      </c>
      <c r="F19" s="1">
        <f t="shared" si="2"/>
        <v>1275</v>
      </c>
      <c r="G19" s="62">
        <f>IFERROR(VLOOKUP(A19,'SPUNTA ARRIVI '!$A$1:$L$78,4,FALSE),0)</f>
        <v>7.4499997943639755</v>
      </c>
      <c r="H19" s="279">
        <f>IFERROR(VLOOKUP(A19,'SPUNTA ARRIVI '!$A$1:$L$78,5,FALSE)+VLOOKUP(A19,'SPUNTA ARRIVI '!$A$1:$L$78,7,FALSE)+VLOOKUP(A19,'SPUNTA ARRIVI '!$A$1:$L$78,9,FALSE)+VLOOKUP(A19,'SPUNTA ARRIVI '!$A$1:$L$78,11,FALSE),0)</f>
        <v>85</v>
      </c>
      <c r="I19" s="1" t="str">
        <f>IFERROR(VLOOKUP(A19,'SPUNTA ARRIVI '!A:Z,26,FALSE),0)</f>
        <v>ZA8</v>
      </c>
      <c r="J19" s="1"/>
    </row>
    <row r="20" spans="1:10" ht="14.25" customHeight="1" x14ac:dyDescent="0.25">
      <c r="A20" s="1">
        <f>+sga!M20</f>
        <v>5349</v>
      </c>
      <c r="B20" s="276">
        <f t="shared" ca="1" si="0"/>
        <v>46317.501186805559</v>
      </c>
      <c r="C20" s="276">
        <f t="shared" ca="1" si="1"/>
        <v>46317.501186805559</v>
      </c>
      <c r="D20" s="279">
        <v>1</v>
      </c>
      <c r="E20" s="1">
        <f>+VLOOKUP(A20,sga!$M$1:$Q$58,2,FALSE)</f>
        <v>283</v>
      </c>
      <c r="F20" s="1">
        <f t="shared" si="2"/>
        <v>3885</v>
      </c>
      <c r="G20" s="62">
        <f>IFERROR(VLOOKUP(A20,'SPUNTA ARRIVI '!$A$1:$L$78,4,FALSE),0)</f>
        <v>15.176000213623047</v>
      </c>
      <c r="H20" s="279">
        <f>IFERROR(VLOOKUP(A20,'SPUNTA ARRIVI '!$A$1:$L$78,5,FALSE)+VLOOKUP(A20,'SPUNTA ARRIVI '!$A$1:$L$78,7,FALSE)+VLOOKUP(A20,'SPUNTA ARRIVI '!$A$1:$L$78,9,FALSE)+VLOOKUP(A20,'SPUNTA ARRIVI '!$A$1:$L$78,11,FALSE),0)</f>
        <v>259</v>
      </c>
      <c r="I20" s="1" t="str">
        <f>IFERROR(VLOOKUP(A20,'SPUNTA ARRIVI '!A:Z,26,FALSE),0)</f>
        <v>ZA11</v>
      </c>
      <c r="J20" s="1"/>
    </row>
    <row r="21" spans="1:10" ht="14.25" customHeight="1" x14ac:dyDescent="0.25">
      <c r="A21" s="1">
        <f>+sga!M21</f>
        <v>6525</v>
      </c>
      <c r="B21" s="276">
        <f t="shared" ca="1" si="0"/>
        <v>46317.501186805559</v>
      </c>
      <c r="C21" s="276">
        <f t="shared" ca="1" si="1"/>
        <v>46317.501186805559</v>
      </c>
      <c r="D21" s="279">
        <v>1</v>
      </c>
      <c r="E21" s="1">
        <f>+VLOOKUP(A21,sga!$M$1:$Q$58,2,FALSE)</f>
        <v>281</v>
      </c>
      <c r="F21" s="1">
        <f t="shared" si="2"/>
        <v>2520</v>
      </c>
      <c r="G21" s="62">
        <f>IFERROR(VLOOKUP(A21,'SPUNTA ARRIVI '!$A$1:$L$78,4,FALSE),0)</f>
        <v>10.066000142693518</v>
      </c>
      <c r="H21" s="279">
        <f>IFERROR(VLOOKUP(A21,'SPUNTA ARRIVI '!$A$1:$L$78,5,FALSE)+VLOOKUP(A21,'SPUNTA ARRIVI '!$A$1:$L$78,7,FALSE)+VLOOKUP(A21,'SPUNTA ARRIVI '!$A$1:$L$78,9,FALSE)+VLOOKUP(A21,'SPUNTA ARRIVI '!$A$1:$L$78,11,FALSE),0)</f>
        <v>168</v>
      </c>
      <c r="I21" s="1" t="str">
        <f>IFERROR(VLOOKUP(A21,'SPUNTA ARRIVI '!A:Z,26,FALSE),0)</f>
        <v>ZA10</v>
      </c>
      <c r="J21" s="1"/>
    </row>
    <row r="22" spans="1:10" ht="14.25" customHeight="1" x14ac:dyDescent="0.25">
      <c r="A22" s="1">
        <f>+sga!M22</f>
        <v>11629</v>
      </c>
      <c r="B22" s="276">
        <f t="shared" ca="1" si="0"/>
        <v>46317.501186805559</v>
      </c>
      <c r="C22" s="276">
        <f t="shared" ca="1" si="1"/>
        <v>46317.501186805559</v>
      </c>
      <c r="D22" s="279">
        <v>1</v>
      </c>
      <c r="E22" s="1">
        <f>+VLOOKUP(A22,sga!$M$1:$Q$58,2,FALSE)</f>
        <v>280</v>
      </c>
      <c r="F22" s="1">
        <f t="shared" si="2"/>
        <v>1155</v>
      </c>
      <c r="G22" s="62">
        <f>IFERROR(VLOOKUP(A22,'SPUNTA ARRIVI '!$A$1:$L$78,4,FALSE),0)</f>
        <v>6.4600000381469727</v>
      </c>
      <c r="H22" s="279">
        <f>IFERROR(VLOOKUP(A22,'SPUNTA ARRIVI '!$A$1:$L$78,5,FALSE)+VLOOKUP(A22,'SPUNTA ARRIVI '!$A$1:$L$78,7,FALSE)+VLOOKUP(A22,'SPUNTA ARRIVI '!$A$1:$L$78,9,FALSE)+VLOOKUP(A22,'SPUNTA ARRIVI '!$A$1:$L$78,11,FALSE),0)</f>
        <v>77</v>
      </c>
      <c r="I22" s="1" t="str">
        <f>IFERROR(VLOOKUP(A22,'SPUNTA ARRIVI '!A:Z,26,FALSE),0)</f>
        <v>ZA9</v>
      </c>
      <c r="J22" s="1"/>
    </row>
    <row r="23" spans="1:10" ht="14.25" customHeight="1" x14ac:dyDescent="0.25">
      <c r="A23" s="1">
        <f>+sga!M23</f>
        <v>7593</v>
      </c>
      <c r="B23" s="276">
        <f t="shared" ca="1" si="0"/>
        <v>46317.501186805559</v>
      </c>
      <c r="C23" s="276">
        <f t="shared" ca="1" si="1"/>
        <v>46317.501186805559</v>
      </c>
      <c r="D23" s="279">
        <v>1</v>
      </c>
      <c r="E23" s="1">
        <f>+VLOOKUP(A23,sga!$M$1:$Q$58,2,FALSE)</f>
        <v>303</v>
      </c>
      <c r="F23" s="1">
        <f t="shared" si="2"/>
        <v>1455</v>
      </c>
      <c r="G23" s="62">
        <f>IFERROR(VLOOKUP(A23,'SPUNTA ARRIVI '!$A$1:$L$78,4,FALSE),0)</f>
        <v>9.8299996256828308</v>
      </c>
      <c r="H23" s="279">
        <f>IFERROR(VLOOKUP(A23,'SPUNTA ARRIVI '!$A$1:$L$78,5,FALSE)+VLOOKUP(A23,'SPUNTA ARRIVI '!$A$1:$L$78,7,FALSE)+VLOOKUP(A23,'SPUNTA ARRIVI '!$A$1:$L$78,9,FALSE)+VLOOKUP(A23,'SPUNTA ARRIVI '!$A$1:$L$78,11,FALSE),0)</f>
        <v>97</v>
      </c>
      <c r="I23" s="1" t="str">
        <f>IFERROR(VLOOKUP(A23,'SPUNTA ARRIVI '!A:Z,26,FALSE),0)</f>
        <v>ZA8</v>
      </c>
      <c r="J23" s="1"/>
    </row>
    <row r="24" spans="1:10" ht="14.25" customHeight="1" x14ac:dyDescent="0.25">
      <c r="A24" s="1">
        <f>+sga!M24</f>
        <v>2898</v>
      </c>
      <c r="B24" s="276">
        <f t="shared" ca="1" si="0"/>
        <v>46317.501186805559</v>
      </c>
      <c r="C24" s="276">
        <f t="shared" ca="1" si="1"/>
        <v>46317.501186805559</v>
      </c>
      <c r="D24" s="279">
        <v>1</v>
      </c>
      <c r="E24" s="1">
        <f>+VLOOKUP(A24,sga!$M$1:$Q$58,2,FALSE)</f>
        <v>302</v>
      </c>
      <c r="F24" s="1">
        <f t="shared" si="2"/>
        <v>1950</v>
      </c>
      <c r="G24" s="62">
        <f>IFERROR(VLOOKUP(A24,'SPUNTA ARRIVI '!$A$1:$L$78,4,FALSE),0)</f>
        <v>13.560000121593475</v>
      </c>
      <c r="H24" s="279">
        <f>IFERROR(VLOOKUP(A24,'SPUNTA ARRIVI '!$A$1:$L$78,5,FALSE)+VLOOKUP(A24,'SPUNTA ARRIVI '!$A$1:$L$78,7,FALSE)+VLOOKUP(A24,'SPUNTA ARRIVI '!$A$1:$L$78,9,FALSE)+VLOOKUP(A24,'SPUNTA ARRIVI '!$A$1:$L$78,11,FALSE),0)</f>
        <v>130</v>
      </c>
      <c r="I24" s="1" t="str">
        <f>IFERROR(VLOOKUP(A24,'SPUNTA ARRIVI '!A:Z,26,FALSE),0)</f>
        <v>ZA14</v>
      </c>
      <c r="J24" s="1"/>
    </row>
    <row r="25" spans="1:10" ht="14.25" customHeight="1" x14ac:dyDescent="0.25">
      <c r="A25" s="1">
        <f>+sga!M25</f>
        <v>12093</v>
      </c>
      <c r="B25" s="276">
        <f t="shared" ca="1" si="0"/>
        <v>46317.501186805559</v>
      </c>
      <c r="C25" s="276">
        <f t="shared" ca="1" si="1"/>
        <v>46317.501186805559</v>
      </c>
      <c r="D25" s="279">
        <v>1</v>
      </c>
      <c r="E25" s="1">
        <f>+VLOOKUP(A25,sga!$M$1:$Q$58,2,FALSE)</f>
        <v>296</v>
      </c>
      <c r="F25" s="1">
        <f t="shared" si="2"/>
        <v>945</v>
      </c>
      <c r="G25" s="62">
        <f>IFERROR(VLOOKUP(A25,'SPUNTA ARRIVI '!$A$1:$L$78,4,FALSE),0)</f>
        <v>6.4599998593330383</v>
      </c>
      <c r="H25" s="279">
        <f>IFERROR(VLOOKUP(A25,'SPUNTA ARRIVI '!$A$1:$L$78,5,FALSE)+VLOOKUP(A25,'SPUNTA ARRIVI '!$A$1:$L$78,7,FALSE)+VLOOKUP(A25,'SPUNTA ARRIVI '!$A$1:$L$78,9,FALSE)+VLOOKUP(A25,'SPUNTA ARRIVI '!$A$1:$L$78,11,FALSE),0)</f>
        <v>63</v>
      </c>
      <c r="I25" s="1" t="str">
        <f>IFERROR(VLOOKUP(A25,'SPUNTA ARRIVI '!A:Z,26,FALSE),0)</f>
        <v>ZA8</v>
      </c>
      <c r="J25" s="1"/>
    </row>
    <row r="26" spans="1:10" ht="14.25" customHeight="1" x14ac:dyDescent="0.25">
      <c r="A26" s="1">
        <f>+sga!M26</f>
        <v>2917</v>
      </c>
      <c r="B26" s="276">
        <f t="shared" ca="1" si="0"/>
        <v>46317.501186805559</v>
      </c>
      <c r="C26" s="276">
        <f t="shared" ca="1" si="1"/>
        <v>46317.501186805559</v>
      </c>
      <c r="D26" s="279">
        <v>1</v>
      </c>
      <c r="E26" s="1">
        <f>+VLOOKUP(A26,sga!$M$1:$Q$58,2,FALSE)</f>
        <v>295</v>
      </c>
      <c r="F26" s="1">
        <f t="shared" si="2"/>
        <v>1875</v>
      </c>
      <c r="G26" s="62">
        <f>IFERROR(VLOOKUP(A26,'SPUNTA ARRIVI '!$A$1:$L$78,4,FALSE),0)</f>
        <v>13.289999783039093</v>
      </c>
      <c r="H26" s="279">
        <f>IFERROR(VLOOKUP(A26,'SPUNTA ARRIVI '!$A$1:$L$78,5,FALSE)+VLOOKUP(A26,'SPUNTA ARRIVI '!$A$1:$L$78,7,FALSE)+VLOOKUP(A26,'SPUNTA ARRIVI '!$A$1:$L$78,9,FALSE)+VLOOKUP(A26,'SPUNTA ARRIVI '!$A$1:$L$78,11,FALSE),0)</f>
        <v>125</v>
      </c>
      <c r="I26" s="1" t="str">
        <f>IFERROR(VLOOKUP(A26,'SPUNTA ARRIVI '!A:Z,26,FALSE),0)</f>
        <v>ZA11</v>
      </c>
      <c r="J26" s="1"/>
    </row>
    <row r="27" spans="1:10" ht="14.25" customHeight="1" x14ac:dyDescent="0.25">
      <c r="A27" s="1">
        <f>+sga!M27</f>
        <v>10265</v>
      </c>
      <c r="B27" s="276">
        <f t="shared" ca="1" si="0"/>
        <v>46317.501186805559</v>
      </c>
      <c r="C27" s="276">
        <f t="shared" ca="1" si="1"/>
        <v>46317.501186805559</v>
      </c>
      <c r="D27" s="279">
        <v>1</v>
      </c>
      <c r="E27" s="1">
        <f>+VLOOKUP(A27,sga!$M$1:$Q$58,2,FALSE)</f>
        <v>299</v>
      </c>
      <c r="F27" s="1">
        <f t="shared" si="2"/>
        <v>750</v>
      </c>
      <c r="G27" s="62">
        <f>IFERROR(VLOOKUP(A27,'SPUNTA ARRIVI '!$A$1:$L$78,4,FALSE),0)</f>
        <v>5.0499999225139618</v>
      </c>
      <c r="H27" s="279">
        <f>IFERROR(VLOOKUP(A27,'SPUNTA ARRIVI '!$A$1:$L$78,5,FALSE)+VLOOKUP(A27,'SPUNTA ARRIVI '!$A$1:$L$78,7,FALSE)+VLOOKUP(A27,'SPUNTA ARRIVI '!$A$1:$L$78,9,FALSE)+VLOOKUP(A27,'SPUNTA ARRIVI '!$A$1:$L$78,11,FALSE),0)</f>
        <v>50</v>
      </c>
      <c r="I27" s="1" t="str">
        <f>IFERROR(VLOOKUP(A27,'SPUNTA ARRIVI '!A:Z,26,FALSE),0)</f>
        <v>ZA3</v>
      </c>
      <c r="J27" s="1"/>
    </row>
    <row r="28" spans="1:10" ht="14.25" customHeight="1" x14ac:dyDescent="0.25">
      <c r="A28" s="1">
        <f>+sga!M28</f>
        <v>7672</v>
      </c>
      <c r="B28" s="276">
        <f t="shared" ca="1" si="0"/>
        <v>46317.501186805559</v>
      </c>
      <c r="C28" s="276">
        <f t="shared" ca="1" si="1"/>
        <v>46317.501186805559</v>
      </c>
      <c r="D28" s="279">
        <v>1</v>
      </c>
      <c r="E28" s="1">
        <f>+VLOOKUP(A28,sga!$M$1:$Q$58,2,FALSE)</f>
        <v>0</v>
      </c>
      <c r="F28" s="1">
        <f t="shared" si="2"/>
        <v>0</v>
      </c>
      <c r="G28" s="62">
        <f>IFERROR(VLOOKUP(A28,'SPUNTA ARRIVI '!$A$1:$L$78,4,FALSE),0)</f>
        <v>0</v>
      </c>
      <c r="H28" s="279">
        <f>IFERROR(VLOOKUP(A28,'SPUNTA ARRIVI '!$A$1:$L$78,5,FALSE)+VLOOKUP(A28,'SPUNTA ARRIVI '!$A$1:$L$78,7,FALSE)+VLOOKUP(A28,'SPUNTA ARRIVI '!$A$1:$L$78,9,FALSE)+VLOOKUP(A28,'SPUNTA ARRIVI '!$A$1:$L$78,11,FALSE),0)</f>
        <v>0</v>
      </c>
      <c r="I28" s="1">
        <f>IFERROR(VLOOKUP(A28,'SPUNTA ARRIVI '!A:Z,26,FALSE),0)</f>
        <v>0</v>
      </c>
      <c r="J28" s="1"/>
    </row>
    <row r="29" spans="1:10" ht="14.25" customHeight="1" x14ac:dyDescent="0.25">
      <c r="A29" s="1">
        <f>+sga!M29</f>
        <v>16647</v>
      </c>
      <c r="B29" s="276">
        <f t="shared" ca="1" si="0"/>
        <v>46317.501186805559</v>
      </c>
      <c r="C29" s="276">
        <f t="shared" ca="1" si="1"/>
        <v>46317.501186805559</v>
      </c>
      <c r="D29" s="279">
        <v>1</v>
      </c>
      <c r="E29" s="1">
        <f>+VLOOKUP(A29,sga!$M$1:$Q$58,2,FALSE)</f>
        <v>298</v>
      </c>
      <c r="F29" s="1">
        <f t="shared" si="2"/>
        <v>1050</v>
      </c>
      <c r="G29" s="62">
        <f>IFERROR(VLOOKUP(A29,'SPUNTA ARRIVI '!$A$1:$L$78,4,FALSE),0)</f>
        <v>7.4900000691413879</v>
      </c>
      <c r="H29" s="279">
        <f>IFERROR(VLOOKUP(A29,'SPUNTA ARRIVI '!$A$1:$L$78,5,FALSE)+VLOOKUP(A29,'SPUNTA ARRIVI '!$A$1:$L$78,7,FALSE)+VLOOKUP(A29,'SPUNTA ARRIVI '!$A$1:$L$78,9,FALSE)+VLOOKUP(A29,'SPUNTA ARRIVI '!$A$1:$L$78,11,FALSE),0)</f>
        <v>70</v>
      </c>
      <c r="I29" s="1" t="str">
        <f>IFERROR(VLOOKUP(A29,'SPUNTA ARRIVI '!A:Z,26,FALSE),0)</f>
        <v>ZA1</v>
      </c>
      <c r="J29" s="1"/>
    </row>
    <row r="30" spans="1:10" ht="14.25" customHeight="1" x14ac:dyDescent="0.25">
      <c r="A30" s="1">
        <f>+sga!M30</f>
        <v>12154</v>
      </c>
      <c r="B30" s="276">
        <f t="shared" ca="1" si="0"/>
        <v>46317.501186805559</v>
      </c>
      <c r="C30" s="276">
        <f t="shared" ca="1" si="1"/>
        <v>46317.501186805559</v>
      </c>
      <c r="D30" s="279">
        <v>1</v>
      </c>
      <c r="E30" s="1">
        <f>+VLOOKUP(A30,sga!$M$1:$Q$58,2,FALSE)</f>
        <v>293</v>
      </c>
      <c r="F30" s="1">
        <f t="shared" si="2"/>
        <v>360</v>
      </c>
      <c r="G30" s="62">
        <f>IFERROR(VLOOKUP(A30,'SPUNTA ARRIVI '!$A$1:$L$78,4,FALSE),0)</f>
        <v>2.4399999380111694</v>
      </c>
      <c r="H30" s="279">
        <f>IFERROR(VLOOKUP(A30,'SPUNTA ARRIVI '!$A$1:$L$78,5,FALSE)+VLOOKUP(A30,'SPUNTA ARRIVI '!$A$1:$L$78,7,FALSE)+VLOOKUP(A30,'SPUNTA ARRIVI '!$A$1:$L$78,9,FALSE)+VLOOKUP(A30,'SPUNTA ARRIVI '!$A$1:$L$78,11,FALSE),0)</f>
        <v>24</v>
      </c>
      <c r="I30" s="1" t="str">
        <f>IFERROR(VLOOKUP(A30,'SPUNTA ARRIVI '!A:Z,26,FALSE),0)</f>
        <v>ZA9</v>
      </c>
      <c r="J30" s="1"/>
    </row>
    <row r="31" spans="1:10" ht="14.25" customHeight="1" x14ac:dyDescent="0.25">
      <c r="A31" s="1">
        <f>+sga!M31</f>
        <v>12271</v>
      </c>
      <c r="B31" s="276">
        <f t="shared" ca="1" si="0"/>
        <v>46317.501186805559</v>
      </c>
      <c r="C31" s="276">
        <f t="shared" ca="1" si="1"/>
        <v>46317.501186805559</v>
      </c>
      <c r="D31" s="279">
        <v>1</v>
      </c>
      <c r="E31" s="1">
        <f>+VLOOKUP(A31,sga!$M$1:$Q$58,2,FALSE)</f>
        <v>313</v>
      </c>
      <c r="F31" s="1">
        <f t="shared" si="2"/>
        <v>3645</v>
      </c>
      <c r="G31" s="62">
        <f>IFERROR(VLOOKUP(A31,'SPUNTA ARRIVI '!$A$1:$L$78,4,FALSE),0)</f>
        <v>26.87999951839447</v>
      </c>
      <c r="H31" s="279">
        <f>IFERROR(VLOOKUP(A31,'SPUNTA ARRIVI '!$A$1:$L$78,5,FALSE)+VLOOKUP(A31,'SPUNTA ARRIVI '!$A$1:$L$78,7,FALSE)+VLOOKUP(A31,'SPUNTA ARRIVI '!$A$1:$L$78,9,FALSE)+VLOOKUP(A31,'SPUNTA ARRIVI '!$A$1:$L$78,11,FALSE),0)</f>
        <v>243</v>
      </c>
      <c r="I31" s="1" t="str">
        <f>IFERROR(VLOOKUP(A31,'SPUNTA ARRIVI '!A:Z,26,FALSE),0)</f>
        <v>ZA2</v>
      </c>
      <c r="J31" s="1"/>
    </row>
    <row r="32" spans="1:10" ht="14.25" customHeight="1" x14ac:dyDescent="0.25">
      <c r="A32" s="1">
        <f>+sga!M32</f>
        <v>1265</v>
      </c>
      <c r="B32" s="276">
        <f t="shared" ca="1" si="0"/>
        <v>46317.501186805559</v>
      </c>
      <c r="C32" s="276">
        <f t="shared" ca="1" si="1"/>
        <v>46317.501186805559</v>
      </c>
      <c r="D32" s="279">
        <v>1</v>
      </c>
      <c r="E32" s="1">
        <f>+VLOOKUP(A32,sga!$M$1:$Q$58,2,FALSE)</f>
        <v>308</v>
      </c>
      <c r="F32" s="1">
        <f t="shared" si="2"/>
        <v>5385</v>
      </c>
      <c r="G32" s="62">
        <f>IFERROR(VLOOKUP(A32,'SPUNTA ARRIVI '!$A$1:$L$78,4,FALSE),0)</f>
        <v>39.96999979019165</v>
      </c>
      <c r="H32" s="279">
        <f>IFERROR(VLOOKUP(A32,'SPUNTA ARRIVI '!$A$1:$L$78,5,FALSE)+VLOOKUP(A32,'SPUNTA ARRIVI '!$A$1:$L$78,7,FALSE)+VLOOKUP(A32,'SPUNTA ARRIVI '!$A$1:$L$78,9,FALSE)+VLOOKUP(A32,'SPUNTA ARRIVI '!$A$1:$L$78,11,FALSE),0)</f>
        <v>359</v>
      </c>
      <c r="I32" s="1" t="str">
        <f>IFERROR(VLOOKUP(A32,'SPUNTA ARRIVI '!A:Z,26,FALSE),0)</f>
        <v>ZA7</v>
      </c>
      <c r="J32" s="1"/>
    </row>
    <row r="33" spans="1:10" ht="14.25" customHeight="1" x14ac:dyDescent="0.25">
      <c r="A33" s="1">
        <f>+sga!M33</f>
        <v>3534</v>
      </c>
      <c r="B33" s="276">
        <f t="shared" ca="1" si="0"/>
        <v>46317.501186805559</v>
      </c>
      <c r="C33" s="276">
        <f t="shared" ca="1" si="1"/>
        <v>46317.501186805559</v>
      </c>
      <c r="D33" s="279">
        <v>1</v>
      </c>
      <c r="E33" s="1">
        <f>+VLOOKUP(A33,sga!$M$1:$Q$58,2,FALSE)</f>
        <v>320</v>
      </c>
      <c r="F33" s="1">
        <f t="shared" si="2"/>
        <v>6435</v>
      </c>
      <c r="G33" s="62">
        <f>IFERROR(VLOOKUP(A33,'SPUNTA ARRIVI '!$A$1:$L$78,4,FALSE),0)</f>
        <v>46.270001411437988</v>
      </c>
      <c r="H33" s="279">
        <f>IFERROR(VLOOKUP(A33,'SPUNTA ARRIVI '!$A$1:$L$78,5,FALSE)+VLOOKUP(A33,'SPUNTA ARRIVI '!$A$1:$L$78,7,FALSE)+VLOOKUP(A33,'SPUNTA ARRIVI '!$A$1:$L$78,9,FALSE)+VLOOKUP(A33,'SPUNTA ARRIVI '!$A$1:$L$78,11,FALSE),0)</f>
        <v>429</v>
      </c>
      <c r="I33" s="1" t="str">
        <f>IFERROR(VLOOKUP(A33,'SPUNTA ARRIVI '!A:Z,26,FALSE),0)</f>
        <v>ZA14</v>
      </c>
      <c r="J33" s="1"/>
    </row>
    <row r="34" spans="1:10" ht="14.25" customHeight="1" x14ac:dyDescent="0.25">
      <c r="A34" s="1">
        <f>+sga!M34</f>
        <v>3680</v>
      </c>
      <c r="B34" s="276">
        <f t="shared" ca="1" si="0"/>
        <v>46317.501186805559</v>
      </c>
      <c r="C34" s="276">
        <f t="shared" ca="1" si="1"/>
        <v>46317.501186805559</v>
      </c>
      <c r="D34" s="279">
        <v>1</v>
      </c>
      <c r="E34" s="1">
        <f>+VLOOKUP(A34,sga!$M$1:$Q$58,2,FALSE)</f>
        <v>319</v>
      </c>
      <c r="F34" s="1">
        <f t="shared" si="2"/>
        <v>5370</v>
      </c>
      <c r="G34" s="62">
        <f>IFERROR(VLOOKUP(A34,'SPUNTA ARRIVI '!$A$1:$L$78,4,FALSE),0)</f>
        <v>26.151999425888061</v>
      </c>
      <c r="H34" s="279">
        <f>IFERROR(VLOOKUP(A34,'SPUNTA ARRIVI '!$A$1:$L$78,5,FALSE)+VLOOKUP(A34,'SPUNTA ARRIVI '!$A$1:$L$78,7,FALSE)+VLOOKUP(A34,'SPUNTA ARRIVI '!$A$1:$L$78,9,FALSE)+VLOOKUP(A34,'SPUNTA ARRIVI '!$A$1:$L$78,11,FALSE),0)</f>
        <v>358</v>
      </c>
      <c r="I34" s="1" t="str">
        <f>IFERROR(VLOOKUP(A34,'SPUNTA ARRIVI '!A:Z,26,FALSE),0)</f>
        <v>ZA4</v>
      </c>
      <c r="J34" s="1"/>
    </row>
    <row r="35" spans="1:10" ht="14.25" customHeight="1" x14ac:dyDescent="0.25">
      <c r="A35" s="1">
        <f>+sga!M35</f>
        <v>9226</v>
      </c>
      <c r="B35" s="276">
        <f t="shared" ca="1" si="0"/>
        <v>46317.501186805559</v>
      </c>
      <c r="C35" s="276">
        <f t="shared" ca="1" si="1"/>
        <v>46317.501186805559</v>
      </c>
      <c r="D35" s="279">
        <v>1</v>
      </c>
      <c r="E35" s="1">
        <f>+VLOOKUP(A35,sga!$M$1:$Q$58,2,FALSE)</f>
        <v>321</v>
      </c>
      <c r="F35" s="1">
        <f t="shared" si="2"/>
        <v>6225</v>
      </c>
      <c r="G35" s="62">
        <f>IFERROR(VLOOKUP(A35,'SPUNTA ARRIVI '!$A$1:$L$78,4,FALSE),0)</f>
        <v>42.70999813079834</v>
      </c>
      <c r="H35" s="279">
        <f>IFERROR(VLOOKUP(A35,'SPUNTA ARRIVI '!$A$1:$L$78,5,FALSE)+VLOOKUP(A35,'SPUNTA ARRIVI '!$A$1:$L$78,7,FALSE)+VLOOKUP(A35,'SPUNTA ARRIVI '!$A$1:$L$78,9,FALSE)+VLOOKUP(A35,'SPUNTA ARRIVI '!$A$1:$L$78,11,FALSE),0)</f>
        <v>415</v>
      </c>
      <c r="I35" s="1" t="str">
        <f>IFERROR(VLOOKUP(A35,'SPUNTA ARRIVI '!A:Z,26,FALSE),0)</f>
        <v>ZA12</v>
      </c>
      <c r="J35" s="1"/>
    </row>
    <row r="36" spans="1:10" ht="14.25" customHeight="1" x14ac:dyDescent="0.25">
      <c r="A36" s="1">
        <f>+sga!M36</f>
        <v>12059</v>
      </c>
      <c r="B36" s="276">
        <f t="shared" ca="1" si="0"/>
        <v>46317.501186805559</v>
      </c>
      <c r="C36" s="276">
        <f t="shared" ca="1" si="1"/>
        <v>46317.501186805559</v>
      </c>
      <c r="D36" s="279">
        <v>1</v>
      </c>
      <c r="E36" s="1">
        <f>+VLOOKUP(A36,sga!$M$1:$Q$58,2,FALSE)</f>
        <v>312</v>
      </c>
      <c r="F36" s="1">
        <f t="shared" si="2"/>
        <v>5085</v>
      </c>
      <c r="G36" s="62">
        <f>IFERROR(VLOOKUP(A36,'SPUNTA ARRIVI '!$A$1:$L$78,4,FALSE),0)</f>
        <v>36.930001735687256</v>
      </c>
      <c r="H36" s="279">
        <f>IFERROR(VLOOKUP(A36,'SPUNTA ARRIVI '!$A$1:$L$78,5,FALSE)+VLOOKUP(A36,'SPUNTA ARRIVI '!$A$1:$L$78,7,FALSE)+VLOOKUP(A36,'SPUNTA ARRIVI '!$A$1:$L$78,9,FALSE)+VLOOKUP(A36,'SPUNTA ARRIVI '!$A$1:$L$78,11,FALSE),0)</f>
        <v>339</v>
      </c>
      <c r="I36" s="1" t="str">
        <f>IFERROR(VLOOKUP(A36,'SPUNTA ARRIVI '!A:Z,26,FALSE),0)</f>
        <v>ZA8</v>
      </c>
      <c r="J36" s="1"/>
    </row>
    <row r="37" spans="1:10" ht="14.25" customHeight="1" x14ac:dyDescent="0.25">
      <c r="A37" s="1">
        <f>+sga!M37</f>
        <v>3591</v>
      </c>
      <c r="B37" s="276">
        <f t="shared" ca="1" si="0"/>
        <v>46317.501186805559</v>
      </c>
      <c r="C37" s="276">
        <f t="shared" ca="1" si="1"/>
        <v>46317.501186805559</v>
      </c>
      <c r="D37" s="279">
        <v>1</v>
      </c>
      <c r="E37" s="1">
        <f>+VLOOKUP(A37,sga!$M$1:$Q$58,2,FALSE)</f>
        <v>311</v>
      </c>
      <c r="F37" s="1">
        <f t="shared" si="2"/>
        <v>6135</v>
      </c>
      <c r="G37" s="62">
        <f>IFERROR(VLOOKUP(A37,'SPUNTA ARRIVI '!$A$1:$L$78,4,FALSE),0)</f>
        <v>41.56000018119812</v>
      </c>
      <c r="H37" s="279">
        <f>IFERROR(VLOOKUP(A37,'SPUNTA ARRIVI '!$A$1:$L$78,5,FALSE)+VLOOKUP(A37,'SPUNTA ARRIVI '!$A$1:$L$78,7,FALSE)+VLOOKUP(A37,'SPUNTA ARRIVI '!$A$1:$L$78,9,FALSE)+VLOOKUP(A37,'SPUNTA ARRIVI '!$A$1:$L$78,11,FALSE),0)</f>
        <v>409</v>
      </c>
      <c r="I37" s="1" t="str">
        <f>IFERROR(VLOOKUP(A37,'SPUNTA ARRIVI '!A:Z,26,FALSE),0)</f>
        <v>ZA11</v>
      </c>
      <c r="J37" s="1"/>
    </row>
    <row r="38" spans="1:10" ht="14.25" customHeight="1" x14ac:dyDescent="0.25">
      <c r="A38" s="1">
        <f>+sga!M38</f>
        <v>16723</v>
      </c>
      <c r="B38" s="276">
        <f t="shared" ca="1" si="0"/>
        <v>46317.501186805559</v>
      </c>
      <c r="C38" s="276">
        <f t="shared" ca="1" si="1"/>
        <v>46317.501186805559</v>
      </c>
      <c r="D38" s="279">
        <v>1</v>
      </c>
      <c r="E38" s="1">
        <f>+VLOOKUP(A38,sga!$M$1:$Q$58,2,FALSE)</f>
        <v>310</v>
      </c>
      <c r="F38" s="1">
        <f t="shared" si="2"/>
        <v>8280</v>
      </c>
      <c r="G38" s="62">
        <f>IFERROR(VLOOKUP(A38,'SPUNTA ARRIVI '!$A$1:$L$78,4,FALSE),0)</f>
        <v>42.846999359130855</v>
      </c>
      <c r="H38" s="279">
        <f>IFERROR(VLOOKUP(A38,'SPUNTA ARRIVI '!$A$1:$L$78,5,FALSE)+VLOOKUP(A38,'SPUNTA ARRIVI '!$A$1:$L$78,7,FALSE)+VLOOKUP(A38,'SPUNTA ARRIVI '!$A$1:$L$78,9,FALSE)+VLOOKUP(A38,'SPUNTA ARRIVI '!$A$1:$L$78,11,FALSE),0)</f>
        <v>552</v>
      </c>
      <c r="I38" s="1" t="str">
        <f>IFERROR(VLOOKUP(A38,'SPUNTA ARRIVI '!A:Z,26,FALSE),0)</f>
        <v>ZA10</v>
      </c>
      <c r="J38" s="1"/>
    </row>
    <row r="39" spans="1:10" ht="14.25" customHeight="1" x14ac:dyDescent="0.25">
      <c r="A39" s="1">
        <f>+sga!M39</f>
        <v>3494</v>
      </c>
      <c r="B39" s="276">
        <f t="shared" ca="1" si="0"/>
        <v>46317.501186805559</v>
      </c>
      <c r="C39" s="276">
        <f t="shared" ca="1" si="1"/>
        <v>46317.501186805559</v>
      </c>
      <c r="D39" s="279">
        <v>1</v>
      </c>
      <c r="E39" s="1">
        <f>+VLOOKUP(A39,sga!$M$1:$Q$58,2,FALSE)</f>
        <v>0</v>
      </c>
      <c r="F39" s="1">
        <f t="shared" si="2"/>
        <v>0</v>
      </c>
      <c r="G39" s="62">
        <f>IFERROR(VLOOKUP(A39,'SPUNTA ARRIVI '!$A$1:$L$78,4,FALSE),0)</f>
        <v>0</v>
      </c>
      <c r="H39" s="279">
        <f>IFERROR(VLOOKUP(A39,'SPUNTA ARRIVI '!$A$1:$L$78,5,FALSE)+VLOOKUP(A39,'SPUNTA ARRIVI '!$A$1:$L$78,7,FALSE)+VLOOKUP(A39,'SPUNTA ARRIVI '!$A$1:$L$78,9,FALSE)+VLOOKUP(A39,'SPUNTA ARRIVI '!$A$1:$L$78,11,FALSE),0)</f>
        <v>0</v>
      </c>
      <c r="I39" s="1">
        <f>IFERROR(VLOOKUP(A39,'SPUNTA ARRIVI '!A:Z,26,FALSE),0)</f>
        <v>0</v>
      </c>
      <c r="J39" s="1"/>
    </row>
    <row r="40" spans="1:10" ht="14.25" customHeight="1" x14ac:dyDescent="0.25">
      <c r="A40" s="1">
        <f>+sga!M40</f>
        <v>3503</v>
      </c>
      <c r="B40" s="276">
        <f t="shared" ca="1" si="0"/>
        <v>46317.501186805559</v>
      </c>
      <c r="C40" s="276">
        <f t="shared" ca="1" si="1"/>
        <v>46317.501186805559</v>
      </c>
      <c r="D40" s="279">
        <v>1</v>
      </c>
      <c r="E40" s="1">
        <f>+VLOOKUP(A40,sga!$M$1:$Q$58,2,FALSE)</f>
        <v>317</v>
      </c>
      <c r="F40" s="1">
        <f t="shared" si="2"/>
        <v>7290</v>
      </c>
      <c r="G40" s="62">
        <f>IFERROR(VLOOKUP(A40,'SPUNTA ARRIVI '!$A$1:$L$78,4,FALSE),0)</f>
        <v>37.821000146865842</v>
      </c>
      <c r="H40" s="279">
        <f>IFERROR(VLOOKUP(A40,'SPUNTA ARRIVI '!$A$1:$L$78,5,FALSE)+VLOOKUP(A40,'SPUNTA ARRIVI '!$A$1:$L$78,7,FALSE)+VLOOKUP(A40,'SPUNTA ARRIVI '!$A$1:$L$78,9,FALSE)+VLOOKUP(A40,'SPUNTA ARRIVI '!$A$1:$L$78,11,FALSE),0)</f>
        <v>486</v>
      </c>
      <c r="I40" s="1" t="str">
        <f>IFERROR(VLOOKUP(A40,'SPUNTA ARRIVI '!A:Z,26,FALSE),0)</f>
        <v>ZA1</v>
      </c>
      <c r="J40" s="1"/>
    </row>
    <row r="41" spans="1:10" ht="14.25" customHeight="1" x14ac:dyDescent="0.25">
      <c r="A41" s="1">
        <f>+sga!M41</f>
        <v>1971</v>
      </c>
      <c r="B41" s="276">
        <f t="shared" ca="1" si="0"/>
        <v>46317.501186805559</v>
      </c>
      <c r="C41" s="276">
        <f t="shared" ca="1" si="1"/>
        <v>46317.501186805559</v>
      </c>
      <c r="D41" s="279">
        <v>1</v>
      </c>
      <c r="E41" s="1">
        <f>+VLOOKUP(A41,sga!$M$1:$Q$58,2,FALSE)</f>
        <v>316</v>
      </c>
      <c r="F41" s="1">
        <f t="shared" si="2"/>
        <v>2265</v>
      </c>
      <c r="G41" s="62">
        <f>IFERROR(VLOOKUP(A41,'SPUNTA ARRIVI '!$A$1:$L$78,4,FALSE),0)</f>
        <v>13.570000171661377</v>
      </c>
      <c r="H41" s="279">
        <f>IFERROR(VLOOKUP(A41,'SPUNTA ARRIVI '!$A$1:$L$78,5,FALSE)+VLOOKUP(A41,'SPUNTA ARRIVI '!$A$1:$L$78,7,FALSE)+VLOOKUP(A41,'SPUNTA ARRIVI '!$A$1:$L$78,9,FALSE)+VLOOKUP(A41,'SPUNTA ARRIVI '!$A$1:$L$78,11,FALSE),0)</f>
        <v>151</v>
      </c>
      <c r="I41" s="1" t="str">
        <f>IFERROR(VLOOKUP(A41,'SPUNTA ARRIVI '!A:Z,26,FALSE),0)</f>
        <v>ZA4</v>
      </c>
      <c r="J41" s="1"/>
    </row>
    <row r="42" spans="1:10" ht="14.25" customHeight="1" x14ac:dyDescent="0.25">
      <c r="A42" s="1">
        <f>+sga!M42</f>
        <v>1755</v>
      </c>
      <c r="B42" s="276">
        <f t="shared" ca="1" si="0"/>
        <v>46317.501186805559</v>
      </c>
      <c r="C42" s="276">
        <f t="shared" ca="1" si="1"/>
        <v>46317.501186805559</v>
      </c>
      <c r="D42" s="279">
        <v>1</v>
      </c>
      <c r="E42" s="1">
        <f>+VLOOKUP(A42,sga!$M$1:$Q$58,2,FALSE)</f>
        <v>315</v>
      </c>
      <c r="F42" s="1">
        <f t="shared" si="2"/>
        <v>1530</v>
      </c>
      <c r="G42" s="62">
        <f>IFERROR(VLOOKUP(A42,'SPUNTA ARRIVI '!$A$1:$L$78,4,FALSE),0)</f>
        <v>8.970000147819519</v>
      </c>
      <c r="H42" s="279">
        <f>IFERROR(VLOOKUP(A42,'SPUNTA ARRIVI '!$A$1:$L$78,5,FALSE)+VLOOKUP(A42,'SPUNTA ARRIVI '!$A$1:$L$78,7,FALSE)+VLOOKUP(A42,'SPUNTA ARRIVI '!$A$1:$L$78,9,FALSE)+VLOOKUP(A42,'SPUNTA ARRIVI '!$A$1:$L$78,11,FALSE),0)</f>
        <v>102</v>
      </c>
      <c r="I42" s="1" t="str">
        <f>IFERROR(VLOOKUP(A42,'SPUNTA ARRIVI '!A:Z,26,FALSE),0)</f>
        <v>ZA11</v>
      </c>
      <c r="J42" s="1"/>
    </row>
    <row r="43" spans="1:10" ht="14.25" customHeight="1" x14ac:dyDescent="0.25">
      <c r="A43" s="1">
        <f>+sga!M43</f>
        <v>1984</v>
      </c>
      <c r="B43" s="276">
        <f t="shared" ca="1" si="0"/>
        <v>46317.501186805559</v>
      </c>
      <c r="C43" s="276">
        <f t="shared" ca="1" si="1"/>
        <v>46317.501186805559</v>
      </c>
      <c r="D43" s="279">
        <v>1</v>
      </c>
      <c r="E43" s="1">
        <f>+VLOOKUP(A43,sga!$M$1:$Q$58,2,FALSE)</f>
        <v>314</v>
      </c>
      <c r="F43" s="1">
        <f t="shared" si="2"/>
        <v>3135</v>
      </c>
      <c r="G43" s="62">
        <f>IFERROR(VLOOKUP(A43,'SPUNTA ARRIVI '!$A$1:$L$78,4,FALSE),0)</f>
        <v>12.894000637531279</v>
      </c>
      <c r="H43" s="279">
        <f>IFERROR(VLOOKUP(A43,'SPUNTA ARRIVI '!$A$1:$L$78,5,FALSE)+VLOOKUP(A43,'SPUNTA ARRIVI '!$A$1:$L$78,7,FALSE)+VLOOKUP(A43,'SPUNTA ARRIVI '!$A$1:$L$78,9,FALSE)+VLOOKUP(A43,'SPUNTA ARRIVI '!$A$1:$L$78,11,FALSE),0)</f>
        <v>209</v>
      </c>
      <c r="I43" s="1" t="str">
        <f>IFERROR(VLOOKUP(A43,'SPUNTA ARRIVI '!A:Z,26,FALSE),0)</f>
        <v>ZA5</v>
      </c>
      <c r="J43" s="1"/>
    </row>
    <row r="44" spans="1:10" ht="14.25" customHeight="1" x14ac:dyDescent="0.25">
      <c r="A44" s="1">
        <f>+sga!M44</f>
        <v>6760</v>
      </c>
      <c r="B44" s="276">
        <f t="shared" ca="1" si="0"/>
        <v>46317.501186805559</v>
      </c>
      <c r="C44" s="276">
        <f t="shared" ca="1" si="1"/>
        <v>46317.501186805559</v>
      </c>
      <c r="D44" s="279">
        <v>1</v>
      </c>
      <c r="E44" s="1">
        <f>+VLOOKUP(A44,sga!$M$1:$Q$58,2,FALSE)</f>
        <v>301</v>
      </c>
      <c r="F44" s="1">
        <f t="shared" si="2"/>
        <v>2220</v>
      </c>
      <c r="G44" s="62">
        <f>IFERROR(VLOOKUP(A44,'SPUNTA ARRIVI '!$A$1:$L$78,4,FALSE),0)</f>
        <v>15.559999942779541</v>
      </c>
      <c r="H44" s="279">
        <f>IFERROR(VLOOKUP(A44,'SPUNTA ARRIVI '!$A$1:$L$78,5,FALSE)+VLOOKUP(A44,'SPUNTA ARRIVI '!$A$1:$L$78,7,FALSE)+VLOOKUP(A44,'SPUNTA ARRIVI '!$A$1:$L$78,9,FALSE)+VLOOKUP(A44,'SPUNTA ARRIVI '!$A$1:$L$78,11,FALSE),0)</f>
        <v>148</v>
      </c>
      <c r="I44" s="1" t="str">
        <f>IFERROR(VLOOKUP(A44,'SPUNTA ARRIVI '!A:Z,26,FALSE),0)</f>
        <v>ZA4</v>
      </c>
      <c r="J44" s="1"/>
    </row>
    <row r="45" spans="1:10" ht="14.25" customHeight="1" x14ac:dyDescent="0.25">
      <c r="A45" s="1">
        <f>+sga!M45</f>
        <v>15733</v>
      </c>
      <c r="B45" s="276">
        <f t="shared" ca="1" si="0"/>
        <v>46317.501186805559</v>
      </c>
      <c r="C45" s="276">
        <f t="shared" ca="1" si="1"/>
        <v>46317.501186805559</v>
      </c>
      <c r="D45" s="279">
        <v>1</v>
      </c>
      <c r="E45" s="1">
        <f>+VLOOKUP(A45,sga!$M$1:$Q$58,2,FALSE)</f>
        <v>309</v>
      </c>
      <c r="F45" s="1">
        <f t="shared" si="2"/>
        <v>10775</v>
      </c>
      <c r="G45" s="62">
        <f>IFERROR(VLOOKUP(A45,'SPUNTA ARRIVI '!$A$1:$L$78,4,FALSE),0)</f>
        <v>81.693332036336258</v>
      </c>
      <c r="H45" s="279">
        <f>IFERROR(VLOOKUP(A45,'SPUNTA ARRIVI '!$A$1:$L$78,5,FALSE)+VLOOKUP(A45,'SPUNTA ARRIVI '!$A$1:$L$78,7,FALSE)+VLOOKUP(A45,'SPUNTA ARRIVI '!$A$1:$L$78,9,FALSE)+VLOOKUP(A45,'SPUNTA ARRIVI '!$A$1:$L$78,11,FALSE),0)</f>
        <v>718.33333333333337</v>
      </c>
      <c r="I45" s="1" t="str">
        <f>IFERROR(VLOOKUP(A45,'SPUNTA ARRIVI '!A:Z,26,FALSE),0)</f>
        <v>ZA13</v>
      </c>
      <c r="J45" s="1"/>
    </row>
    <row r="46" spans="1:10" ht="14.25" customHeight="1" x14ac:dyDescent="0.25">
      <c r="A46" s="1">
        <f>+sga!M46</f>
        <v>5641</v>
      </c>
      <c r="B46" s="276">
        <f t="shared" ca="1" si="0"/>
        <v>46317.501186805559</v>
      </c>
      <c r="C46" s="276">
        <f t="shared" ca="1" si="1"/>
        <v>46317.501186805559</v>
      </c>
      <c r="D46" s="279">
        <v>1</v>
      </c>
      <c r="E46" s="1">
        <f>+VLOOKUP(A46,sga!$M$1:$Q$58,2,FALSE)</f>
        <v>7</v>
      </c>
      <c r="F46" s="1">
        <f t="shared" si="2"/>
        <v>1755</v>
      </c>
      <c r="G46" s="62">
        <f>IFERROR(VLOOKUP(A46,'SPUNTA ARRIVI '!$A$1:$L$78,4,FALSE),0)</f>
        <v>11.63999979197979</v>
      </c>
      <c r="H46" s="279">
        <f>IFERROR(VLOOKUP(A46,'SPUNTA ARRIVI '!$A$1:$L$78,5,FALSE)+VLOOKUP(A46,'SPUNTA ARRIVI '!$A$1:$L$78,7,FALSE)+VLOOKUP(A46,'SPUNTA ARRIVI '!$A$1:$L$78,9,FALSE)+VLOOKUP(A46,'SPUNTA ARRIVI '!$A$1:$L$78,11,FALSE),0)</f>
        <v>117</v>
      </c>
      <c r="I46" s="1" t="str">
        <f>IFERROR(VLOOKUP(A46,'SPUNTA ARRIVI '!A:Z,26,FALSE),0)</f>
        <v>ZA2</v>
      </c>
      <c r="J46" s="1"/>
    </row>
    <row r="47" spans="1:10" ht="14.25" customHeight="1" x14ac:dyDescent="0.25">
      <c r="A47" s="1">
        <f>+sga!M47</f>
        <v>5405</v>
      </c>
      <c r="B47" s="276">
        <f t="shared" ca="1" si="0"/>
        <v>46317.501186805559</v>
      </c>
      <c r="C47" s="276">
        <f t="shared" ca="1" si="1"/>
        <v>46317.501186805559</v>
      </c>
      <c r="D47" s="279">
        <v>1</v>
      </c>
      <c r="E47" s="1">
        <f>+VLOOKUP(A47,sga!$M$1:$Q$58,2,FALSE)</f>
        <v>282</v>
      </c>
      <c r="F47" s="1">
        <f t="shared" si="2"/>
        <v>1890</v>
      </c>
      <c r="G47" s="62">
        <f>IFERROR(VLOOKUP(A47,'SPUNTA ARRIVI '!$A$1:$L$78,4,FALSE),0)</f>
        <v>11.099999964237213</v>
      </c>
      <c r="H47" s="279">
        <f>IFERROR(VLOOKUP(A47,'SPUNTA ARRIVI '!$A$1:$L$78,5,FALSE)+VLOOKUP(A47,'SPUNTA ARRIVI '!$A$1:$L$78,7,FALSE)+VLOOKUP(A47,'SPUNTA ARRIVI '!$A$1:$L$78,9,FALSE)+VLOOKUP(A47,'SPUNTA ARRIVI '!$A$1:$L$78,11,FALSE),0)</f>
        <v>126</v>
      </c>
      <c r="I47" s="1" t="str">
        <f>IFERROR(VLOOKUP(A47,'SPUNTA ARRIVI '!A:Z,26,FALSE),0)</f>
        <v>ZA2</v>
      </c>
      <c r="J47" s="1"/>
    </row>
    <row r="48" spans="1:10" ht="14.25" customHeight="1" x14ac:dyDescent="0.25">
      <c r="A48" s="1">
        <f>+sga!M48</f>
        <v>2972</v>
      </c>
      <c r="B48" s="276">
        <f t="shared" ca="1" si="0"/>
        <v>46317.501186805559</v>
      </c>
      <c r="C48" s="276">
        <f t="shared" ca="1" si="1"/>
        <v>46317.501186805559</v>
      </c>
      <c r="D48" s="279">
        <v>1</v>
      </c>
      <c r="E48" s="1">
        <f>+VLOOKUP(A48,sga!$M$1:$Q$58,2,FALSE)</f>
        <v>294</v>
      </c>
      <c r="F48" s="1">
        <f t="shared" si="2"/>
        <v>1155</v>
      </c>
      <c r="G48" s="62">
        <f>IFERROR(VLOOKUP(A48,'SPUNTA ARRIVI '!$A$1:$L$78,4,FALSE),0)</f>
        <v>8.2199998795986176</v>
      </c>
      <c r="H48" s="279">
        <f>IFERROR(VLOOKUP(A48,'SPUNTA ARRIVI '!$A$1:$L$78,5,FALSE)+VLOOKUP(A48,'SPUNTA ARRIVI '!$A$1:$L$78,7,FALSE)+VLOOKUP(A48,'SPUNTA ARRIVI '!$A$1:$L$78,9,FALSE)+VLOOKUP(A48,'SPUNTA ARRIVI '!$A$1:$L$78,11,FALSE),0)</f>
        <v>77</v>
      </c>
      <c r="I48" s="1" t="str">
        <f>IFERROR(VLOOKUP(A48,'SPUNTA ARRIVI '!A:Z,26,FALSE),0)</f>
        <v>ZA2</v>
      </c>
      <c r="J48" s="1"/>
    </row>
    <row r="49" spans="1:10" ht="14.25" customHeight="1" x14ac:dyDescent="0.25">
      <c r="A49" s="1">
        <f>+sga!M49</f>
        <v>16351</v>
      </c>
      <c r="B49" s="276">
        <f t="shared" ca="1" si="0"/>
        <v>46317.501186805559</v>
      </c>
      <c r="C49" s="276">
        <f t="shared" ca="1" si="1"/>
        <v>46317.501186805559</v>
      </c>
      <c r="D49" s="279">
        <v>1</v>
      </c>
      <c r="E49" s="1">
        <f>+VLOOKUP(A49,sga!$M$1:$Q$58,2,FALSE)</f>
        <v>336</v>
      </c>
      <c r="F49" s="1">
        <f t="shared" si="2"/>
        <v>2205</v>
      </c>
      <c r="G49" s="62">
        <f>IFERROR(VLOOKUP(A49,'SPUNTA ARRIVI '!$A$1:$L$78,4,FALSE),0)</f>
        <v>14.35999958217144</v>
      </c>
      <c r="H49" s="279">
        <f>IFERROR(VLOOKUP(A49,'SPUNTA ARRIVI '!$A$1:$L$78,5,FALSE)+VLOOKUP(A49,'SPUNTA ARRIVI '!$A$1:$L$78,7,FALSE)+VLOOKUP(A49,'SPUNTA ARRIVI '!$A$1:$L$78,9,FALSE)+VLOOKUP(A49,'SPUNTA ARRIVI '!$A$1:$L$78,11,FALSE),0)</f>
        <v>147</v>
      </c>
      <c r="I49" s="1" t="str">
        <f>IFERROR(VLOOKUP(A49,'SPUNTA ARRIVI '!A:Z,26,FALSE),0)</f>
        <v>ZA1</v>
      </c>
      <c r="J49" s="1"/>
    </row>
    <row r="50" spans="1:10" ht="14.25" customHeight="1" x14ac:dyDescent="0.25">
      <c r="A50" s="1">
        <f>+sga!M50</f>
        <v>16564</v>
      </c>
      <c r="B50" s="276">
        <f t="shared" ca="1" si="0"/>
        <v>46317.501186805559</v>
      </c>
      <c r="C50" s="276">
        <f t="shared" ca="1" si="1"/>
        <v>46317.501186805559</v>
      </c>
      <c r="D50" s="279">
        <v>1</v>
      </c>
      <c r="E50" s="1">
        <f>+VLOOKUP(A50,sga!$M$1:$Q$58,2,FALSE)</f>
        <v>337</v>
      </c>
      <c r="F50" s="1">
        <f t="shared" si="2"/>
        <v>2370</v>
      </c>
      <c r="G50" s="62">
        <f>IFERROR(VLOOKUP(A50,'SPUNTA ARRIVI '!$A$1:$L$78,4,FALSE),0)</f>
        <v>13.920000433921814</v>
      </c>
      <c r="H50" s="279">
        <f>IFERROR(VLOOKUP(A50,'SPUNTA ARRIVI '!$A$1:$L$78,5,FALSE)+VLOOKUP(A50,'SPUNTA ARRIVI '!$A$1:$L$78,7,FALSE)+VLOOKUP(A50,'SPUNTA ARRIVI '!$A$1:$L$78,9,FALSE)+VLOOKUP(A50,'SPUNTA ARRIVI '!$A$1:$L$78,11,FALSE),0)</f>
        <v>158</v>
      </c>
      <c r="I50" s="1" t="str">
        <f>IFERROR(VLOOKUP(A50,'SPUNTA ARRIVI '!A:Z,26,FALSE),0)</f>
        <v>ZA1</v>
      </c>
      <c r="J50" s="1"/>
    </row>
    <row r="51" spans="1:10" ht="14.25" customHeight="1" x14ac:dyDescent="0.25">
      <c r="A51" s="1">
        <f>+sga!M51</f>
        <v>17019</v>
      </c>
      <c r="B51" s="276">
        <f t="shared" ca="1" si="0"/>
        <v>46317.501186805559</v>
      </c>
      <c r="C51" s="276">
        <f t="shared" ca="1" si="1"/>
        <v>46317.501186805559</v>
      </c>
      <c r="D51" s="279">
        <v>1</v>
      </c>
      <c r="E51" s="1">
        <f>+VLOOKUP(A51,sga!$M$1:$Q$58,2,FALSE)</f>
        <v>2358</v>
      </c>
      <c r="F51" s="1">
        <f t="shared" si="2"/>
        <v>975</v>
      </c>
      <c r="G51" s="62">
        <f>IFERROR(VLOOKUP(A51,'SPUNTA ARRIVI '!$A$1:$L$78,4,FALSE),0)</f>
        <v>9.2600002288818359</v>
      </c>
      <c r="H51" s="279">
        <f>IFERROR(VLOOKUP(A51,'SPUNTA ARRIVI '!$A$1:$L$78,5,FALSE)+VLOOKUP(A51,'SPUNTA ARRIVI '!$A$1:$L$78,7,FALSE)+VLOOKUP(A51,'SPUNTA ARRIVI '!$A$1:$L$78,9,FALSE)+VLOOKUP(A51,'SPUNTA ARRIVI '!$A$1:$L$78,11,FALSE),0)</f>
        <v>65</v>
      </c>
      <c r="I51" s="1" t="str">
        <f>IFERROR(VLOOKUP(A51,'SPUNTA ARRIVI '!A:Z,26,FALSE),0)</f>
        <v>ZA20</v>
      </c>
      <c r="J51" s="1"/>
    </row>
  </sheetData>
  <autoFilter ref="A1:J49" xr:uid="{78B9E4E6-5BC2-4E61-884D-317F991FB98B}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115AB-625E-4EBA-86B4-6CB4FAA19E9C}">
  <sheetPr codeName="Foglio21"/>
  <dimension ref="A1:J105"/>
  <sheetViews>
    <sheetView topLeftCell="A67" zoomScaleNormal="100" workbookViewId="0">
      <selection activeCell="I12" sqref="I12"/>
    </sheetView>
  </sheetViews>
  <sheetFormatPr defaultColWidth="9.140625" defaultRowHeight="14.25" customHeight="1" x14ac:dyDescent="0.25"/>
  <cols>
    <col min="1" max="1" width="16.28515625" style="1" bestFit="1" customWidth="1"/>
    <col min="2" max="2" width="15.85546875" style="276" bestFit="1" customWidth="1"/>
    <col min="3" max="3" width="16.85546875" style="279" customWidth="1"/>
    <col min="4" max="4" width="24.5703125" style="279" bestFit="1" customWidth="1"/>
    <col min="5" max="5" width="15.28515625" style="276" bestFit="1" customWidth="1"/>
    <col min="6" max="6" width="19.5703125" style="137" bestFit="1" customWidth="1"/>
    <col min="7" max="7" width="26.5703125" style="137" customWidth="1"/>
    <col min="8" max="8" width="10.85546875" style="279" bestFit="1" customWidth="1"/>
    <col min="9" max="10" width="10.28515625" style="279" customWidth="1"/>
    <col min="11" max="16384" width="9.140625" style="1"/>
  </cols>
  <sheetData>
    <row r="1" spans="1:10" ht="14.25" customHeight="1" x14ac:dyDescent="0.25">
      <c r="A1" s="375" t="s">
        <v>294</v>
      </c>
      <c r="B1" s="333" t="s">
        <v>250</v>
      </c>
      <c r="C1" s="373" t="s">
        <v>293</v>
      </c>
      <c r="D1" s="373" t="s">
        <v>295</v>
      </c>
      <c r="E1" s="333" t="s">
        <v>251</v>
      </c>
      <c r="F1" s="330" t="s">
        <v>252</v>
      </c>
      <c r="G1" s="330" t="s">
        <v>296</v>
      </c>
      <c r="H1" s="377" t="s">
        <v>253</v>
      </c>
      <c r="I1" s="377" t="s">
        <v>21</v>
      </c>
      <c r="J1" s="377" t="s">
        <v>215</v>
      </c>
    </row>
    <row r="2" spans="1:10" ht="14.25" customHeight="1" x14ac:dyDescent="0.25">
      <c r="A2" s="1" t="s">
        <v>268</v>
      </c>
      <c r="B2" s="276">
        <v>46316.635023148148</v>
      </c>
      <c r="C2" s="279">
        <v>1</v>
      </c>
      <c r="D2" s="376" t="s">
        <v>297</v>
      </c>
      <c r="E2" s="276">
        <v>46316.635023148148</v>
      </c>
      <c r="F2" s="137">
        <v>10</v>
      </c>
      <c r="G2" s="137" t="s">
        <v>268</v>
      </c>
      <c r="H2" s="279">
        <v>1110</v>
      </c>
      <c r="I2" s="279">
        <v>7.3299999535083771</v>
      </c>
      <c r="J2" s="279">
        <v>74</v>
      </c>
    </row>
    <row r="3" spans="1:10" ht="14.25" customHeight="1" x14ac:dyDescent="0.25">
      <c r="A3" s="369" t="s">
        <v>268</v>
      </c>
      <c r="B3" s="370">
        <v>46316.635023148148</v>
      </c>
      <c r="C3" s="374">
        <v>10</v>
      </c>
      <c r="D3" s="374" t="s">
        <v>268</v>
      </c>
      <c r="E3" s="370">
        <v>46316.635023148148</v>
      </c>
      <c r="F3" s="369">
        <v>1</v>
      </c>
      <c r="G3" s="376" t="s">
        <v>297</v>
      </c>
      <c r="H3" s="374">
        <v>0</v>
      </c>
      <c r="I3" s="374">
        <v>0</v>
      </c>
      <c r="J3" s="374">
        <v>0</v>
      </c>
    </row>
    <row r="4" spans="1:10" ht="14.25" customHeight="1" x14ac:dyDescent="0.25">
      <c r="A4" s="1" t="s">
        <v>280</v>
      </c>
      <c r="B4" s="276">
        <v>46316.635023148148</v>
      </c>
      <c r="C4" s="279">
        <v>1</v>
      </c>
      <c r="D4" s="376" t="s">
        <v>297</v>
      </c>
      <c r="E4" s="276">
        <v>46316.635023148148</v>
      </c>
      <c r="F4" s="137">
        <v>17</v>
      </c>
      <c r="G4" s="137" t="s">
        <v>280</v>
      </c>
      <c r="H4" s="279">
        <v>2235</v>
      </c>
      <c r="I4" s="279">
        <v>14.239999711513519</v>
      </c>
      <c r="J4" s="279">
        <v>149</v>
      </c>
    </row>
    <row r="5" spans="1:10" ht="14.25" customHeight="1" x14ac:dyDescent="0.25">
      <c r="A5" s="369" t="s">
        <v>280</v>
      </c>
      <c r="B5" s="370">
        <v>46316.635023148148</v>
      </c>
      <c r="C5" s="374">
        <v>17</v>
      </c>
      <c r="D5" s="374" t="s">
        <v>280</v>
      </c>
      <c r="E5" s="370">
        <v>46316.635023148148</v>
      </c>
      <c r="F5" s="369">
        <v>1</v>
      </c>
      <c r="G5" s="376" t="s">
        <v>297</v>
      </c>
      <c r="H5" s="374">
        <v>0</v>
      </c>
      <c r="I5" s="374">
        <v>0</v>
      </c>
      <c r="J5" s="374">
        <v>0</v>
      </c>
    </row>
    <row r="6" spans="1:10" ht="14.25" customHeight="1" x14ac:dyDescent="0.25">
      <c r="A6" s="1" t="s">
        <v>270</v>
      </c>
      <c r="B6" s="276">
        <v>46316.635023148148</v>
      </c>
      <c r="C6" s="279">
        <v>1</v>
      </c>
      <c r="D6" s="376" t="s">
        <v>297</v>
      </c>
      <c r="E6" s="276">
        <v>46316.635023148148</v>
      </c>
      <c r="F6" s="137">
        <v>16</v>
      </c>
      <c r="G6" s="137" t="s">
        <v>270</v>
      </c>
      <c r="H6" s="279">
        <v>2880</v>
      </c>
      <c r="I6" s="279">
        <v>18.160000085830688</v>
      </c>
      <c r="J6" s="279">
        <v>192</v>
      </c>
    </row>
    <row r="7" spans="1:10" ht="14.25" customHeight="1" x14ac:dyDescent="0.25">
      <c r="A7" s="369" t="s">
        <v>270</v>
      </c>
      <c r="B7" s="370">
        <v>46316.635023148148</v>
      </c>
      <c r="C7" s="374">
        <v>16</v>
      </c>
      <c r="D7" s="374" t="s">
        <v>270</v>
      </c>
      <c r="E7" s="370">
        <v>46316.635023148148</v>
      </c>
      <c r="F7" s="369">
        <v>1</v>
      </c>
      <c r="G7" s="376" t="s">
        <v>297</v>
      </c>
      <c r="H7" s="374">
        <v>0</v>
      </c>
      <c r="I7" s="374">
        <v>0</v>
      </c>
      <c r="J7" s="374">
        <v>0</v>
      </c>
    </row>
    <row r="8" spans="1:10" ht="14.25" customHeight="1" x14ac:dyDescent="0.25">
      <c r="A8" s="1" t="s">
        <v>274</v>
      </c>
      <c r="B8" s="276">
        <v>46316.635023148148</v>
      </c>
      <c r="C8" s="279">
        <v>1</v>
      </c>
      <c r="D8" s="376" t="s">
        <v>297</v>
      </c>
      <c r="E8" s="276">
        <v>46316.635023148148</v>
      </c>
      <c r="F8" s="137">
        <v>9</v>
      </c>
      <c r="G8" s="137" t="s">
        <v>274</v>
      </c>
      <c r="H8" s="279">
        <v>870</v>
      </c>
      <c r="I8" s="279">
        <v>5.4600001275539398</v>
      </c>
      <c r="J8" s="279">
        <v>58</v>
      </c>
    </row>
    <row r="9" spans="1:10" ht="14.25" customHeight="1" x14ac:dyDescent="0.25">
      <c r="A9" s="369" t="s">
        <v>274</v>
      </c>
      <c r="B9" s="370">
        <v>46316.635023148148</v>
      </c>
      <c r="C9" s="374">
        <v>9</v>
      </c>
      <c r="D9" s="374" t="s">
        <v>274</v>
      </c>
      <c r="E9" s="370">
        <v>46316.635023148148</v>
      </c>
      <c r="F9" s="369">
        <v>1</v>
      </c>
      <c r="G9" s="376" t="s">
        <v>297</v>
      </c>
      <c r="H9" s="374">
        <v>0</v>
      </c>
      <c r="I9" s="374">
        <v>0</v>
      </c>
      <c r="J9" s="374">
        <v>0</v>
      </c>
    </row>
    <row r="10" spans="1:10" ht="14.25" customHeight="1" x14ac:dyDescent="0.25">
      <c r="A10" s="1" t="s">
        <v>277</v>
      </c>
      <c r="B10" s="276">
        <v>46316.635023148148</v>
      </c>
      <c r="C10" s="279">
        <v>1</v>
      </c>
      <c r="D10" s="376" t="s">
        <v>297</v>
      </c>
      <c r="E10" s="276">
        <v>46316.635023148148</v>
      </c>
      <c r="F10" s="137">
        <v>8</v>
      </c>
      <c r="G10" s="137" t="s">
        <v>277</v>
      </c>
      <c r="H10" s="279">
        <v>2415</v>
      </c>
      <c r="I10" s="279">
        <v>10.604999858140944</v>
      </c>
      <c r="J10" s="279">
        <v>161</v>
      </c>
    </row>
    <row r="11" spans="1:10" ht="14.25" customHeight="1" x14ac:dyDescent="0.25">
      <c r="A11" s="369" t="s">
        <v>277</v>
      </c>
      <c r="B11" s="370">
        <v>46316.635023148148</v>
      </c>
      <c r="C11" s="374">
        <v>8</v>
      </c>
      <c r="D11" s="374" t="s">
        <v>277</v>
      </c>
      <c r="E11" s="370">
        <v>46316.635023148148</v>
      </c>
      <c r="F11" s="369">
        <v>1</v>
      </c>
      <c r="G11" s="376" t="s">
        <v>297</v>
      </c>
      <c r="H11" s="374">
        <v>0</v>
      </c>
      <c r="I11" s="374">
        <v>0</v>
      </c>
      <c r="J11" s="374">
        <v>0</v>
      </c>
    </row>
    <row r="12" spans="1:10" ht="14.25" customHeight="1" x14ac:dyDescent="0.25">
      <c r="A12" s="1" t="s">
        <v>276</v>
      </c>
      <c r="B12" s="276">
        <v>46316.635023148148</v>
      </c>
      <c r="C12" s="279">
        <v>1</v>
      </c>
      <c r="D12" s="376" t="s">
        <v>297</v>
      </c>
      <c r="E12" s="276">
        <v>46316.635023148148</v>
      </c>
      <c r="F12" s="137">
        <v>6</v>
      </c>
      <c r="G12" s="137" t="s">
        <v>276</v>
      </c>
      <c r="H12" s="279">
        <v>990</v>
      </c>
      <c r="I12" s="279">
        <v>6.6600000262260437</v>
      </c>
      <c r="J12" s="279">
        <v>66</v>
      </c>
    </row>
    <row r="13" spans="1:10" ht="14.25" customHeight="1" x14ac:dyDescent="0.25">
      <c r="A13" s="369" t="s">
        <v>276</v>
      </c>
      <c r="B13" s="370">
        <v>46316.635023148148</v>
      </c>
      <c r="C13" s="374">
        <v>6</v>
      </c>
      <c r="D13" s="374" t="s">
        <v>276</v>
      </c>
      <c r="E13" s="370">
        <v>46316.635023148148</v>
      </c>
      <c r="F13" s="369">
        <v>1</v>
      </c>
      <c r="G13" s="376" t="s">
        <v>297</v>
      </c>
      <c r="H13" s="374">
        <v>0</v>
      </c>
      <c r="I13" s="374">
        <v>0</v>
      </c>
      <c r="J13" s="374">
        <v>0</v>
      </c>
    </row>
    <row r="14" spans="1:10" ht="14.25" customHeight="1" x14ac:dyDescent="0.25">
      <c r="A14" s="1" t="s">
        <v>272</v>
      </c>
      <c r="B14" s="276">
        <v>46316.635023148148</v>
      </c>
      <c r="C14" s="279">
        <v>1</v>
      </c>
      <c r="D14" s="376" t="s">
        <v>297</v>
      </c>
      <c r="E14" s="276">
        <v>46316.635023148148</v>
      </c>
      <c r="F14" s="137">
        <v>11</v>
      </c>
      <c r="G14" s="137" t="s">
        <v>272</v>
      </c>
      <c r="H14" s="279">
        <v>1365</v>
      </c>
      <c r="I14" s="279">
        <v>8.629999965429306</v>
      </c>
      <c r="J14" s="279">
        <v>91</v>
      </c>
    </row>
    <row r="15" spans="1:10" ht="14.25" customHeight="1" x14ac:dyDescent="0.25">
      <c r="A15" s="369" t="s">
        <v>272</v>
      </c>
      <c r="B15" s="370">
        <v>46316.635023148148</v>
      </c>
      <c r="C15" s="374">
        <v>11</v>
      </c>
      <c r="D15" s="374" t="s">
        <v>272</v>
      </c>
      <c r="E15" s="370">
        <v>46316.635023148148</v>
      </c>
      <c r="F15" s="369">
        <v>1</v>
      </c>
      <c r="G15" s="376" t="s">
        <v>297</v>
      </c>
      <c r="H15" s="374">
        <v>0</v>
      </c>
      <c r="I15" s="374">
        <v>0</v>
      </c>
      <c r="J15" s="374">
        <v>0</v>
      </c>
    </row>
    <row r="16" spans="1:10" ht="14.25" customHeight="1" x14ac:dyDescent="0.25">
      <c r="A16" s="1" t="s">
        <v>269</v>
      </c>
      <c r="B16" s="276">
        <v>46316.635023148148</v>
      </c>
      <c r="C16" s="279">
        <v>1</v>
      </c>
      <c r="D16" s="376" t="s">
        <v>297</v>
      </c>
      <c r="E16" s="276">
        <v>46316.635023148148</v>
      </c>
      <c r="F16" s="137">
        <v>15</v>
      </c>
      <c r="G16" s="137" t="s">
        <v>269</v>
      </c>
      <c r="H16" s="279">
        <v>690</v>
      </c>
      <c r="I16" s="279">
        <v>4.5500001311302185</v>
      </c>
      <c r="J16" s="279">
        <v>46</v>
      </c>
    </row>
    <row r="17" spans="1:10" ht="14.25" customHeight="1" x14ac:dyDescent="0.25">
      <c r="A17" s="369" t="s">
        <v>269</v>
      </c>
      <c r="B17" s="370">
        <v>46316.635023148148</v>
      </c>
      <c r="C17" s="374">
        <v>15</v>
      </c>
      <c r="D17" s="374" t="s">
        <v>269</v>
      </c>
      <c r="E17" s="370">
        <v>46316.635023148148</v>
      </c>
      <c r="F17" s="369">
        <v>1</v>
      </c>
      <c r="G17" s="376" t="s">
        <v>297</v>
      </c>
      <c r="H17" s="374">
        <v>0</v>
      </c>
      <c r="I17" s="374">
        <v>0</v>
      </c>
      <c r="J17" s="374">
        <v>0</v>
      </c>
    </row>
    <row r="18" spans="1:10" ht="14.25" customHeight="1" x14ac:dyDescent="0.25">
      <c r="A18" s="1" t="s">
        <v>271</v>
      </c>
      <c r="B18" s="276">
        <v>46316.635023148148</v>
      </c>
      <c r="C18" s="279">
        <v>1</v>
      </c>
      <c r="D18" s="376" t="s">
        <v>297</v>
      </c>
      <c r="E18" s="276">
        <v>46316.635023148148</v>
      </c>
      <c r="F18" s="137">
        <v>13</v>
      </c>
      <c r="G18" s="137" t="s">
        <v>271</v>
      </c>
      <c r="H18" s="279">
        <v>3195</v>
      </c>
      <c r="I18" s="279">
        <v>20.439999759197235</v>
      </c>
      <c r="J18" s="279">
        <v>213</v>
      </c>
    </row>
    <row r="19" spans="1:10" ht="14.25" customHeight="1" x14ac:dyDescent="0.25">
      <c r="A19" s="369" t="s">
        <v>271</v>
      </c>
      <c r="B19" s="370">
        <v>46316.635023148148</v>
      </c>
      <c r="C19" s="374">
        <v>13</v>
      </c>
      <c r="D19" s="374" t="s">
        <v>271</v>
      </c>
      <c r="E19" s="370">
        <v>46316.635023148148</v>
      </c>
      <c r="F19" s="369">
        <v>1</v>
      </c>
      <c r="G19" s="376" t="s">
        <v>297</v>
      </c>
      <c r="H19" s="374">
        <v>0</v>
      </c>
      <c r="I19" s="374">
        <v>0</v>
      </c>
      <c r="J19" s="374">
        <v>0</v>
      </c>
    </row>
    <row r="20" spans="1:10" ht="14.25" customHeight="1" x14ac:dyDescent="0.25">
      <c r="A20" s="1" t="s">
        <v>277</v>
      </c>
      <c r="B20" s="276">
        <v>46316.635023148148</v>
      </c>
      <c r="C20" s="279">
        <v>1</v>
      </c>
      <c r="D20" s="376" t="s">
        <v>297</v>
      </c>
      <c r="E20" s="276">
        <v>46316.635023148148</v>
      </c>
      <c r="F20" s="137">
        <v>276</v>
      </c>
      <c r="G20" s="137" t="s">
        <v>277</v>
      </c>
      <c r="H20" s="279">
        <v>420</v>
      </c>
      <c r="I20" s="279">
        <v>2.9300001263618469</v>
      </c>
      <c r="J20" s="279">
        <v>28</v>
      </c>
    </row>
    <row r="21" spans="1:10" ht="14.25" customHeight="1" x14ac:dyDescent="0.25">
      <c r="A21" s="369" t="s">
        <v>277</v>
      </c>
      <c r="B21" s="370">
        <v>46316.635023148148</v>
      </c>
      <c r="C21" s="374">
        <v>276</v>
      </c>
      <c r="D21" s="374" t="s">
        <v>277</v>
      </c>
      <c r="E21" s="370">
        <v>46316.635023148148</v>
      </c>
      <c r="F21" s="369">
        <v>1</v>
      </c>
      <c r="G21" s="376" t="s">
        <v>297</v>
      </c>
      <c r="H21" s="374">
        <v>0</v>
      </c>
      <c r="I21" s="374">
        <v>0</v>
      </c>
      <c r="J21" s="374">
        <v>0</v>
      </c>
    </row>
    <row r="22" spans="1:10" ht="14.25" customHeight="1" x14ac:dyDescent="0.25">
      <c r="A22" s="1" t="s">
        <v>270</v>
      </c>
      <c r="B22" s="276">
        <v>46316.635023148148</v>
      </c>
      <c r="C22" s="279">
        <v>1</v>
      </c>
      <c r="D22" s="376" t="s">
        <v>297</v>
      </c>
      <c r="E22" s="276">
        <v>46316.635023148148</v>
      </c>
      <c r="F22" s="137">
        <v>279</v>
      </c>
      <c r="G22" s="137" t="s">
        <v>270</v>
      </c>
      <c r="H22" s="279">
        <v>435</v>
      </c>
      <c r="I22" s="279">
        <v>2.5600000098347664</v>
      </c>
      <c r="J22" s="279">
        <v>29</v>
      </c>
    </row>
    <row r="23" spans="1:10" ht="14.25" customHeight="1" x14ac:dyDescent="0.25">
      <c r="A23" s="369" t="s">
        <v>270</v>
      </c>
      <c r="B23" s="370">
        <v>46316.635023148148</v>
      </c>
      <c r="C23" s="374">
        <v>279</v>
      </c>
      <c r="D23" s="374" t="s">
        <v>270</v>
      </c>
      <c r="E23" s="370">
        <v>46316.635023148148</v>
      </c>
      <c r="F23" s="369">
        <v>1</v>
      </c>
      <c r="G23" s="376" t="s">
        <v>297</v>
      </c>
      <c r="H23" s="374">
        <v>0</v>
      </c>
      <c r="I23" s="374">
        <v>0</v>
      </c>
      <c r="J23" s="374">
        <v>0</v>
      </c>
    </row>
    <row r="24" spans="1:10" ht="14.25" customHeight="1" x14ac:dyDescent="0.25">
      <c r="A24" s="1" t="s">
        <v>277</v>
      </c>
      <c r="B24" s="276">
        <v>46316.635023148148</v>
      </c>
      <c r="C24" s="279">
        <v>1</v>
      </c>
      <c r="D24" s="376" t="s">
        <v>297</v>
      </c>
      <c r="E24" s="276">
        <v>46316.635023148148</v>
      </c>
      <c r="F24" s="137">
        <v>277</v>
      </c>
      <c r="G24" s="137" t="s">
        <v>277</v>
      </c>
      <c r="H24" s="279">
        <v>450</v>
      </c>
      <c r="I24" s="279">
        <v>2.6499999240040779</v>
      </c>
      <c r="J24" s="279">
        <v>30</v>
      </c>
    </row>
    <row r="25" spans="1:10" ht="14.25" customHeight="1" x14ac:dyDescent="0.25">
      <c r="A25" s="369" t="s">
        <v>277</v>
      </c>
      <c r="B25" s="370">
        <v>46316.635023148148</v>
      </c>
      <c r="C25" s="374">
        <v>277</v>
      </c>
      <c r="D25" s="374" t="s">
        <v>277</v>
      </c>
      <c r="E25" s="370">
        <v>46316.635023148148</v>
      </c>
      <c r="F25" s="369">
        <v>1</v>
      </c>
      <c r="G25" s="376" t="s">
        <v>297</v>
      </c>
      <c r="H25" s="374">
        <v>0</v>
      </c>
      <c r="I25" s="374">
        <v>0</v>
      </c>
      <c r="J25" s="374">
        <v>0</v>
      </c>
    </row>
    <row r="26" spans="1:10" ht="14.25" customHeight="1" x14ac:dyDescent="0.25">
      <c r="A26" s="1" t="s">
        <v>272</v>
      </c>
      <c r="B26" s="276">
        <v>46316.635023148148</v>
      </c>
      <c r="C26" s="279">
        <v>1</v>
      </c>
      <c r="D26" s="376" t="s">
        <v>297</v>
      </c>
      <c r="E26" s="276">
        <v>46316.635023148148</v>
      </c>
      <c r="F26" s="137">
        <v>297</v>
      </c>
      <c r="G26" s="137" t="s">
        <v>272</v>
      </c>
      <c r="H26" s="279">
        <v>1485</v>
      </c>
      <c r="I26" s="279">
        <v>10.209999859333038</v>
      </c>
      <c r="J26" s="279">
        <v>99</v>
      </c>
    </row>
    <row r="27" spans="1:10" ht="14.25" customHeight="1" x14ac:dyDescent="0.25">
      <c r="A27" s="369" t="s">
        <v>272</v>
      </c>
      <c r="B27" s="370">
        <v>46316.635023148148</v>
      </c>
      <c r="C27" s="374">
        <v>297</v>
      </c>
      <c r="D27" s="374" t="s">
        <v>272</v>
      </c>
      <c r="E27" s="370">
        <v>46316.635023148148</v>
      </c>
      <c r="F27" s="369">
        <v>1</v>
      </c>
      <c r="G27" s="376" t="s">
        <v>297</v>
      </c>
      <c r="H27" s="374">
        <v>0</v>
      </c>
      <c r="I27" s="374">
        <v>0</v>
      </c>
      <c r="J27" s="374">
        <v>0</v>
      </c>
    </row>
    <row r="28" spans="1:10" ht="14.25" customHeight="1" x14ac:dyDescent="0.25">
      <c r="A28" s="1" t="s">
        <v>272</v>
      </c>
      <c r="B28" s="276">
        <v>46316.635023148148</v>
      </c>
      <c r="C28" s="279">
        <v>1</v>
      </c>
      <c r="D28" s="376" t="s">
        <v>297</v>
      </c>
      <c r="E28" s="276">
        <v>46316.635023148148</v>
      </c>
      <c r="F28" s="137">
        <v>286</v>
      </c>
      <c r="G28" s="137" t="s">
        <v>272</v>
      </c>
      <c r="H28" s="279">
        <v>2265</v>
      </c>
      <c r="I28" s="279">
        <v>13.739999681711197</v>
      </c>
      <c r="J28" s="279">
        <v>151</v>
      </c>
    </row>
    <row r="29" spans="1:10" ht="14.25" customHeight="1" x14ac:dyDescent="0.25">
      <c r="A29" s="369" t="s">
        <v>272</v>
      </c>
      <c r="B29" s="370">
        <v>46316.635023148148</v>
      </c>
      <c r="C29" s="374">
        <v>286</v>
      </c>
      <c r="D29" s="374" t="s">
        <v>272</v>
      </c>
      <c r="E29" s="370">
        <v>46316.635023148148</v>
      </c>
      <c r="F29" s="369">
        <v>1</v>
      </c>
      <c r="G29" s="376" t="s">
        <v>297</v>
      </c>
      <c r="H29" s="374">
        <v>0</v>
      </c>
      <c r="I29" s="374">
        <v>0</v>
      </c>
      <c r="J29" s="374">
        <v>0</v>
      </c>
    </row>
    <row r="30" spans="1:10" ht="14.25" customHeight="1" x14ac:dyDescent="0.25">
      <c r="A30" s="1" t="s">
        <v>268</v>
      </c>
      <c r="B30" s="276">
        <v>46316.635023148148</v>
      </c>
      <c r="C30" s="279">
        <v>1</v>
      </c>
      <c r="D30" s="376" t="s">
        <v>297</v>
      </c>
      <c r="E30" s="276">
        <v>46316.635023148148</v>
      </c>
      <c r="F30" s="137">
        <v>285</v>
      </c>
      <c r="G30" s="137" t="s">
        <v>268</v>
      </c>
      <c r="H30" s="279">
        <v>1005</v>
      </c>
      <c r="I30" s="279">
        <v>5.9300000965595245</v>
      </c>
      <c r="J30" s="279">
        <v>67</v>
      </c>
    </row>
    <row r="31" spans="1:10" ht="14.25" customHeight="1" x14ac:dyDescent="0.25">
      <c r="A31" s="369" t="s">
        <v>268</v>
      </c>
      <c r="B31" s="370">
        <v>46316.635023148148</v>
      </c>
      <c r="C31" s="374">
        <v>285</v>
      </c>
      <c r="D31" s="374" t="s">
        <v>268</v>
      </c>
      <c r="E31" s="370">
        <v>46316.635023148148</v>
      </c>
      <c r="F31" s="369">
        <v>1</v>
      </c>
      <c r="G31" s="376" t="s">
        <v>297</v>
      </c>
      <c r="H31" s="374">
        <v>0</v>
      </c>
      <c r="I31" s="374">
        <v>0</v>
      </c>
      <c r="J31" s="374">
        <v>0</v>
      </c>
    </row>
    <row r="32" spans="1:10" ht="14.25" customHeight="1" x14ac:dyDescent="0.25">
      <c r="A32" s="1" t="s">
        <v>280</v>
      </c>
      <c r="B32" s="276">
        <v>46316.635023148148</v>
      </c>
      <c r="C32" s="279">
        <v>1</v>
      </c>
      <c r="D32" s="376" t="s">
        <v>297</v>
      </c>
      <c r="E32" s="276">
        <v>46316.635023148148</v>
      </c>
      <c r="F32" s="137">
        <v>290</v>
      </c>
      <c r="G32" s="137" t="s">
        <v>280</v>
      </c>
      <c r="H32" s="279">
        <v>2205</v>
      </c>
      <c r="I32" s="279">
        <v>12.979999631643295</v>
      </c>
      <c r="J32" s="279">
        <v>147</v>
      </c>
    </row>
    <row r="33" spans="1:10" ht="14.25" customHeight="1" x14ac:dyDescent="0.25">
      <c r="A33" s="369" t="s">
        <v>280</v>
      </c>
      <c r="B33" s="370">
        <v>46316.635023148148</v>
      </c>
      <c r="C33" s="374">
        <v>290</v>
      </c>
      <c r="D33" s="374" t="s">
        <v>280</v>
      </c>
      <c r="E33" s="370">
        <v>46316.635023148148</v>
      </c>
      <c r="F33" s="369">
        <v>1</v>
      </c>
      <c r="G33" s="376" t="s">
        <v>297</v>
      </c>
      <c r="H33" s="374">
        <v>0</v>
      </c>
      <c r="I33" s="374">
        <v>0</v>
      </c>
      <c r="J33" s="374">
        <v>0</v>
      </c>
    </row>
    <row r="34" spans="1:10" ht="14.25" customHeight="1" x14ac:dyDescent="0.25">
      <c r="A34" s="1" t="s">
        <v>270</v>
      </c>
      <c r="B34" s="276">
        <v>46316.635023148148</v>
      </c>
      <c r="C34" s="279">
        <v>1</v>
      </c>
      <c r="D34" s="376" t="s">
        <v>297</v>
      </c>
      <c r="E34" s="276">
        <v>46316.635023148148</v>
      </c>
      <c r="F34" s="137">
        <v>289</v>
      </c>
      <c r="G34" s="137" t="s">
        <v>270</v>
      </c>
      <c r="H34" s="279">
        <v>3885</v>
      </c>
      <c r="I34" s="279">
        <v>15.827000072598457</v>
      </c>
      <c r="J34" s="279">
        <v>259</v>
      </c>
    </row>
    <row r="35" spans="1:10" ht="14.25" customHeight="1" x14ac:dyDescent="0.25">
      <c r="A35" s="369" t="s">
        <v>270</v>
      </c>
      <c r="B35" s="370">
        <v>46316.635023148148</v>
      </c>
      <c r="C35" s="374">
        <v>289</v>
      </c>
      <c r="D35" s="374" t="s">
        <v>270</v>
      </c>
      <c r="E35" s="370">
        <v>46316.635023148148</v>
      </c>
      <c r="F35" s="369">
        <v>1</v>
      </c>
      <c r="G35" s="376" t="s">
        <v>297</v>
      </c>
      <c r="H35" s="374">
        <v>0</v>
      </c>
      <c r="I35" s="374">
        <v>0</v>
      </c>
      <c r="J35" s="374">
        <v>0</v>
      </c>
    </row>
    <row r="36" spans="1:10" ht="14.25" customHeight="1" x14ac:dyDescent="0.25">
      <c r="A36" s="1" t="s">
        <v>274</v>
      </c>
      <c r="B36" s="276">
        <v>46316.635023148148</v>
      </c>
      <c r="C36" s="279">
        <v>1</v>
      </c>
      <c r="D36" s="376" t="s">
        <v>297</v>
      </c>
      <c r="E36" s="276">
        <v>46316.635023148148</v>
      </c>
      <c r="F36" s="137">
        <v>284</v>
      </c>
      <c r="G36" s="137" t="s">
        <v>274</v>
      </c>
      <c r="H36" s="279">
        <v>1275</v>
      </c>
      <c r="I36" s="279">
        <v>7.4499997943639755</v>
      </c>
      <c r="J36" s="279">
        <v>85</v>
      </c>
    </row>
    <row r="37" spans="1:10" ht="14.25" customHeight="1" x14ac:dyDescent="0.25">
      <c r="A37" s="369" t="s">
        <v>274</v>
      </c>
      <c r="B37" s="370">
        <v>46316.635023148148</v>
      </c>
      <c r="C37" s="374">
        <v>284</v>
      </c>
      <c r="D37" s="374" t="s">
        <v>274</v>
      </c>
      <c r="E37" s="370">
        <v>46316.635023148148</v>
      </c>
      <c r="F37" s="369">
        <v>1</v>
      </c>
      <c r="G37" s="376" t="s">
        <v>297</v>
      </c>
      <c r="H37" s="374">
        <v>0</v>
      </c>
      <c r="I37" s="374">
        <v>0</v>
      </c>
      <c r="J37" s="374">
        <v>0</v>
      </c>
    </row>
    <row r="38" spans="1:10" ht="14.25" customHeight="1" x14ac:dyDescent="0.25">
      <c r="A38" s="1" t="s">
        <v>277</v>
      </c>
      <c r="B38" s="276">
        <v>46316.635023148148</v>
      </c>
      <c r="C38" s="279">
        <v>1</v>
      </c>
      <c r="D38" s="376" t="s">
        <v>297</v>
      </c>
      <c r="E38" s="276">
        <v>46316.635023148148</v>
      </c>
      <c r="F38" s="137">
        <v>283</v>
      </c>
      <c r="G38" s="137" t="s">
        <v>277</v>
      </c>
      <c r="H38" s="279">
        <v>3885</v>
      </c>
      <c r="I38" s="279">
        <v>15.176000213623047</v>
      </c>
      <c r="J38" s="279">
        <v>259</v>
      </c>
    </row>
    <row r="39" spans="1:10" ht="14.25" customHeight="1" x14ac:dyDescent="0.25">
      <c r="A39" s="369" t="s">
        <v>277</v>
      </c>
      <c r="B39" s="370">
        <v>46316.635023148148</v>
      </c>
      <c r="C39" s="374">
        <v>283</v>
      </c>
      <c r="D39" s="374" t="s">
        <v>277</v>
      </c>
      <c r="E39" s="370">
        <v>46316.635023148148</v>
      </c>
      <c r="F39" s="369">
        <v>1</v>
      </c>
      <c r="G39" s="376" t="s">
        <v>297</v>
      </c>
      <c r="H39" s="374">
        <v>0</v>
      </c>
      <c r="I39" s="374">
        <v>0</v>
      </c>
      <c r="J39" s="374">
        <v>0</v>
      </c>
    </row>
    <row r="40" spans="1:10" ht="14.25" customHeight="1" x14ac:dyDescent="0.25">
      <c r="A40" s="1" t="s">
        <v>276</v>
      </c>
      <c r="B40" s="276">
        <v>46316.635023148148</v>
      </c>
      <c r="C40" s="279">
        <v>1</v>
      </c>
      <c r="D40" s="376" t="s">
        <v>297</v>
      </c>
      <c r="E40" s="276">
        <v>46316.635023148148</v>
      </c>
      <c r="F40" s="137">
        <v>281</v>
      </c>
      <c r="G40" s="137" t="s">
        <v>276</v>
      </c>
      <c r="H40" s="279">
        <v>2520</v>
      </c>
      <c r="I40" s="279">
        <v>10.066000142693518</v>
      </c>
      <c r="J40" s="279">
        <v>168</v>
      </c>
    </row>
    <row r="41" spans="1:10" ht="14.25" customHeight="1" x14ac:dyDescent="0.25">
      <c r="A41" s="369" t="s">
        <v>276</v>
      </c>
      <c r="B41" s="370">
        <v>46316.635023148148</v>
      </c>
      <c r="C41" s="374">
        <v>281</v>
      </c>
      <c r="D41" s="374" t="s">
        <v>276</v>
      </c>
      <c r="E41" s="370">
        <v>46316.635023148148</v>
      </c>
      <c r="F41" s="369">
        <v>1</v>
      </c>
      <c r="G41" s="376" t="s">
        <v>297</v>
      </c>
      <c r="H41" s="374">
        <v>0</v>
      </c>
      <c r="I41" s="374">
        <v>0</v>
      </c>
      <c r="J41" s="374">
        <v>0</v>
      </c>
    </row>
    <row r="42" spans="1:10" ht="14.25" customHeight="1" x14ac:dyDescent="0.25">
      <c r="A42" s="1" t="s">
        <v>275</v>
      </c>
      <c r="B42" s="276">
        <v>46316.635023148148</v>
      </c>
      <c r="C42" s="279">
        <v>1</v>
      </c>
      <c r="D42" s="376" t="s">
        <v>297</v>
      </c>
      <c r="E42" s="276">
        <v>46316.635023148148</v>
      </c>
      <c r="F42" s="137">
        <v>280</v>
      </c>
      <c r="G42" s="137" t="s">
        <v>275</v>
      </c>
      <c r="H42" s="279">
        <v>1155</v>
      </c>
      <c r="I42" s="279">
        <v>6.4600000381469727</v>
      </c>
      <c r="J42" s="279">
        <v>77</v>
      </c>
    </row>
    <row r="43" spans="1:10" ht="14.25" customHeight="1" x14ac:dyDescent="0.25">
      <c r="A43" s="369" t="s">
        <v>275</v>
      </c>
      <c r="B43" s="370">
        <v>46316.635023148148</v>
      </c>
      <c r="C43" s="374">
        <v>280</v>
      </c>
      <c r="D43" s="374" t="s">
        <v>275</v>
      </c>
      <c r="E43" s="370">
        <v>46316.635023148148</v>
      </c>
      <c r="F43" s="369">
        <v>1</v>
      </c>
      <c r="G43" s="376" t="s">
        <v>297</v>
      </c>
      <c r="H43" s="374">
        <v>0</v>
      </c>
      <c r="I43" s="374">
        <v>0</v>
      </c>
      <c r="J43" s="374">
        <v>0</v>
      </c>
    </row>
    <row r="44" spans="1:10" ht="14.25" customHeight="1" x14ac:dyDescent="0.25">
      <c r="A44" s="1" t="s">
        <v>274</v>
      </c>
      <c r="B44" s="276">
        <v>46316.635023148148</v>
      </c>
      <c r="C44" s="279">
        <v>1</v>
      </c>
      <c r="D44" s="376" t="s">
        <v>297</v>
      </c>
      <c r="E44" s="276">
        <v>46316.635023148148</v>
      </c>
      <c r="F44" s="137">
        <v>303</v>
      </c>
      <c r="G44" s="137" t="s">
        <v>274</v>
      </c>
      <c r="H44" s="279">
        <v>1455</v>
      </c>
      <c r="I44" s="279">
        <v>9.8299996256828308</v>
      </c>
      <c r="J44" s="279">
        <v>97</v>
      </c>
    </row>
    <row r="45" spans="1:10" ht="14.25" customHeight="1" x14ac:dyDescent="0.25">
      <c r="A45" s="369" t="s">
        <v>274</v>
      </c>
      <c r="B45" s="370">
        <v>46316.635023148148</v>
      </c>
      <c r="C45" s="374">
        <v>303</v>
      </c>
      <c r="D45" s="374" t="s">
        <v>274</v>
      </c>
      <c r="E45" s="370">
        <v>46316.635023148148</v>
      </c>
      <c r="F45" s="369">
        <v>1</v>
      </c>
      <c r="G45" s="376" t="s">
        <v>297</v>
      </c>
      <c r="H45" s="374">
        <v>0</v>
      </c>
      <c r="I45" s="374">
        <v>0</v>
      </c>
      <c r="J45" s="374">
        <v>0</v>
      </c>
    </row>
    <row r="46" spans="1:10" ht="14.25" customHeight="1" x14ac:dyDescent="0.25">
      <c r="A46" s="1" t="s">
        <v>280</v>
      </c>
      <c r="B46" s="276">
        <v>46316.635023148148</v>
      </c>
      <c r="C46" s="279">
        <v>1</v>
      </c>
      <c r="D46" s="376" t="s">
        <v>297</v>
      </c>
      <c r="E46" s="276">
        <v>46316.635023148148</v>
      </c>
      <c r="F46" s="137">
        <v>302</v>
      </c>
      <c r="G46" s="137" t="s">
        <v>280</v>
      </c>
      <c r="H46" s="279">
        <v>1950</v>
      </c>
      <c r="I46" s="279">
        <v>13.560000121593475</v>
      </c>
      <c r="J46" s="279">
        <v>130</v>
      </c>
    </row>
    <row r="47" spans="1:10" ht="14.25" customHeight="1" x14ac:dyDescent="0.25">
      <c r="A47" s="369" t="s">
        <v>280</v>
      </c>
      <c r="B47" s="370">
        <v>46316.635023148148</v>
      </c>
      <c r="C47" s="374">
        <v>302</v>
      </c>
      <c r="D47" s="374" t="s">
        <v>280</v>
      </c>
      <c r="E47" s="370">
        <v>46316.635023148148</v>
      </c>
      <c r="F47" s="369">
        <v>1</v>
      </c>
      <c r="G47" s="376" t="s">
        <v>297</v>
      </c>
      <c r="H47" s="374">
        <v>0</v>
      </c>
      <c r="I47" s="374">
        <v>0</v>
      </c>
      <c r="J47" s="374">
        <v>0</v>
      </c>
    </row>
    <row r="48" spans="1:10" ht="14.25" customHeight="1" x14ac:dyDescent="0.25">
      <c r="A48" s="1" t="s">
        <v>274</v>
      </c>
      <c r="B48" s="276">
        <v>46316.635023148148</v>
      </c>
      <c r="C48" s="279">
        <v>1</v>
      </c>
      <c r="D48" s="376" t="s">
        <v>297</v>
      </c>
      <c r="E48" s="276">
        <v>46316.635023148148</v>
      </c>
      <c r="F48" s="137">
        <v>296</v>
      </c>
      <c r="G48" s="137" t="s">
        <v>274</v>
      </c>
      <c r="H48" s="279">
        <v>945</v>
      </c>
      <c r="I48" s="279">
        <v>6.4599998593330383</v>
      </c>
      <c r="J48" s="279">
        <v>63</v>
      </c>
    </row>
    <row r="49" spans="1:10" ht="14.25" customHeight="1" x14ac:dyDescent="0.25">
      <c r="A49" s="369" t="s">
        <v>274</v>
      </c>
      <c r="B49" s="370">
        <v>46316.635023148148</v>
      </c>
      <c r="C49" s="374">
        <v>296</v>
      </c>
      <c r="D49" s="374" t="s">
        <v>274</v>
      </c>
      <c r="E49" s="370">
        <v>46316.635023148148</v>
      </c>
      <c r="F49" s="369">
        <v>1</v>
      </c>
      <c r="G49" s="376" t="s">
        <v>297</v>
      </c>
      <c r="H49" s="374">
        <v>0</v>
      </c>
      <c r="I49" s="374">
        <v>0</v>
      </c>
      <c r="J49" s="374">
        <v>0</v>
      </c>
    </row>
    <row r="50" spans="1:10" ht="14.25" customHeight="1" x14ac:dyDescent="0.25">
      <c r="A50" s="1" t="s">
        <v>277</v>
      </c>
      <c r="B50" s="276">
        <v>46316.635023148148</v>
      </c>
      <c r="C50" s="279">
        <v>1</v>
      </c>
      <c r="D50" s="376" t="s">
        <v>297</v>
      </c>
      <c r="E50" s="276">
        <v>46316.635023148148</v>
      </c>
      <c r="F50" s="137">
        <v>295</v>
      </c>
      <c r="G50" s="137" t="s">
        <v>277</v>
      </c>
      <c r="H50" s="279">
        <v>1875</v>
      </c>
      <c r="I50" s="279">
        <v>13.289999783039093</v>
      </c>
      <c r="J50" s="279">
        <v>125</v>
      </c>
    </row>
    <row r="51" spans="1:10" ht="14.25" customHeight="1" x14ac:dyDescent="0.25">
      <c r="A51" s="369" t="s">
        <v>277</v>
      </c>
      <c r="B51" s="370">
        <v>46316.635023148148</v>
      </c>
      <c r="C51" s="374">
        <v>295</v>
      </c>
      <c r="D51" s="374" t="s">
        <v>277</v>
      </c>
      <c r="E51" s="370">
        <v>46316.635023148148</v>
      </c>
      <c r="F51" s="369">
        <v>1</v>
      </c>
      <c r="G51" s="376" t="s">
        <v>297</v>
      </c>
      <c r="H51" s="374">
        <v>0</v>
      </c>
      <c r="I51" s="374">
        <v>0</v>
      </c>
      <c r="J51" s="374">
        <v>0</v>
      </c>
    </row>
    <row r="52" spans="1:10" ht="14.25" customHeight="1" x14ac:dyDescent="0.25">
      <c r="A52" s="1" t="s">
        <v>269</v>
      </c>
      <c r="B52" s="276">
        <v>46316.635023148148</v>
      </c>
      <c r="C52" s="279">
        <v>1</v>
      </c>
      <c r="D52" s="376" t="s">
        <v>297</v>
      </c>
      <c r="E52" s="276">
        <v>46316.635023148148</v>
      </c>
      <c r="F52" s="137">
        <v>299</v>
      </c>
      <c r="G52" s="137" t="s">
        <v>269</v>
      </c>
      <c r="H52" s="279">
        <v>750</v>
      </c>
      <c r="I52" s="279">
        <v>5.0499999225139618</v>
      </c>
      <c r="J52" s="279">
        <v>50</v>
      </c>
    </row>
    <row r="53" spans="1:10" ht="14.25" customHeight="1" x14ac:dyDescent="0.25">
      <c r="A53" s="369" t="s">
        <v>269</v>
      </c>
      <c r="B53" s="370">
        <v>46316.635023148148</v>
      </c>
      <c r="C53" s="374">
        <v>299</v>
      </c>
      <c r="D53" s="374" t="s">
        <v>269</v>
      </c>
      <c r="E53" s="370">
        <v>46316.635023148148</v>
      </c>
      <c r="F53" s="369">
        <v>1</v>
      </c>
      <c r="G53" s="376" t="s">
        <v>297</v>
      </c>
      <c r="H53" s="374">
        <v>0</v>
      </c>
      <c r="I53" s="374">
        <v>0</v>
      </c>
      <c r="J53" s="374">
        <v>0</v>
      </c>
    </row>
    <row r="54" spans="1:10" ht="14.25" customHeight="1" x14ac:dyDescent="0.25">
      <c r="A54" s="1" t="s">
        <v>267</v>
      </c>
      <c r="B54" s="276">
        <v>46316.635023148148</v>
      </c>
      <c r="C54" s="279">
        <v>1</v>
      </c>
      <c r="D54" s="376" t="s">
        <v>297</v>
      </c>
      <c r="E54" s="276">
        <v>46316.635023148148</v>
      </c>
      <c r="F54" s="137">
        <v>298</v>
      </c>
      <c r="G54" s="137" t="s">
        <v>267</v>
      </c>
      <c r="H54" s="279">
        <v>1050</v>
      </c>
      <c r="I54" s="279">
        <v>7.4900000691413879</v>
      </c>
      <c r="J54" s="279">
        <v>70</v>
      </c>
    </row>
    <row r="55" spans="1:10" ht="14.25" customHeight="1" x14ac:dyDescent="0.25">
      <c r="A55" s="369" t="s">
        <v>267</v>
      </c>
      <c r="B55" s="370">
        <v>46316.635023148148</v>
      </c>
      <c r="C55" s="374">
        <v>298</v>
      </c>
      <c r="D55" s="374" t="s">
        <v>267</v>
      </c>
      <c r="E55" s="370">
        <v>46316.635023148148</v>
      </c>
      <c r="F55" s="369">
        <v>1</v>
      </c>
      <c r="G55" s="376" t="s">
        <v>297</v>
      </c>
      <c r="H55" s="374">
        <v>0</v>
      </c>
      <c r="I55" s="374">
        <v>0</v>
      </c>
      <c r="J55" s="374">
        <v>0</v>
      </c>
    </row>
    <row r="56" spans="1:10" ht="14.25" customHeight="1" x14ac:dyDescent="0.25">
      <c r="A56" s="1" t="s">
        <v>275</v>
      </c>
      <c r="B56" s="276">
        <v>46316.635023148148</v>
      </c>
      <c r="C56" s="279">
        <v>1</v>
      </c>
      <c r="D56" s="376" t="s">
        <v>297</v>
      </c>
      <c r="E56" s="276">
        <v>46316.635023148148</v>
      </c>
      <c r="F56" s="137">
        <v>293</v>
      </c>
      <c r="G56" s="137" t="s">
        <v>275</v>
      </c>
      <c r="H56" s="279">
        <v>360</v>
      </c>
      <c r="I56" s="279">
        <v>2.4399999380111694</v>
      </c>
      <c r="J56" s="279">
        <v>24</v>
      </c>
    </row>
    <row r="57" spans="1:10" ht="14.25" customHeight="1" x14ac:dyDescent="0.25">
      <c r="A57" s="369" t="s">
        <v>275</v>
      </c>
      <c r="B57" s="370">
        <v>46316.635023148148</v>
      </c>
      <c r="C57" s="374">
        <v>293</v>
      </c>
      <c r="D57" s="374" t="s">
        <v>275</v>
      </c>
      <c r="E57" s="370">
        <v>46316.635023148148</v>
      </c>
      <c r="F57" s="369">
        <v>1</v>
      </c>
      <c r="G57" s="376" t="s">
        <v>297</v>
      </c>
      <c r="H57" s="374">
        <v>0</v>
      </c>
      <c r="I57" s="374">
        <v>0</v>
      </c>
      <c r="J57" s="374">
        <v>0</v>
      </c>
    </row>
    <row r="58" spans="1:10" ht="14.25" customHeight="1" x14ac:dyDescent="0.25">
      <c r="A58" s="1" t="s">
        <v>268</v>
      </c>
      <c r="B58" s="276">
        <v>46316.635023148148</v>
      </c>
      <c r="C58" s="279">
        <v>1</v>
      </c>
      <c r="D58" s="376" t="s">
        <v>297</v>
      </c>
      <c r="E58" s="276">
        <v>46316.635023148148</v>
      </c>
      <c r="F58" s="137">
        <v>313</v>
      </c>
      <c r="G58" s="137" t="s">
        <v>268</v>
      </c>
      <c r="H58" s="279">
        <v>3645</v>
      </c>
      <c r="I58" s="279">
        <v>26.87999951839447</v>
      </c>
      <c r="J58" s="279">
        <v>243</v>
      </c>
    </row>
    <row r="59" spans="1:10" ht="14.25" customHeight="1" x14ac:dyDescent="0.25">
      <c r="A59" s="369" t="s">
        <v>268</v>
      </c>
      <c r="B59" s="370">
        <v>46316.635023148148</v>
      </c>
      <c r="C59" s="374">
        <v>313</v>
      </c>
      <c r="D59" s="374" t="s">
        <v>268</v>
      </c>
      <c r="E59" s="370">
        <v>46316.635023148148</v>
      </c>
      <c r="F59" s="369">
        <v>1</v>
      </c>
      <c r="G59" s="376" t="s">
        <v>297</v>
      </c>
      <c r="H59" s="374">
        <v>0</v>
      </c>
      <c r="I59" s="374">
        <v>0</v>
      </c>
      <c r="J59" s="374">
        <v>0</v>
      </c>
    </row>
    <row r="60" spans="1:10" ht="14.25" customHeight="1" x14ac:dyDescent="0.25">
      <c r="A60" s="1" t="s">
        <v>273</v>
      </c>
      <c r="B60" s="276">
        <v>46316.635023148148</v>
      </c>
      <c r="C60" s="279">
        <v>1</v>
      </c>
      <c r="D60" s="376" t="s">
        <v>297</v>
      </c>
      <c r="E60" s="276">
        <v>46316.635023148148</v>
      </c>
      <c r="F60" s="137">
        <v>308</v>
      </c>
      <c r="G60" s="137" t="s">
        <v>273</v>
      </c>
      <c r="H60" s="279">
        <v>5385</v>
      </c>
      <c r="I60" s="279">
        <v>39.96999979019165</v>
      </c>
      <c r="J60" s="279">
        <v>359</v>
      </c>
    </row>
    <row r="61" spans="1:10" ht="14.25" customHeight="1" x14ac:dyDescent="0.25">
      <c r="A61" s="369" t="s">
        <v>273</v>
      </c>
      <c r="B61" s="370">
        <v>46316.635023148148</v>
      </c>
      <c r="C61" s="374">
        <v>308</v>
      </c>
      <c r="D61" s="374" t="s">
        <v>273</v>
      </c>
      <c r="E61" s="370">
        <v>46316.635023148148</v>
      </c>
      <c r="F61" s="369">
        <v>1</v>
      </c>
      <c r="G61" s="376" t="s">
        <v>297</v>
      </c>
      <c r="H61" s="374">
        <v>0</v>
      </c>
      <c r="I61" s="374">
        <v>0</v>
      </c>
      <c r="J61" s="374">
        <v>0</v>
      </c>
    </row>
    <row r="62" spans="1:10" ht="14.25" customHeight="1" x14ac:dyDescent="0.25">
      <c r="A62" s="1" t="s">
        <v>280</v>
      </c>
      <c r="B62" s="276">
        <v>46316.635023148148</v>
      </c>
      <c r="C62" s="279">
        <v>1</v>
      </c>
      <c r="D62" s="376" t="s">
        <v>297</v>
      </c>
      <c r="E62" s="276">
        <v>46316.635023148148</v>
      </c>
      <c r="F62" s="137">
        <v>320</v>
      </c>
      <c r="G62" s="137" t="s">
        <v>280</v>
      </c>
      <c r="H62" s="279">
        <v>6435</v>
      </c>
      <c r="I62" s="279">
        <v>46.270001411437988</v>
      </c>
      <c r="J62" s="279">
        <v>429</v>
      </c>
    </row>
    <row r="63" spans="1:10" ht="14.25" customHeight="1" x14ac:dyDescent="0.25">
      <c r="A63" s="369" t="s">
        <v>280</v>
      </c>
      <c r="B63" s="370">
        <v>46316.635023148148</v>
      </c>
      <c r="C63" s="374">
        <v>320</v>
      </c>
      <c r="D63" s="374" t="s">
        <v>280</v>
      </c>
      <c r="E63" s="370">
        <v>46316.635023148148</v>
      </c>
      <c r="F63" s="369">
        <v>1</v>
      </c>
      <c r="G63" s="376" t="s">
        <v>297</v>
      </c>
      <c r="H63" s="374">
        <v>0</v>
      </c>
      <c r="I63" s="374">
        <v>0</v>
      </c>
      <c r="J63" s="374">
        <v>0</v>
      </c>
    </row>
    <row r="64" spans="1:10" ht="14.25" customHeight="1" x14ac:dyDescent="0.25">
      <c r="A64" s="1" t="s">
        <v>270</v>
      </c>
      <c r="B64" s="276">
        <v>46316.635023148148</v>
      </c>
      <c r="C64" s="279">
        <v>1</v>
      </c>
      <c r="D64" s="376" t="s">
        <v>297</v>
      </c>
      <c r="E64" s="276">
        <v>46316.635023148148</v>
      </c>
      <c r="F64" s="137">
        <v>319</v>
      </c>
      <c r="G64" s="137" t="s">
        <v>270</v>
      </c>
      <c r="H64" s="279">
        <v>5370</v>
      </c>
      <c r="I64" s="279">
        <v>26.151999425888061</v>
      </c>
      <c r="J64" s="279">
        <v>358</v>
      </c>
    </row>
    <row r="65" spans="1:10" ht="14.25" customHeight="1" x14ac:dyDescent="0.25">
      <c r="A65" s="369" t="s">
        <v>270</v>
      </c>
      <c r="B65" s="370">
        <v>46316.635023148148</v>
      </c>
      <c r="C65" s="374">
        <v>319</v>
      </c>
      <c r="D65" s="374" t="s">
        <v>270</v>
      </c>
      <c r="E65" s="370">
        <v>46316.635023148148</v>
      </c>
      <c r="F65" s="369">
        <v>1</v>
      </c>
      <c r="G65" s="376" t="s">
        <v>297</v>
      </c>
      <c r="H65" s="374">
        <v>0</v>
      </c>
      <c r="I65" s="374">
        <v>0</v>
      </c>
      <c r="J65" s="374">
        <v>0</v>
      </c>
    </row>
    <row r="66" spans="1:10" ht="14.25" customHeight="1" x14ac:dyDescent="0.25">
      <c r="A66" s="1" t="s">
        <v>278</v>
      </c>
      <c r="B66" s="276">
        <v>46316.635023148148</v>
      </c>
      <c r="C66" s="279">
        <v>1</v>
      </c>
      <c r="D66" s="376" t="s">
        <v>297</v>
      </c>
      <c r="E66" s="276">
        <v>46316.635023148148</v>
      </c>
      <c r="F66" s="137">
        <v>321</v>
      </c>
      <c r="G66" s="137" t="s">
        <v>278</v>
      </c>
      <c r="H66" s="279">
        <v>6225</v>
      </c>
      <c r="I66" s="279">
        <v>42.70999813079834</v>
      </c>
      <c r="J66" s="279">
        <v>415</v>
      </c>
    </row>
    <row r="67" spans="1:10" ht="14.25" customHeight="1" x14ac:dyDescent="0.25">
      <c r="A67" s="369" t="s">
        <v>278</v>
      </c>
      <c r="B67" s="370">
        <v>46316.635023148148</v>
      </c>
      <c r="C67" s="374">
        <v>321</v>
      </c>
      <c r="D67" s="374" t="s">
        <v>278</v>
      </c>
      <c r="E67" s="370">
        <v>46316.635023148148</v>
      </c>
      <c r="F67" s="369">
        <v>1</v>
      </c>
      <c r="G67" s="376" t="s">
        <v>297</v>
      </c>
      <c r="H67" s="374">
        <v>0</v>
      </c>
      <c r="I67" s="374">
        <v>0</v>
      </c>
      <c r="J67" s="374">
        <v>0</v>
      </c>
    </row>
    <row r="68" spans="1:10" ht="14.25" customHeight="1" x14ac:dyDescent="0.25">
      <c r="A68" s="1" t="s">
        <v>274</v>
      </c>
      <c r="B68" s="276">
        <v>46316.635023148148</v>
      </c>
      <c r="C68" s="279">
        <v>1</v>
      </c>
      <c r="D68" s="376" t="s">
        <v>297</v>
      </c>
      <c r="E68" s="276">
        <v>46316.635023148148</v>
      </c>
      <c r="F68" s="137">
        <v>312</v>
      </c>
      <c r="G68" s="137" t="s">
        <v>274</v>
      </c>
      <c r="H68" s="279">
        <v>5085</v>
      </c>
      <c r="I68" s="279">
        <v>36.930001735687256</v>
      </c>
      <c r="J68" s="279">
        <v>339</v>
      </c>
    </row>
    <row r="69" spans="1:10" ht="14.25" customHeight="1" x14ac:dyDescent="0.25">
      <c r="A69" s="1" t="s">
        <v>274</v>
      </c>
      <c r="B69" s="276">
        <v>46316.635023148148</v>
      </c>
      <c r="C69" s="279">
        <v>312</v>
      </c>
      <c r="D69" s="376" t="s">
        <v>274</v>
      </c>
      <c r="E69" s="276">
        <v>46316.635023148148</v>
      </c>
      <c r="F69" s="137">
        <v>1</v>
      </c>
      <c r="G69" s="137" t="s">
        <v>297</v>
      </c>
      <c r="H69" s="279">
        <v>0</v>
      </c>
      <c r="I69" s="279">
        <v>0</v>
      </c>
      <c r="J69" s="279">
        <v>0</v>
      </c>
    </row>
    <row r="70" spans="1:10" ht="14.25" customHeight="1" x14ac:dyDescent="0.25">
      <c r="A70" s="1" t="s">
        <v>277</v>
      </c>
      <c r="B70" s="276">
        <v>46316.635023148148</v>
      </c>
      <c r="C70" s="279">
        <v>1</v>
      </c>
      <c r="D70" s="376" t="s">
        <v>297</v>
      </c>
      <c r="E70" s="276">
        <v>46316.635023148148</v>
      </c>
      <c r="F70" s="137">
        <v>311</v>
      </c>
      <c r="G70" s="137" t="s">
        <v>277</v>
      </c>
      <c r="H70" s="279">
        <v>6135</v>
      </c>
      <c r="I70" s="279">
        <v>41.56000018119812</v>
      </c>
      <c r="J70" s="279">
        <v>409</v>
      </c>
    </row>
    <row r="71" spans="1:10" ht="14.25" customHeight="1" x14ac:dyDescent="0.25">
      <c r="A71" s="369" t="s">
        <v>277</v>
      </c>
      <c r="B71" s="370">
        <v>46316.635023148148</v>
      </c>
      <c r="C71" s="374">
        <v>311</v>
      </c>
      <c r="D71" s="374" t="s">
        <v>277</v>
      </c>
      <c r="E71" s="370">
        <v>46316.635023148148</v>
      </c>
      <c r="F71" s="369">
        <v>1</v>
      </c>
      <c r="G71" s="376" t="s">
        <v>297</v>
      </c>
      <c r="H71" s="374">
        <v>0</v>
      </c>
      <c r="I71" s="374">
        <v>0</v>
      </c>
      <c r="J71" s="374">
        <v>0</v>
      </c>
    </row>
    <row r="72" spans="1:10" ht="14.25" customHeight="1" x14ac:dyDescent="0.25">
      <c r="A72" s="1" t="s">
        <v>276</v>
      </c>
      <c r="B72" s="276">
        <v>46316.635023148148</v>
      </c>
      <c r="C72" s="279">
        <v>1</v>
      </c>
      <c r="D72" s="376" t="s">
        <v>297</v>
      </c>
      <c r="E72" s="276">
        <v>46316.635023148148</v>
      </c>
      <c r="F72" s="137">
        <v>310</v>
      </c>
      <c r="G72" s="137" t="s">
        <v>276</v>
      </c>
      <c r="H72" s="279">
        <v>8280</v>
      </c>
      <c r="I72" s="279">
        <v>42.846999359130855</v>
      </c>
      <c r="J72" s="279">
        <v>552</v>
      </c>
    </row>
    <row r="73" spans="1:10" ht="14.25" customHeight="1" x14ac:dyDescent="0.25">
      <c r="A73" s="369" t="s">
        <v>276</v>
      </c>
      <c r="B73" s="370">
        <v>46316.635023148148</v>
      </c>
      <c r="C73" s="374">
        <v>310</v>
      </c>
      <c r="D73" s="374" t="s">
        <v>276</v>
      </c>
      <c r="E73" s="370">
        <v>46316.635023148148</v>
      </c>
      <c r="F73" s="369">
        <v>1</v>
      </c>
      <c r="G73" s="376" t="s">
        <v>297</v>
      </c>
      <c r="H73" s="374">
        <v>0</v>
      </c>
      <c r="I73" s="374">
        <v>0</v>
      </c>
      <c r="J73" s="374">
        <v>0</v>
      </c>
    </row>
    <row r="74" spans="1:10" ht="14.25" customHeight="1" x14ac:dyDescent="0.25">
      <c r="A74" s="1" t="s">
        <v>267</v>
      </c>
      <c r="B74" s="276">
        <v>46316.635023148148</v>
      </c>
      <c r="C74" s="279">
        <v>1</v>
      </c>
      <c r="D74" s="376" t="s">
        <v>297</v>
      </c>
      <c r="E74" s="276">
        <v>46316.635023148148</v>
      </c>
      <c r="F74" s="137">
        <v>317</v>
      </c>
      <c r="G74" s="137" t="s">
        <v>267</v>
      </c>
      <c r="H74" s="279">
        <v>7290</v>
      </c>
      <c r="I74" s="279">
        <v>37.821000146865842</v>
      </c>
      <c r="J74" s="279">
        <v>486</v>
      </c>
    </row>
    <row r="75" spans="1:10" ht="14.25" customHeight="1" x14ac:dyDescent="0.25">
      <c r="A75" s="369" t="s">
        <v>267</v>
      </c>
      <c r="B75" s="370">
        <v>46316.635023148148</v>
      </c>
      <c r="C75" s="374">
        <v>317</v>
      </c>
      <c r="D75" s="374" t="s">
        <v>267</v>
      </c>
      <c r="E75" s="370">
        <v>46316.635023148148</v>
      </c>
      <c r="F75" s="369">
        <v>1</v>
      </c>
      <c r="G75" s="376" t="s">
        <v>297</v>
      </c>
      <c r="H75" s="374">
        <v>0</v>
      </c>
      <c r="I75" s="374">
        <v>0</v>
      </c>
      <c r="J75" s="374">
        <v>0</v>
      </c>
    </row>
    <row r="76" spans="1:10" ht="14.25" customHeight="1" x14ac:dyDescent="0.25">
      <c r="A76" s="1" t="s">
        <v>270</v>
      </c>
      <c r="B76" s="276">
        <v>46316.635023148148</v>
      </c>
      <c r="C76" s="279">
        <v>1</v>
      </c>
      <c r="D76" s="376" t="s">
        <v>297</v>
      </c>
      <c r="E76" s="276">
        <v>46316.635023148148</v>
      </c>
      <c r="F76" s="137">
        <v>316</v>
      </c>
      <c r="G76" s="137" t="s">
        <v>270</v>
      </c>
      <c r="H76" s="279">
        <v>2265</v>
      </c>
      <c r="I76" s="279">
        <v>13.570000171661377</v>
      </c>
      <c r="J76" s="279">
        <v>151</v>
      </c>
    </row>
    <row r="77" spans="1:10" ht="14.25" customHeight="1" x14ac:dyDescent="0.25">
      <c r="A77" s="369" t="s">
        <v>270</v>
      </c>
      <c r="B77" s="370">
        <v>46316.635023148148</v>
      </c>
      <c r="C77" s="374">
        <v>316</v>
      </c>
      <c r="D77" s="374" t="s">
        <v>270</v>
      </c>
      <c r="E77" s="370">
        <v>46316.635023148148</v>
      </c>
      <c r="F77" s="369">
        <v>1</v>
      </c>
      <c r="G77" s="376" t="s">
        <v>297</v>
      </c>
      <c r="H77" s="374">
        <v>0</v>
      </c>
      <c r="I77" s="374">
        <v>0</v>
      </c>
      <c r="J77" s="374">
        <v>0</v>
      </c>
    </row>
    <row r="78" spans="1:10" ht="15" x14ac:dyDescent="0.25">
      <c r="A78" s="1" t="s">
        <v>277</v>
      </c>
      <c r="B78" s="276">
        <v>46316.635023148148</v>
      </c>
      <c r="C78" s="279">
        <v>1</v>
      </c>
      <c r="D78" s="376" t="s">
        <v>297</v>
      </c>
      <c r="E78" s="276">
        <v>46316.635023148148</v>
      </c>
      <c r="F78" s="137">
        <v>315</v>
      </c>
      <c r="G78" s="137" t="s">
        <v>277</v>
      </c>
      <c r="H78" s="279">
        <v>1530</v>
      </c>
      <c r="I78" s="279">
        <v>8.970000147819519</v>
      </c>
      <c r="J78" s="279">
        <v>102</v>
      </c>
    </row>
    <row r="79" spans="1:10" ht="15" x14ac:dyDescent="0.25">
      <c r="A79" s="369" t="s">
        <v>277</v>
      </c>
      <c r="B79" s="370">
        <v>46316.635023148148</v>
      </c>
      <c r="C79" s="374">
        <v>315</v>
      </c>
      <c r="D79" s="374" t="s">
        <v>277</v>
      </c>
      <c r="E79" s="370">
        <v>46316.635023148148</v>
      </c>
      <c r="F79" s="369">
        <v>1</v>
      </c>
      <c r="G79" s="376" t="s">
        <v>297</v>
      </c>
      <c r="H79" s="374">
        <v>0</v>
      </c>
      <c r="I79" s="374">
        <v>0</v>
      </c>
      <c r="J79" s="374">
        <v>0</v>
      </c>
    </row>
    <row r="80" spans="1:10" ht="14.25" customHeight="1" x14ac:dyDescent="0.25">
      <c r="A80" s="1" t="s">
        <v>271</v>
      </c>
      <c r="B80" s="276">
        <v>46316.635023148148</v>
      </c>
      <c r="C80" s="279">
        <v>1</v>
      </c>
      <c r="D80" s="376" t="s">
        <v>297</v>
      </c>
      <c r="E80" s="276">
        <v>46316.635023148148</v>
      </c>
      <c r="F80" s="137">
        <v>314</v>
      </c>
      <c r="G80" s="137" t="s">
        <v>271</v>
      </c>
      <c r="H80" s="279">
        <v>3135</v>
      </c>
      <c r="I80" s="279">
        <v>12.894000637531279</v>
      </c>
      <c r="J80" s="279">
        <v>209</v>
      </c>
    </row>
    <row r="81" spans="1:10" ht="14.25" customHeight="1" x14ac:dyDescent="0.25">
      <c r="A81" s="369" t="s">
        <v>271</v>
      </c>
      <c r="B81" s="370">
        <v>46316.635023148148</v>
      </c>
      <c r="C81" s="374">
        <v>314</v>
      </c>
      <c r="D81" s="374" t="s">
        <v>271</v>
      </c>
      <c r="E81" s="370">
        <v>46316.635023148148</v>
      </c>
      <c r="F81" s="369">
        <v>1</v>
      </c>
      <c r="G81" s="376" t="s">
        <v>297</v>
      </c>
      <c r="H81" s="374">
        <v>0</v>
      </c>
      <c r="I81" s="374">
        <v>0</v>
      </c>
      <c r="J81" s="374">
        <v>0</v>
      </c>
    </row>
    <row r="82" spans="1:10" ht="14.25" customHeight="1" x14ac:dyDescent="0.25">
      <c r="A82" s="1" t="s">
        <v>270</v>
      </c>
      <c r="B82" s="276">
        <v>46316.635023148148</v>
      </c>
      <c r="C82" s="279">
        <v>1</v>
      </c>
      <c r="D82" s="376" t="s">
        <v>297</v>
      </c>
      <c r="E82" s="276">
        <v>46316.635023148148</v>
      </c>
      <c r="F82" s="137">
        <v>301</v>
      </c>
      <c r="G82" s="137" t="s">
        <v>270</v>
      </c>
      <c r="H82" s="279">
        <v>2220</v>
      </c>
      <c r="I82" s="279">
        <v>15.559999942779541</v>
      </c>
      <c r="J82" s="279">
        <v>148</v>
      </c>
    </row>
    <row r="83" spans="1:10" ht="14.25" customHeight="1" x14ac:dyDescent="0.25">
      <c r="A83" s="369" t="s">
        <v>270</v>
      </c>
      <c r="B83" s="370">
        <v>46316.635023148148</v>
      </c>
      <c r="C83" s="374">
        <v>301</v>
      </c>
      <c r="D83" s="374" t="s">
        <v>270</v>
      </c>
      <c r="E83" s="370">
        <v>46316.635023148148</v>
      </c>
      <c r="F83" s="369">
        <v>1</v>
      </c>
      <c r="G83" s="376" t="s">
        <v>297</v>
      </c>
      <c r="H83" s="374">
        <v>0</v>
      </c>
      <c r="I83" s="374">
        <v>0</v>
      </c>
      <c r="J83" s="374">
        <v>0</v>
      </c>
    </row>
    <row r="84" spans="1:10" ht="14.25" customHeight="1" x14ac:dyDescent="0.25">
      <c r="A84" s="1" t="s">
        <v>279</v>
      </c>
      <c r="B84" s="276">
        <v>46316.635023148148</v>
      </c>
      <c r="C84" s="279">
        <v>1</v>
      </c>
      <c r="D84" s="376" t="s">
        <v>297</v>
      </c>
      <c r="E84" s="276">
        <v>46316.635023148148</v>
      </c>
      <c r="F84" s="137">
        <v>309</v>
      </c>
      <c r="G84" s="137" t="s">
        <v>279</v>
      </c>
      <c r="H84" s="279">
        <v>10775</v>
      </c>
      <c r="I84" s="279">
        <v>81.693332036336258</v>
      </c>
      <c r="J84" s="279">
        <v>718.33333333333337</v>
      </c>
    </row>
    <row r="85" spans="1:10" ht="14.25" customHeight="1" x14ac:dyDescent="0.25">
      <c r="A85" s="369" t="s">
        <v>279</v>
      </c>
      <c r="B85" s="370">
        <v>46316.635023148148</v>
      </c>
      <c r="C85" s="374">
        <v>309</v>
      </c>
      <c r="D85" s="374" t="s">
        <v>279</v>
      </c>
      <c r="E85" s="370">
        <v>46316.635023148148</v>
      </c>
      <c r="F85" s="369">
        <v>1</v>
      </c>
      <c r="G85" s="376" t="s">
        <v>297</v>
      </c>
      <c r="H85" s="374">
        <v>0</v>
      </c>
      <c r="I85" s="374">
        <v>0</v>
      </c>
      <c r="J85" s="374">
        <v>0</v>
      </c>
    </row>
    <row r="86" spans="1:10" ht="14.25" customHeight="1" x14ac:dyDescent="0.25">
      <c r="A86" s="1" t="s">
        <v>268</v>
      </c>
      <c r="B86" s="276">
        <v>46316.635023148148</v>
      </c>
      <c r="C86" s="279">
        <v>1</v>
      </c>
      <c r="D86" s="376" t="s">
        <v>297</v>
      </c>
      <c r="E86" s="276">
        <v>46316.635023148148</v>
      </c>
      <c r="F86" s="137">
        <v>7</v>
      </c>
      <c r="G86" s="137" t="s">
        <v>268</v>
      </c>
      <c r="H86" s="279">
        <v>1755</v>
      </c>
      <c r="I86" s="279">
        <v>11.63999979197979</v>
      </c>
      <c r="J86" s="279">
        <v>117</v>
      </c>
    </row>
    <row r="87" spans="1:10" ht="14.25" customHeight="1" x14ac:dyDescent="0.25">
      <c r="A87" s="369" t="s">
        <v>268</v>
      </c>
      <c r="B87" s="370">
        <v>46316.635023148148</v>
      </c>
      <c r="C87" s="374">
        <v>7</v>
      </c>
      <c r="D87" s="374" t="s">
        <v>268</v>
      </c>
      <c r="E87" s="370">
        <v>46316.635023148148</v>
      </c>
      <c r="F87" s="369">
        <v>1</v>
      </c>
      <c r="G87" s="376" t="s">
        <v>297</v>
      </c>
      <c r="H87" s="374">
        <v>0</v>
      </c>
      <c r="I87" s="374">
        <v>0</v>
      </c>
      <c r="J87" s="374">
        <v>0</v>
      </c>
    </row>
    <row r="88" spans="1:10" ht="14.25" customHeight="1" x14ac:dyDescent="0.25">
      <c r="A88" s="1" t="s">
        <v>268</v>
      </c>
      <c r="B88" s="276">
        <v>46316.635023148148</v>
      </c>
      <c r="C88" s="279">
        <v>1</v>
      </c>
      <c r="D88" s="376" t="s">
        <v>297</v>
      </c>
      <c r="E88" s="276">
        <v>46316.635023148148</v>
      </c>
      <c r="F88" s="137">
        <v>282</v>
      </c>
      <c r="G88" s="137" t="s">
        <v>268</v>
      </c>
      <c r="H88" s="279">
        <v>1890</v>
      </c>
      <c r="I88" s="279">
        <v>11.099999964237213</v>
      </c>
      <c r="J88" s="279">
        <v>126</v>
      </c>
    </row>
    <row r="89" spans="1:10" ht="14.25" customHeight="1" x14ac:dyDescent="0.25">
      <c r="A89" s="1" t="s">
        <v>268</v>
      </c>
      <c r="B89" s="276">
        <v>46316.635023148148</v>
      </c>
      <c r="C89" s="279">
        <v>282</v>
      </c>
      <c r="D89" s="376" t="s">
        <v>268</v>
      </c>
      <c r="E89" s="276">
        <v>46316.635023148148</v>
      </c>
      <c r="F89" s="137">
        <v>1</v>
      </c>
      <c r="G89" s="137" t="s">
        <v>297</v>
      </c>
      <c r="H89" s="279">
        <v>0</v>
      </c>
      <c r="I89" s="279">
        <v>0</v>
      </c>
      <c r="J89" s="279">
        <v>0</v>
      </c>
    </row>
    <row r="90" spans="1:10" ht="14.25" customHeight="1" x14ac:dyDescent="0.25">
      <c r="A90" s="1" t="s">
        <v>268</v>
      </c>
      <c r="B90" s="276">
        <v>46316.635023148148</v>
      </c>
      <c r="C90" s="279">
        <v>1</v>
      </c>
      <c r="D90" s="376" t="s">
        <v>297</v>
      </c>
      <c r="E90" s="276">
        <v>46316.635023148148</v>
      </c>
      <c r="F90" s="137">
        <v>294</v>
      </c>
      <c r="G90" s="137" t="s">
        <v>268</v>
      </c>
      <c r="H90" s="279">
        <v>1155</v>
      </c>
      <c r="I90" s="279">
        <v>8.2199998795986176</v>
      </c>
      <c r="J90" s="279">
        <v>77</v>
      </c>
    </row>
    <row r="91" spans="1:10" ht="14.25" customHeight="1" x14ac:dyDescent="0.25">
      <c r="A91" s="369" t="s">
        <v>268</v>
      </c>
      <c r="B91" s="370">
        <v>46316.635023148148</v>
      </c>
      <c r="C91" s="374">
        <v>294</v>
      </c>
      <c r="D91" s="374" t="s">
        <v>268</v>
      </c>
      <c r="E91" s="370">
        <v>46316.635023148148</v>
      </c>
      <c r="F91" s="369">
        <v>1</v>
      </c>
      <c r="G91" s="376" t="s">
        <v>297</v>
      </c>
      <c r="H91" s="374">
        <v>0</v>
      </c>
      <c r="I91" s="374">
        <v>0</v>
      </c>
      <c r="J91" s="374">
        <v>0</v>
      </c>
    </row>
    <row r="92" spans="1:10" ht="14.25" customHeight="1" x14ac:dyDescent="0.25">
      <c r="A92" s="1" t="s">
        <v>267</v>
      </c>
      <c r="B92" s="276">
        <v>46316.635023148148</v>
      </c>
      <c r="C92" s="279">
        <v>1</v>
      </c>
      <c r="D92" s="376" t="s">
        <v>297</v>
      </c>
      <c r="E92" s="276">
        <v>46316.635023148148</v>
      </c>
      <c r="F92" s="137">
        <v>336</v>
      </c>
      <c r="G92" s="137" t="s">
        <v>267</v>
      </c>
      <c r="H92" s="279">
        <v>2205</v>
      </c>
      <c r="I92" s="279">
        <v>14.35999958217144</v>
      </c>
      <c r="J92" s="279">
        <v>147</v>
      </c>
    </row>
    <row r="93" spans="1:10" ht="14.25" customHeight="1" x14ac:dyDescent="0.25">
      <c r="A93" s="369" t="s">
        <v>267</v>
      </c>
      <c r="B93" s="370">
        <v>46316.635023148148</v>
      </c>
      <c r="C93" s="374">
        <v>336</v>
      </c>
      <c r="D93" s="374" t="s">
        <v>267</v>
      </c>
      <c r="E93" s="370">
        <v>46316.635023148148</v>
      </c>
      <c r="F93" s="369">
        <v>1</v>
      </c>
      <c r="G93" s="376" t="s">
        <v>297</v>
      </c>
      <c r="H93" s="374">
        <v>0</v>
      </c>
      <c r="I93" s="374">
        <v>0</v>
      </c>
      <c r="J93" s="374">
        <v>0</v>
      </c>
    </row>
    <row r="94" spans="1:10" ht="14.25" customHeight="1" x14ac:dyDescent="0.25">
      <c r="A94" s="1" t="s">
        <v>267</v>
      </c>
      <c r="B94" s="276">
        <v>46316.635023148148</v>
      </c>
      <c r="C94" s="279">
        <v>1</v>
      </c>
      <c r="D94" s="376" t="s">
        <v>297</v>
      </c>
      <c r="E94" s="276">
        <v>46316.635023148148</v>
      </c>
      <c r="F94" s="137">
        <v>337</v>
      </c>
      <c r="G94" s="137" t="s">
        <v>267</v>
      </c>
      <c r="H94" s="279">
        <v>2370</v>
      </c>
      <c r="I94" s="279">
        <v>13.920000433921814</v>
      </c>
      <c r="J94" s="279">
        <v>158</v>
      </c>
    </row>
    <row r="95" spans="1:10" ht="14.25" customHeight="1" x14ac:dyDescent="0.25">
      <c r="A95" s="369" t="s">
        <v>267</v>
      </c>
      <c r="B95" s="370">
        <v>46316.635023148148</v>
      </c>
      <c r="C95" s="374">
        <v>337</v>
      </c>
      <c r="D95" s="374" t="s">
        <v>267</v>
      </c>
      <c r="E95" s="370">
        <v>46316.635023148148</v>
      </c>
      <c r="F95" s="369">
        <v>1</v>
      </c>
      <c r="G95" s="376" t="s">
        <v>297</v>
      </c>
      <c r="H95" s="374">
        <v>0</v>
      </c>
      <c r="I95" s="374">
        <v>0</v>
      </c>
      <c r="J95" s="374">
        <v>0</v>
      </c>
    </row>
    <row r="96" spans="1:10" ht="14.25" customHeight="1" x14ac:dyDescent="0.25">
      <c r="A96" s="1" t="s">
        <v>313</v>
      </c>
      <c r="B96" s="276">
        <v>46316.635034722225</v>
      </c>
      <c r="C96" s="279">
        <v>1</v>
      </c>
      <c r="D96" s="376" t="s">
        <v>297</v>
      </c>
      <c r="E96" s="276">
        <v>46316.635034722225</v>
      </c>
      <c r="F96" s="137">
        <v>2358</v>
      </c>
      <c r="G96" s="137" t="s">
        <v>313</v>
      </c>
      <c r="H96" s="279">
        <v>975</v>
      </c>
      <c r="I96" s="279">
        <v>9.2600002288818359</v>
      </c>
      <c r="J96" s="279">
        <v>65</v>
      </c>
    </row>
    <row r="97" spans="1:10" ht="14.25" customHeight="1" x14ac:dyDescent="0.25">
      <c r="A97" s="369" t="s">
        <v>313</v>
      </c>
      <c r="B97" s="370">
        <v>46316.635034722225</v>
      </c>
      <c r="C97" s="374">
        <v>2358</v>
      </c>
      <c r="D97" s="374" t="s">
        <v>313</v>
      </c>
      <c r="E97" s="370">
        <v>46316.635034722225</v>
      </c>
      <c r="F97" s="369">
        <v>1</v>
      </c>
      <c r="G97" s="376" t="s">
        <v>297</v>
      </c>
      <c r="H97" s="374">
        <v>0</v>
      </c>
      <c r="I97" s="374">
        <v>0</v>
      </c>
      <c r="J97" s="374">
        <v>0</v>
      </c>
    </row>
    <row r="98" spans="1:10" ht="14.25" customHeight="1" x14ac:dyDescent="0.25">
      <c r="D98" s="376"/>
    </row>
    <row r="99" spans="1:10" ht="14.25" customHeight="1" x14ac:dyDescent="0.25">
      <c r="A99" s="369"/>
      <c r="B99" s="370"/>
      <c r="C99" s="374"/>
      <c r="D99" s="374"/>
      <c r="E99" s="370"/>
      <c r="F99" s="369"/>
      <c r="G99" s="376"/>
      <c r="H99" s="374"/>
      <c r="I99" s="374"/>
      <c r="J99" s="374"/>
    </row>
    <row r="100" spans="1:10" ht="14.25" customHeight="1" x14ac:dyDescent="0.25">
      <c r="D100" s="376"/>
    </row>
    <row r="101" spans="1:10" ht="14.25" customHeight="1" x14ac:dyDescent="0.25">
      <c r="A101" s="369"/>
      <c r="B101" s="370"/>
      <c r="C101" s="374"/>
      <c r="D101" s="374"/>
      <c r="E101" s="370"/>
      <c r="F101" s="369"/>
      <c r="G101" s="376"/>
      <c r="H101" s="374"/>
      <c r="I101" s="374"/>
      <c r="J101" s="374"/>
    </row>
    <row r="102" spans="1:10" ht="14.25" customHeight="1" x14ac:dyDescent="0.25">
      <c r="D102" s="376"/>
    </row>
    <row r="103" spans="1:10" ht="14.25" customHeight="1" x14ac:dyDescent="0.25">
      <c r="A103" s="369"/>
      <c r="B103" s="370"/>
      <c r="C103" s="374"/>
      <c r="D103" s="374"/>
      <c r="E103" s="370"/>
      <c r="F103" s="369"/>
      <c r="G103" s="376"/>
      <c r="H103" s="374"/>
      <c r="I103" s="374"/>
      <c r="J103" s="374"/>
    </row>
    <row r="104" spans="1:10" ht="14.25" customHeight="1" x14ac:dyDescent="0.25">
      <c r="D104" s="376"/>
    </row>
    <row r="105" spans="1:10" ht="14.25" customHeight="1" x14ac:dyDescent="0.25">
      <c r="A105" s="369"/>
      <c r="B105" s="370"/>
      <c r="C105" s="374"/>
      <c r="D105" s="374"/>
      <c r="E105" s="370"/>
      <c r="F105" s="369"/>
      <c r="G105" s="376"/>
      <c r="H105" s="374"/>
      <c r="I105" s="374"/>
      <c r="J105" s="374"/>
    </row>
  </sheetData>
  <autoFilter ref="A1:J101" xr:uid="{78B9E4E6-5BC2-4E61-884D-317F991FB98B}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B7D62-4043-4C62-85B4-13771CF5E365}">
  <sheetPr codeName="Foglio17">
    <pageSetUpPr fitToPage="1"/>
  </sheetPr>
  <dimension ref="A1:Q53"/>
  <sheetViews>
    <sheetView zoomScale="80" zoomScaleNormal="80" workbookViewId="0">
      <selection activeCell="N15" sqref="N15"/>
    </sheetView>
  </sheetViews>
  <sheetFormatPr defaultColWidth="9.140625" defaultRowHeight="15.75" x14ac:dyDescent="0.25"/>
  <cols>
    <col min="1" max="1" width="17.42578125" style="321" customWidth="1"/>
    <col min="2" max="2" width="33.42578125" style="321" bestFit="1" customWidth="1"/>
    <col min="3" max="3" width="29.85546875" style="321" customWidth="1"/>
    <col min="4" max="4" width="15.140625" style="329" bestFit="1" customWidth="1"/>
    <col min="5" max="8" width="10.7109375" style="321" customWidth="1"/>
    <col min="9" max="11" width="9.140625" style="321"/>
    <col min="12" max="12" width="14.28515625" style="321" customWidth="1"/>
    <col min="13" max="13" width="10.85546875" style="321" bestFit="1" customWidth="1"/>
    <col min="14" max="14" width="14.28515625" style="321" bestFit="1" customWidth="1"/>
    <col min="15" max="15" width="14.42578125" style="321" bestFit="1" customWidth="1"/>
    <col min="16" max="16" width="31.42578125" style="328" customWidth="1"/>
    <col min="17" max="17" width="17.7109375" style="321" bestFit="1" customWidth="1"/>
    <col min="18" max="16384" width="9.140625" style="321"/>
  </cols>
  <sheetData>
    <row r="1" spans="1:17" ht="31.5" x14ac:dyDescent="0.25">
      <c r="A1" s="322" t="s">
        <v>95</v>
      </c>
      <c r="B1" s="322" t="s">
        <v>15</v>
      </c>
      <c r="C1" s="322" t="s">
        <v>76</v>
      </c>
      <c r="D1" s="323" t="s">
        <v>145</v>
      </c>
      <c r="E1" s="322" t="s">
        <v>91</v>
      </c>
      <c r="F1" s="322" t="s">
        <v>92</v>
      </c>
      <c r="G1" s="322" t="s">
        <v>93</v>
      </c>
      <c r="H1" s="322" t="s">
        <v>94</v>
      </c>
      <c r="I1" s="322" t="s">
        <v>111</v>
      </c>
      <c r="L1" s="321" t="s">
        <v>292</v>
      </c>
      <c r="M1" s="321" t="s">
        <v>206</v>
      </c>
      <c r="N1" s="324" t="s">
        <v>245</v>
      </c>
      <c r="O1" s="321" t="s">
        <v>246</v>
      </c>
      <c r="P1" s="321" t="s">
        <v>247</v>
      </c>
      <c r="Q1" s="321" t="s">
        <v>248</v>
      </c>
    </row>
    <row r="2" spans="1:17" x14ac:dyDescent="0.25">
      <c r="A2" s="320">
        <f>+sga!A2</f>
        <v>8601</v>
      </c>
      <c r="B2" s="320" t="str">
        <f>+sga!B2</f>
        <v xml:space="preserve">TER-GRAN SASSO </v>
      </c>
      <c r="C2" s="320" t="str">
        <f>+sga!C2</f>
        <v>BERSHKA</v>
      </c>
      <c r="D2" s="325">
        <f>VLOOKUP(A2,ANALISI!A:O,14,FALSE)</f>
        <v>7.3299999535083771</v>
      </c>
      <c r="E2" s="326">
        <f>_xlfn.IFNA(VLOOKUP(A2,ANALISI!A:O,4,FALSE),0)</f>
        <v>66</v>
      </c>
      <c r="F2" s="326">
        <f>_xlfn.IFNA(VLOOKUP(A2,ANALISI!A:O,5,FALSE),0)</f>
        <v>0</v>
      </c>
      <c r="G2" s="326">
        <f>_xlfn.IFNA(VLOOKUP(A2,ANALISI!A:O,8,FALSE),0)</f>
        <v>6</v>
      </c>
      <c r="H2" s="326">
        <f>_xlfn.IFNA(VLOOKUP(A2,ANALISI!A:O,11,FALSE),0)</f>
        <v>2</v>
      </c>
      <c r="I2" s="327">
        <f>CEILING(D2/1.9,1)</f>
        <v>4</v>
      </c>
      <c r="L2" s="441" t="s">
        <v>49</v>
      </c>
      <c r="M2" s="441">
        <v>5349</v>
      </c>
      <c r="N2" s="442">
        <v>283</v>
      </c>
      <c r="O2" s="326">
        <f>+VLOOKUP(M2,'SPUNTA ARRIVI '!$A$2:$C$76,1,FALSE)</f>
        <v>5349</v>
      </c>
      <c r="P2" s="443" t="str">
        <f>+VLOOKUP(M2,'SPUNTA ARRIVI '!$A$2:$C$76,2,FALSE)</f>
        <v>CC EUROMA2
GIRO 1</v>
      </c>
      <c r="Q2" s="326" t="str">
        <f>+VLOOKUP(M2,'SPUNTA ARRIVI '!$A$2:$C$76,3,FALSE)</f>
        <v>PULL&amp;BEAR</v>
      </c>
    </row>
    <row r="3" spans="1:17" x14ac:dyDescent="0.25">
      <c r="A3" s="320">
        <f>+sga!A3</f>
        <v>8364</v>
      </c>
      <c r="B3" s="320" t="str">
        <f>+sga!B3</f>
        <v xml:space="preserve">ROM-ROMA EST   </v>
      </c>
      <c r="C3" s="320" t="str">
        <f>+sga!C3</f>
        <v>BERSHKA</v>
      </c>
      <c r="D3" s="325">
        <f>VLOOKUP(A3,ANALISI!A:O,14,FALSE)</f>
        <v>14.239999711513519</v>
      </c>
      <c r="E3" s="326">
        <f>_xlfn.IFNA(VLOOKUP(A3,ANALISI!A:O,4,FALSE),0)</f>
        <v>136</v>
      </c>
      <c r="F3" s="326">
        <f>_xlfn.IFNA(VLOOKUP(A3,ANALISI!A:O,5,FALSE),0)</f>
        <v>2</v>
      </c>
      <c r="G3" s="326">
        <f>_xlfn.IFNA(VLOOKUP(A3,ANALISI!A:O,8,FALSE),0)</f>
        <v>11</v>
      </c>
      <c r="H3" s="326">
        <f>_xlfn.IFNA(VLOOKUP(A3,ANALISI!A:O,11,FALSE),0)</f>
        <v>0</v>
      </c>
      <c r="I3" s="327">
        <f t="shared" ref="I3:I53" si="0">CEILING(D3/1.9,1)</f>
        <v>8</v>
      </c>
      <c r="L3" s="444" t="s">
        <v>69</v>
      </c>
      <c r="M3" s="444">
        <v>3503</v>
      </c>
      <c r="N3" s="442">
        <v>317</v>
      </c>
      <c r="O3" s="326">
        <f>+VLOOKUP(M3,'SPUNTA ARRIVI '!$A$2:$C$76,1,FALSE)</f>
        <v>3503</v>
      </c>
      <c r="P3" s="443" t="str">
        <f>+VLOOKUP(M3,'SPUNTA ARRIVI '!$A$2:$C$76,2,FALSE)</f>
        <v>CC Chieti Megalò</v>
      </c>
      <c r="Q3" s="326" t="str">
        <f>+VLOOKUP(M3,'SPUNTA ARRIVI '!$A$2:$C$76,3,FALSE)</f>
        <v>ZARA</v>
      </c>
    </row>
    <row r="4" spans="1:17" x14ac:dyDescent="0.25">
      <c r="A4" s="320">
        <f>+sga!A4</f>
        <v>14825</v>
      </c>
      <c r="B4" s="320" t="str">
        <f>+sga!B4</f>
        <v xml:space="preserve">ROM-P.DI ROMA  </v>
      </c>
      <c r="C4" s="320" t="str">
        <f>+sga!C4</f>
        <v>BERSHKA</v>
      </c>
      <c r="D4" s="325">
        <f>VLOOKUP(A4,ANALISI!A:O,14,FALSE)</f>
        <v>18.160000085830688</v>
      </c>
      <c r="E4" s="326">
        <f>_xlfn.IFNA(VLOOKUP(A4,ANALISI!A:O,4,FALSE),0)</f>
        <v>178</v>
      </c>
      <c r="F4" s="326">
        <f>_xlfn.IFNA(VLOOKUP(A4,ANALISI!A:O,5,FALSE),0)</f>
        <v>2</v>
      </c>
      <c r="G4" s="326">
        <f>_xlfn.IFNA(VLOOKUP(A4,ANALISI!A:O,8,FALSE),0)</f>
        <v>12</v>
      </c>
      <c r="H4" s="326">
        <f>_xlfn.IFNA(VLOOKUP(A4,ANALISI!A:O,11,FALSE),0)</f>
        <v>0</v>
      </c>
      <c r="I4" s="327">
        <f t="shared" si="0"/>
        <v>10</v>
      </c>
      <c r="L4" s="445" t="s">
        <v>52</v>
      </c>
      <c r="M4" s="445">
        <v>6525</v>
      </c>
      <c r="N4" s="442">
        <v>281</v>
      </c>
      <c r="O4" s="326">
        <f>+VLOOKUP(M4,'SPUNTA ARRIVI '!$A$2:$C$76,1,FALSE)</f>
        <v>6525</v>
      </c>
      <c r="P4" s="443" t="str">
        <f>+VLOOKUP(M4,'SPUNTA ARRIVI '!$A$2:$C$76,2,FALSE)</f>
        <v>C. C. Collestrada</v>
      </c>
      <c r="Q4" s="326" t="str">
        <f>+VLOOKUP(M4,'SPUNTA ARRIVI '!$A$2:$C$76,3,FALSE)</f>
        <v>PULL&amp;BEAR</v>
      </c>
    </row>
    <row r="5" spans="1:17" x14ac:dyDescent="0.25">
      <c r="A5" s="320">
        <f>+sga!A5</f>
        <v>12899</v>
      </c>
      <c r="B5" s="320" t="str">
        <f>+sga!B5</f>
        <v xml:space="preserve">ROM-GRAN ROMA  </v>
      </c>
      <c r="C5" s="320" t="str">
        <f>+sga!C5</f>
        <v>BERSHKA</v>
      </c>
      <c r="D5" s="325">
        <f>VLOOKUP(A5,ANALISI!A:O,14,FALSE)</f>
        <v>5.4600001275539398</v>
      </c>
      <c r="E5" s="326">
        <f>_xlfn.IFNA(VLOOKUP(A5,ANALISI!A:O,4,FALSE),0)</f>
        <v>54</v>
      </c>
      <c r="F5" s="326">
        <f>_xlfn.IFNA(VLOOKUP(A5,ANALISI!A:O,5,FALSE),0)</f>
        <v>0</v>
      </c>
      <c r="G5" s="326">
        <f>_xlfn.IFNA(VLOOKUP(A5,ANALISI!A:O,8,FALSE),0)</f>
        <v>4</v>
      </c>
      <c r="H5" s="326">
        <f>_xlfn.IFNA(VLOOKUP(A5,ANALISI!A:O,11,FALSE),0)</f>
        <v>0</v>
      </c>
      <c r="I5" s="327">
        <f t="shared" si="0"/>
        <v>3</v>
      </c>
      <c r="L5" s="441" t="s">
        <v>224</v>
      </c>
      <c r="M5" s="441">
        <v>1984</v>
      </c>
      <c r="N5" s="442">
        <v>314</v>
      </c>
      <c r="O5" s="326">
        <f>+VLOOKUP(M5,'SPUNTA ARRIVI '!$A$2:$C$76,1,FALSE)</f>
        <v>1984</v>
      </c>
      <c r="P5" s="443" t="str">
        <f>+VLOOKUP(M5,'SPUNTA ARRIVI '!$A$2:$C$76,2,FALSE)</f>
        <v>ROMA 
COLA RIENZO</v>
      </c>
      <c r="Q5" s="326" t="str">
        <f>+VLOOKUP(M5,'SPUNTA ARRIVI '!$A$2:$C$76,3,FALSE)</f>
        <v>ZARA HOME</v>
      </c>
    </row>
    <row r="6" spans="1:17" x14ac:dyDescent="0.25">
      <c r="A6" s="320">
        <f>+sga!A6</f>
        <v>8428</v>
      </c>
      <c r="B6" s="320" t="str">
        <f>+sga!B6</f>
        <v xml:space="preserve">ROM-EUROMA2    </v>
      </c>
      <c r="C6" s="320" t="str">
        <f>+sga!C6</f>
        <v>BERSHKA</v>
      </c>
      <c r="D6" s="325">
        <f>VLOOKUP(A6,ANALISI!A:O,14,FALSE)</f>
        <v>15.149999797344208</v>
      </c>
      <c r="E6" s="326">
        <f>_xlfn.IFNA(VLOOKUP(A6,ANALISI!A:O,4,FALSE),0)</f>
        <v>154</v>
      </c>
      <c r="F6" s="326">
        <f>_xlfn.IFNA(VLOOKUP(A6,ANALISI!A:O,5,FALSE),0)</f>
        <v>0</v>
      </c>
      <c r="G6" s="326">
        <f>_xlfn.IFNA(VLOOKUP(A6,ANALISI!A:O,8,FALSE),0)</f>
        <v>7</v>
      </c>
      <c r="H6" s="326">
        <f>_xlfn.IFNA(VLOOKUP(A6,ANALISI!A:O,11,FALSE),0)</f>
        <v>0</v>
      </c>
      <c r="I6" s="327">
        <f t="shared" si="0"/>
        <v>8</v>
      </c>
      <c r="L6" s="441" t="s">
        <v>65</v>
      </c>
      <c r="M6" s="441">
        <v>3680</v>
      </c>
      <c r="N6" s="442">
        <v>319</v>
      </c>
      <c r="O6" s="326">
        <f>+VLOOKUP(M6,'SPUNTA ARRIVI '!$A$2:$C$76,1,FALSE)</f>
        <v>3680</v>
      </c>
      <c r="P6" s="443" t="str">
        <f>+VLOOKUP(M6,'SPUNTA ARRIVI '!$A$2:$C$76,2,FALSE)</f>
        <v>C.C.La Porta di Roma</v>
      </c>
      <c r="Q6" s="326" t="str">
        <f>+VLOOKUP(M6,'SPUNTA ARRIVI '!$A$2:$C$76,3,FALSE)</f>
        <v>ZARA</v>
      </c>
    </row>
    <row r="7" spans="1:17" x14ac:dyDescent="0.25">
      <c r="A7" s="320">
        <f>+sga!A7</f>
        <v>8453</v>
      </c>
      <c r="B7" s="320" t="str">
        <f>+sga!B7</f>
        <v>PER-COLLESTRADA</v>
      </c>
      <c r="C7" s="320" t="str">
        <f>+sga!C7</f>
        <v>BERSHKA</v>
      </c>
      <c r="D7" s="325">
        <f>VLOOKUP(A7,ANALISI!A:O,14,FALSE)</f>
        <v>6.6600000262260437</v>
      </c>
      <c r="E7" s="326">
        <f>_xlfn.IFNA(VLOOKUP(A7,ANALISI!A:O,4,FALSE),0)</f>
        <v>59</v>
      </c>
      <c r="F7" s="326">
        <f>_xlfn.IFNA(VLOOKUP(A7,ANALISI!A:O,5,FALSE),0)</f>
        <v>0</v>
      </c>
      <c r="G7" s="326">
        <f>_xlfn.IFNA(VLOOKUP(A7,ANALISI!A:O,8,FALSE),0)</f>
        <v>4</v>
      </c>
      <c r="H7" s="326">
        <f>_xlfn.IFNA(VLOOKUP(A7,ANALISI!A:O,11,FALSE),0)</f>
        <v>3</v>
      </c>
      <c r="I7" s="327">
        <f t="shared" si="0"/>
        <v>4</v>
      </c>
      <c r="L7" s="441" t="s">
        <v>225</v>
      </c>
      <c r="M7" s="441">
        <v>5367</v>
      </c>
      <c r="N7" s="442">
        <v>289</v>
      </c>
      <c r="O7" s="326">
        <f>+VLOOKUP(M7,'SPUNTA ARRIVI '!$A$2:$C$76,1,FALSE)</f>
        <v>5367</v>
      </c>
      <c r="P7" s="443" t="str">
        <f>+VLOOKUP(M7,'SPUNTA ARRIVI '!$A$2:$C$76,2,FALSE)</f>
        <v>C.C. La Porta di Roma</v>
      </c>
      <c r="Q7" s="326" t="str">
        <f>+VLOOKUP(M7,'SPUNTA ARRIVI '!$A$2:$C$76,3,FALSE)</f>
        <v>PULL&amp;BEAR</v>
      </c>
    </row>
    <row r="8" spans="1:17" x14ac:dyDescent="0.25">
      <c r="A8" s="320">
        <f>+sga!A8</f>
        <v>16037</v>
      </c>
      <c r="B8" s="320" t="str">
        <f>+sga!B8</f>
        <v>LATI-LATINAFIOR</v>
      </c>
      <c r="C8" s="320" t="str">
        <f>+sga!C8</f>
        <v>BERSHKA</v>
      </c>
      <c r="D8" s="325">
        <f>VLOOKUP(A8,ANALISI!A:O,14,FALSE)</f>
        <v>8.629999965429306</v>
      </c>
      <c r="E8" s="326">
        <f>_xlfn.IFNA(VLOOKUP(A8,ANALISI!A:O,4,FALSE),0)</f>
        <v>83</v>
      </c>
      <c r="F8" s="326">
        <f>_xlfn.IFNA(VLOOKUP(A8,ANALISI!A:O,5,FALSE),0)</f>
        <v>0</v>
      </c>
      <c r="G8" s="326">
        <f>_xlfn.IFNA(VLOOKUP(A8,ANALISI!A:O,8,FALSE),0)</f>
        <v>5</v>
      </c>
      <c r="H8" s="326">
        <f>_xlfn.IFNA(VLOOKUP(A8,ANALISI!A:O,11,FALSE),0)</f>
        <v>3</v>
      </c>
      <c r="I8" s="327">
        <f t="shared" si="0"/>
        <v>5</v>
      </c>
      <c r="L8" s="441" t="s">
        <v>286</v>
      </c>
      <c r="M8" s="446">
        <v>8428</v>
      </c>
      <c r="N8" s="442">
        <v>8</v>
      </c>
      <c r="O8" s="326">
        <v>8428</v>
      </c>
      <c r="P8" s="443" t="str">
        <f>+VLOOKUP(M8,'SPUNTA ARRIVI '!$A$2:$C$76,2,FALSE)</f>
        <v>CC EUROMA2
GIRO 1</v>
      </c>
      <c r="Q8" s="326" t="str">
        <f>+VLOOKUP(M8,'SPUNTA ARRIVI '!$A$2:$C$76,3,FALSE)</f>
        <v>BERSHKA</v>
      </c>
    </row>
    <row r="9" spans="1:17" x14ac:dyDescent="0.25">
      <c r="A9" s="320">
        <f>+sga!A9</f>
        <v>11796</v>
      </c>
      <c r="B9" s="320" t="str">
        <f>+sga!B9</f>
        <v>CITT-PESCARA NO</v>
      </c>
      <c r="C9" s="320" t="str">
        <f>+sga!C9</f>
        <v>BERSHKA</v>
      </c>
      <c r="D9" s="325">
        <f>VLOOKUP(A9,ANALISI!A:O,14,FALSE)</f>
        <v>4.5500001311302185</v>
      </c>
      <c r="E9" s="326">
        <f>_xlfn.IFNA(VLOOKUP(A9,ANALISI!A:O,4,FALSE),0)</f>
        <v>42</v>
      </c>
      <c r="F9" s="326">
        <f>_xlfn.IFNA(VLOOKUP(A9,ANALISI!A:O,5,FALSE),0)</f>
        <v>0</v>
      </c>
      <c r="G9" s="326">
        <f>_xlfn.IFNA(VLOOKUP(A9,ANALISI!A:O,8,FALSE),0)</f>
        <v>2</v>
      </c>
      <c r="H9" s="326">
        <f>_xlfn.IFNA(VLOOKUP(A9,ANALISI!A:O,11,FALSE),0)</f>
        <v>2</v>
      </c>
      <c r="I9" s="327">
        <f t="shared" si="0"/>
        <v>3</v>
      </c>
      <c r="L9" s="441" t="s">
        <v>287</v>
      </c>
      <c r="M9" s="446">
        <v>14825</v>
      </c>
      <c r="N9" s="442">
        <v>16</v>
      </c>
      <c r="O9" s="326">
        <v>14825</v>
      </c>
      <c r="P9" s="443" t="str">
        <f>+VLOOKUP(M9,'SPUNTA ARRIVI '!$A$2:$C$76,2,FALSE)</f>
        <v>C.C.La Porta di Roma</v>
      </c>
      <c r="Q9" s="326" t="str">
        <f>+VLOOKUP(M9,'SPUNTA ARRIVI '!$A$2:$C$76,3,FALSE)</f>
        <v>BERSHKA</v>
      </c>
    </row>
    <row r="10" spans="1:17" x14ac:dyDescent="0.25">
      <c r="A10" s="320">
        <f>+sga!A10</f>
        <v>14010</v>
      </c>
      <c r="B10" s="320" t="str">
        <f>+sga!B10</f>
        <v>ROM-OTTAVIANO</v>
      </c>
      <c r="C10" s="320" t="str">
        <f>+sga!C10</f>
        <v>BERSHKA</v>
      </c>
      <c r="D10" s="325">
        <f>VLOOKUP(A10,ANALISI!A:O,14,FALSE)</f>
        <v>20.439999759197235</v>
      </c>
      <c r="E10" s="326">
        <f>_xlfn.IFNA(VLOOKUP(A10,ANALISI!A:O,4,FALSE),0)</f>
        <v>206</v>
      </c>
      <c r="F10" s="326">
        <f>_xlfn.IFNA(VLOOKUP(A10,ANALISI!A:O,5,FALSE),0)</f>
        <v>0</v>
      </c>
      <c r="G10" s="326">
        <f>_xlfn.IFNA(VLOOKUP(A10,ANALISI!A:O,8,FALSE),0)</f>
        <v>7</v>
      </c>
      <c r="H10" s="326">
        <f>_xlfn.IFNA(VLOOKUP(A10,ANALISI!A:O,11,FALSE),0)</f>
        <v>0</v>
      </c>
      <c r="I10" s="327">
        <f t="shared" si="0"/>
        <v>11</v>
      </c>
      <c r="L10" s="447" t="s">
        <v>300</v>
      </c>
      <c r="M10" s="446">
        <v>16723</v>
      </c>
      <c r="N10" s="442">
        <v>310</v>
      </c>
      <c r="O10" s="326">
        <v>16723</v>
      </c>
      <c r="P10" s="443" t="str">
        <f>+VLOOKUP(M10,'SPUNTA ARRIVI '!$A$2:$C$76,2,FALSE)</f>
        <v>C. C. Collestrada</v>
      </c>
      <c r="Q10" s="326" t="s">
        <v>62</v>
      </c>
    </row>
    <row r="11" spans="1:17" x14ac:dyDescent="0.25">
      <c r="A11" s="320">
        <f>+sga!A11</f>
        <v>4518</v>
      </c>
      <c r="B11" s="320" t="str">
        <f>+sga!B11</f>
        <v xml:space="preserve">ROM-EUROMA2    </v>
      </c>
      <c r="C11" s="320" t="str">
        <f>+sga!C11</f>
        <v>MASSIMO DUTTI</v>
      </c>
      <c r="D11" s="325">
        <f>VLOOKUP(A11,ANALISI!A:O,14,FALSE)</f>
        <v>2.9300001263618469</v>
      </c>
      <c r="E11" s="326">
        <f>_xlfn.IFNA(VLOOKUP(A11,ANALISI!A:O,4,FALSE),0)</f>
        <v>23</v>
      </c>
      <c r="F11" s="326">
        <f>_xlfn.IFNA(VLOOKUP(A11,ANALISI!A:O,5,FALSE),0)</f>
        <v>0</v>
      </c>
      <c r="G11" s="326">
        <f>_xlfn.IFNA(VLOOKUP(A11,ANALISI!A:O,8,FALSE),0)</f>
        <v>5</v>
      </c>
      <c r="H11" s="326">
        <f>_xlfn.IFNA(VLOOKUP(A11,ANALISI!A:O,11,FALSE),0)</f>
        <v>0</v>
      </c>
      <c r="I11" s="327">
        <f t="shared" si="0"/>
        <v>2</v>
      </c>
      <c r="L11" s="447" t="s">
        <v>314</v>
      </c>
      <c r="M11" s="447">
        <v>14010</v>
      </c>
      <c r="N11" s="442">
        <v>13</v>
      </c>
      <c r="O11" s="326">
        <v>14010</v>
      </c>
      <c r="P11" s="443" t="str">
        <f>+VLOOKUP(M11,'SPUNTA ARRIVI '!$A$2:$C$76,2,FALSE)</f>
        <v>ROMA VIA OTTAVIANO</v>
      </c>
      <c r="Q11" s="326" t="s">
        <v>31</v>
      </c>
    </row>
    <row r="12" spans="1:17" x14ac:dyDescent="0.25">
      <c r="A12" s="320">
        <f>+sga!A12</f>
        <v>2435</v>
      </c>
      <c r="B12" s="320" t="str">
        <f>+sga!B12</f>
        <v xml:space="preserve">ROM-P.DI ROMA  </v>
      </c>
      <c r="C12" s="320" t="str">
        <f>+sga!C12</f>
        <v xml:space="preserve">OYSHO  </v>
      </c>
      <c r="D12" s="325">
        <f>VLOOKUP(A12,ANALISI!A:O,14,FALSE)</f>
        <v>2.5600000098347664</v>
      </c>
      <c r="E12" s="326">
        <f>_xlfn.IFNA(VLOOKUP(A12,ANALISI!A:O,4,FALSE),0)</f>
        <v>26</v>
      </c>
      <c r="F12" s="326">
        <f>_xlfn.IFNA(VLOOKUP(A12,ANALISI!A:O,5,FALSE),0)</f>
        <v>0</v>
      </c>
      <c r="G12" s="326">
        <f>_xlfn.IFNA(VLOOKUP(A12,ANALISI!A:O,8,FALSE),0)</f>
        <v>2</v>
      </c>
      <c r="H12" s="326">
        <f>_xlfn.IFNA(VLOOKUP(A12,ANALISI!A:O,11,FALSE),0)</f>
        <v>1</v>
      </c>
      <c r="I12" s="327">
        <f t="shared" si="0"/>
        <v>2</v>
      </c>
    </row>
    <row r="13" spans="1:17" x14ac:dyDescent="0.25">
      <c r="A13" s="320">
        <f>+sga!A13</f>
        <v>2414</v>
      </c>
      <c r="B13" s="320" t="str">
        <f>+sga!B13</f>
        <v xml:space="preserve">ROM-EUROMA2    </v>
      </c>
      <c r="C13" s="320" t="str">
        <f>+sga!C13</f>
        <v xml:space="preserve">OYSHO  </v>
      </c>
      <c r="D13" s="325">
        <f>VLOOKUP(A13,ANALISI!A:O,14,FALSE)</f>
        <v>2.6499999240040779</v>
      </c>
      <c r="E13" s="326">
        <f>_xlfn.IFNA(VLOOKUP(A13,ANALISI!A:O,4,FALSE),0)</f>
        <v>27</v>
      </c>
      <c r="F13" s="326">
        <f>_xlfn.IFNA(VLOOKUP(A13,ANALISI!A:O,5,FALSE),0)</f>
        <v>0</v>
      </c>
      <c r="G13" s="326">
        <f>_xlfn.IFNA(VLOOKUP(A13,ANALISI!A:O,8,FALSE),0)</f>
        <v>2</v>
      </c>
      <c r="H13" s="326">
        <f>_xlfn.IFNA(VLOOKUP(A13,ANALISI!A:O,11,FALSE),0)</f>
        <v>1</v>
      </c>
      <c r="I13" s="327">
        <f t="shared" si="0"/>
        <v>2</v>
      </c>
    </row>
    <row r="14" spans="1:17" x14ac:dyDescent="0.25">
      <c r="A14" s="320">
        <f>+sga!A14</f>
        <v>16269</v>
      </c>
      <c r="B14" s="320" t="str">
        <f>+sga!B14</f>
        <v>LATI-LATINAFIOR</v>
      </c>
      <c r="C14" s="320" t="str">
        <f>+sga!C14</f>
        <v>STRADIVARIUS</v>
      </c>
      <c r="D14" s="325">
        <f>VLOOKUP(A14,ANALISI!A:O,14,FALSE)</f>
        <v>10.209999859333038</v>
      </c>
      <c r="E14" s="326">
        <f>_xlfn.IFNA(VLOOKUP(A14,ANALISI!A:O,4,FALSE),0)</f>
        <v>93</v>
      </c>
      <c r="F14" s="326">
        <f>_xlfn.IFNA(VLOOKUP(A14,ANALISI!A:O,5,FALSE),0)</f>
        <v>0</v>
      </c>
      <c r="G14" s="326">
        <f>_xlfn.IFNA(VLOOKUP(A14,ANALISI!A:O,8,FALSE),0)</f>
        <v>6</v>
      </c>
      <c r="H14" s="326">
        <f>_xlfn.IFNA(VLOOKUP(A14,ANALISI!A:O,11,FALSE),0)</f>
        <v>0</v>
      </c>
      <c r="I14" s="327">
        <f t="shared" si="0"/>
        <v>6</v>
      </c>
    </row>
    <row r="15" spans="1:17" x14ac:dyDescent="0.25">
      <c r="A15" s="320">
        <f>+sga!A15</f>
        <v>16060</v>
      </c>
      <c r="B15" s="320" t="str">
        <f>+sga!B15</f>
        <v>LATI-LATINAFIOR</v>
      </c>
      <c r="C15" s="320" t="str">
        <f>+sga!C15</f>
        <v>PULL&amp;BEAR</v>
      </c>
      <c r="D15" s="325">
        <f>VLOOKUP(A15,ANALISI!A:O,14,FALSE)</f>
        <v>13.739999681711197</v>
      </c>
      <c r="E15" s="326">
        <f>_xlfn.IFNA(VLOOKUP(A15,ANALISI!A:O,4,FALSE),0)</f>
        <v>145</v>
      </c>
      <c r="F15" s="326">
        <f>_xlfn.IFNA(VLOOKUP(A15,ANALISI!A:O,5,FALSE),0)</f>
        <v>0</v>
      </c>
      <c r="G15" s="326">
        <f>_xlfn.IFNA(VLOOKUP(A15,ANALISI!A:O,8,FALSE),0)</f>
        <v>5</v>
      </c>
      <c r="H15" s="326">
        <f>_xlfn.IFNA(VLOOKUP(A15,ANALISI!A:O,11,FALSE),0)</f>
        <v>1</v>
      </c>
      <c r="I15" s="327">
        <f t="shared" si="0"/>
        <v>8</v>
      </c>
    </row>
    <row r="16" spans="1:17" x14ac:dyDescent="0.25">
      <c r="A16" s="320">
        <f>+sga!A16</f>
        <v>12152</v>
      </c>
      <c r="B16" s="320" t="str">
        <f>+sga!B16</f>
        <v xml:space="preserve">TER-GRAN SASSO </v>
      </c>
      <c r="C16" s="320" t="str">
        <f>+sga!C16</f>
        <v>PULL&amp;BEAR</v>
      </c>
      <c r="D16" s="325">
        <f>VLOOKUP(A16,ANALISI!A:O,14,FALSE)</f>
        <v>5.9300000965595245</v>
      </c>
      <c r="E16" s="326">
        <f>_xlfn.IFNA(VLOOKUP(A16,ANALISI!A:O,4,FALSE),0)</f>
        <v>63</v>
      </c>
      <c r="F16" s="326">
        <f>_xlfn.IFNA(VLOOKUP(A16,ANALISI!A:O,5,FALSE),0)</f>
        <v>0</v>
      </c>
      <c r="G16" s="326">
        <f>_xlfn.IFNA(VLOOKUP(A16,ANALISI!A:O,8,FALSE),0)</f>
        <v>3</v>
      </c>
      <c r="H16" s="326">
        <f>_xlfn.IFNA(VLOOKUP(A16,ANALISI!A:O,11,FALSE),0)</f>
        <v>1</v>
      </c>
      <c r="I16" s="327">
        <f t="shared" si="0"/>
        <v>4</v>
      </c>
    </row>
    <row r="17" spans="1:9" x14ac:dyDescent="0.25">
      <c r="A17" s="320">
        <f>+sga!A17</f>
        <v>5306</v>
      </c>
      <c r="B17" s="320" t="str">
        <f>+sga!B17</f>
        <v xml:space="preserve">ROM-ROMA EST   </v>
      </c>
      <c r="C17" s="320" t="str">
        <f>+sga!C17</f>
        <v>PULL&amp;BEAR</v>
      </c>
      <c r="D17" s="325">
        <f>VLOOKUP(A17,ANALISI!A:O,14,FALSE)</f>
        <v>12.979999631643295</v>
      </c>
      <c r="E17" s="326">
        <f>_xlfn.IFNA(VLOOKUP(A17,ANALISI!A:O,4,FALSE),0)</f>
        <v>139</v>
      </c>
      <c r="F17" s="326">
        <f>_xlfn.IFNA(VLOOKUP(A17,ANALISI!A:O,5,FALSE),0)</f>
        <v>0</v>
      </c>
      <c r="G17" s="326">
        <f>_xlfn.IFNA(VLOOKUP(A17,ANALISI!A:O,8,FALSE),0)</f>
        <v>7</v>
      </c>
      <c r="H17" s="326">
        <f>_xlfn.IFNA(VLOOKUP(A17,ANALISI!A:O,11,FALSE),0)</f>
        <v>1</v>
      </c>
      <c r="I17" s="327">
        <f t="shared" si="0"/>
        <v>7</v>
      </c>
    </row>
    <row r="18" spans="1:9" x14ac:dyDescent="0.25">
      <c r="A18" s="320">
        <f>+sga!A18</f>
        <v>5367</v>
      </c>
      <c r="B18" s="320" t="str">
        <f>+sga!B18</f>
        <v xml:space="preserve">ROM-P.DI ROMA  </v>
      </c>
      <c r="C18" s="320" t="str">
        <f>+sga!C18</f>
        <v>PULL&amp;BEAR</v>
      </c>
      <c r="D18" s="325">
        <f>VLOOKUP(A18,ANALISI!A:O,14,FALSE)</f>
        <v>22.610000103712082</v>
      </c>
      <c r="E18" s="326">
        <f>_xlfn.IFNA(VLOOKUP(A18,ANALISI!A:O,4,FALSE),0)</f>
        <v>241</v>
      </c>
      <c r="F18" s="326">
        <f>_xlfn.IFNA(VLOOKUP(A18,ANALISI!A:O,5,FALSE),0)</f>
        <v>0</v>
      </c>
      <c r="G18" s="326">
        <f>_xlfn.IFNA(VLOOKUP(A18,ANALISI!A:O,8,FALSE),0)</f>
        <v>17</v>
      </c>
      <c r="H18" s="326">
        <f>_xlfn.IFNA(VLOOKUP(A18,ANALISI!A:O,11,FALSE),0)</f>
        <v>1</v>
      </c>
      <c r="I18" s="327">
        <f t="shared" si="0"/>
        <v>12</v>
      </c>
    </row>
    <row r="19" spans="1:9" x14ac:dyDescent="0.25">
      <c r="A19" s="320">
        <f>+sga!A19</f>
        <v>10504</v>
      </c>
      <c r="B19" s="320" t="str">
        <f>+sga!B19</f>
        <v xml:space="preserve">ROM-GRAN ROMA  </v>
      </c>
      <c r="C19" s="320" t="str">
        <f>+sga!C19</f>
        <v>PULL&amp;BEAR</v>
      </c>
      <c r="D19" s="325">
        <f>VLOOKUP(A19,ANALISI!A:O,14,FALSE)</f>
        <v>7.4499997943639755</v>
      </c>
      <c r="E19" s="326">
        <f>_xlfn.IFNA(VLOOKUP(A19,ANALISI!A:O,4,FALSE),0)</f>
        <v>79</v>
      </c>
      <c r="F19" s="326">
        <f>_xlfn.IFNA(VLOOKUP(A19,ANALISI!A:O,5,FALSE),0)</f>
        <v>0</v>
      </c>
      <c r="G19" s="326">
        <f>_xlfn.IFNA(VLOOKUP(A19,ANALISI!A:O,8,FALSE),0)</f>
        <v>3</v>
      </c>
      <c r="H19" s="326">
        <f>_xlfn.IFNA(VLOOKUP(A19,ANALISI!A:O,11,FALSE),0)</f>
        <v>3</v>
      </c>
      <c r="I19" s="327">
        <f t="shared" si="0"/>
        <v>4</v>
      </c>
    </row>
    <row r="20" spans="1:9" x14ac:dyDescent="0.25">
      <c r="A20" s="320">
        <f>+sga!A20</f>
        <v>5349</v>
      </c>
      <c r="B20" s="320" t="str">
        <f>+sga!B20</f>
        <v>ROM-EUROMA2 APT0</v>
      </c>
      <c r="C20" s="320" t="str">
        <f>+sga!C20</f>
        <v>PULL&amp;BEAR</v>
      </c>
      <c r="D20" s="325">
        <f>VLOOKUP(A20,ANALISI!A:O,14,FALSE)</f>
        <v>21.680000305175781</v>
      </c>
      <c r="E20" s="326">
        <f>_xlfn.IFNA(VLOOKUP(A20,ANALISI!A:O,4,FALSE),0)</f>
        <v>246</v>
      </c>
      <c r="F20" s="326">
        <f>_xlfn.IFNA(VLOOKUP(A20,ANALISI!A:O,5,FALSE),0)</f>
        <v>0</v>
      </c>
      <c r="G20" s="326">
        <f>_xlfn.IFNA(VLOOKUP(A20,ANALISI!A:O,8,FALSE),0)</f>
        <v>13</v>
      </c>
      <c r="H20" s="326">
        <f>_xlfn.IFNA(VLOOKUP(A20,ANALISI!A:O,11,FALSE),0)</f>
        <v>0</v>
      </c>
      <c r="I20" s="327">
        <f t="shared" si="0"/>
        <v>12</v>
      </c>
    </row>
    <row r="21" spans="1:9" x14ac:dyDescent="0.25">
      <c r="A21" s="320">
        <f>+sga!A21</f>
        <v>6525</v>
      </c>
      <c r="B21" s="320" t="str">
        <f>+sga!B21</f>
        <v>PER-COLLESTRADA APT0</v>
      </c>
      <c r="C21" s="320" t="str">
        <f>+sga!C21</f>
        <v>PULL&amp;BEAR</v>
      </c>
      <c r="D21" s="325">
        <f>VLOOKUP(A21,ANALISI!A:O,14,FALSE)</f>
        <v>14.380000203847885</v>
      </c>
      <c r="E21" s="326">
        <f>_xlfn.IFNA(VLOOKUP(A21,ANALISI!A:O,4,FALSE),0)</f>
        <v>155</v>
      </c>
      <c r="F21" s="326">
        <f>_xlfn.IFNA(VLOOKUP(A21,ANALISI!A:O,5,FALSE),0)</f>
        <v>0</v>
      </c>
      <c r="G21" s="326">
        <f>_xlfn.IFNA(VLOOKUP(A21,ANALISI!A:O,8,FALSE),0)</f>
        <v>12</v>
      </c>
      <c r="H21" s="326">
        <f>_xlfn.IFNA(VLOOKUP(A21,ANALISI!A:O,11,FALSE),0)</f>
        <v>1</v>
      </c>
      <c r="I21" s="327">
        <f t="shared" si="0"/>
        <v>8</v>
      </c>
    </row>
    <row r="22" spans="1:9" x14ac:dyDescent="0.25">
      <c r="A22" s="320">
        <f>+sga!A22</f>
        <v>11629</v>
      </c>
      <c r="B22" s="320" t="str">
        <f>+sga!B22</f>
        <v xml:space="preserve">ASC-AL BATTENT </v>
      </c>
      <c r="C22" s="320" t="str">
        <f>+sga!C22</f>
        <v>PULL&amp;BEAR</v>
      </c>
      <c r="D22" s="325">
        <f>VLOOKUP(A22,ANALISI!A:O,14,FALSE)</f>
        <v>6.4600000381469727</v>
      </c>
      <c r="E22" s="326">
        <f>_xlfn.IFNA(VLOOKUP(A22,ANALISI!A:O,4,FALSE),0)</f>
        <v>71</v>
      </c>
      <c r="F22" s="326">
        <f>_xlfn.IFNA(VLOOKUP(A22,ANALISI!A:O,5,FALSE),0)</f>
        <v>0</v>
      </c>
      <c r="G22" s="326">
        <f>_xlfn.IFNA(VLOOKUP(A22,ANALISI!A:O,8,FALSE),0)</f>
        <v>4</v>
      </c>
      <c r="H22" s="326">
        <f>_xlfn.IFNA(VLOOKUP(A22,ANALISI!A:O,11,FALSE),0)</f>
        <v>2</v>
      </c>
      <c r="I22" s="327">
        <f t="shared" si="0"/>
        <v>4</v>
      </c>
    </row>
    <row r="23" spans="1:9" x14ac:dyDescent="0.25">
      <c r="A23" s="320">
        <f>+sga!A23</f>
        <v>7593</v>
      </c>
      <c r="B23" s="320" t="str">
        <f>+sga!B23</f>
        <v>ROM-VIA TUSCOLA</v>
      </c>
      <c r="C23" s="320" t="str">
        <f>+sga!C23</f>
        <v>STRADIVARIUS</v>
      </c>
      <c r="D23" s="325">
        <f>VLOOKUP(A23,ANALISI!A:O,14,FALSE)</f>
        <v>9.8299996256828308</v>
      </c>
      <c r="E23" s="326">
        <f>_xlfn.IFNA(VLOOKUP(A23,ANALISI!A:O,4,FALSE),0)</f>
        <v>93</v>
      </c>
      <c r="F23" s="326">
        <f>_xlfn.IFNA(VLOOKUP(A23,ANALISI!A:O,5,FALSE),0)</f>
        <v>0</v>
      </c>
      <c r="G23" s="326">
        <f>_xlfn.IFNA(VLOOKUP(A23,ANALISI!A:O,8,FALSE),0)</f>
        <v>4</v>
      </c>
      <c r="H23" s="326">
        <f>_xlfn.IFNA(VLOOKUP(A23,ANALISI!A:O,11,FALSE),0)</f>
        <v>0</v>
      </c>
      <c r="I23" s="327">
        <f t="shared" si="0"/>
        <v>6</v>
      </c>
    </row>
    <row r="24" spans="1:9" x14ac:dyDescent="0.25">
      <c r="A24" s="320">
        <f>+sga!A24</f>
        <v>2898</v>
      </c>
      <c r="B24" s="320" t="str">
        <f>+sga!B24</f>
        <v xml:space="preserve">ROM-ROMA EST   </v>
      </c>
      <c r="C24" s="320" t="str">
        <f>+sga!C24</f>
        <v>STRADIVARIUS</v>
      </c>
      <c r="D24" s="325">
        <f>VLOOKUP(A24,ANALISI!A:O,14,FALSE)</f>
        <v>13.560000121593475</v>
      </c>
      <c r="E24" s="326">
        <f>_xlfn.IFNA(VLOOKUP(A24,ANALISI!A:O,4,FALSE),0)</f>
        <v>126</v>
      </c>
      <c r="F24" s="326">
        <f>_xlfn.IFNA(VLOOKUP(A24,ANALISI!A:O,5,FALSE),0)</f>
        <v>0</v>
      </c>
      <c r="G24" s="326">
        <f>_xlfn.IFNA(VLOOKUP(A24,ANALISI!A:O,8,FALSE),0)</f>
        <v>4</v>
      </c>
      <c r="H24" s="326">
        <f>_xlfn.IFNA(VLOOKUP(A24,ANALISI!A:O,11,FALSE),0)</f>
        <v>0</v>
      </c>
      <c r="I24" s="327">
        <f t="shared" si="0"/>
        <v>8</v>
      </c>
    </row>
    <row r="25" spans="1:9" x14ac:dyDescent="0.25">
      <c r="A25" s="320">
        <f>+sga!A25</f>
        <v>12093</v>
      </c>
      <c r="B25" s="320" t="str">
        <f>+sga!B25</f>
        <v xml:space="preserve">ROM-GRAN ROMA  </v>
      </c>
      <c r="C25" s="320" t="str">
        <f>+sga!C25</f>
        <v>STRADIVARIUS</v>
      </c>
      <c r="D25" s="325">
        <f>VLOOKUP(A25,ANALISI!A:O,14,FALSE)</f>
        <v>6.4599998593330383</v>
      </c>
      <c r="E25" s="326">
        <f>_xlfn.IFNA(VLOOKUP(A25,ANALISI!A:O,4,FALSE),0)</f>
        <v>59</v>
      </c>
      <c r="F25" s="326">
        <f>_xlfn.IFNA(VLOOKUP(A25,ANALISI!A:O,5,FALSE),0)</f>
        <v>0</v>
      </c>
      <c r="G25" s="326">
        <f>_xlfn.IFNA(VLOOKUP(A25,ANALISI!A:O,8,FALSE),0)</f>
        <v>4</v>
      </c>
      <c r="H25" s="326">
        <f>_xlfn.IFNA(VLOOKUP(A25,ANALISI!A:O,11,FALSE),0)</f>
        <v>0</v>
      </c>
      <c r="I25" s="327">
        <f t="shared" si="0"/>
        <v>4</v>
      </c>
    </row>
    <row r="26" spans="1:9" x14ac:dyDescent="0.25">
      <c r="A26" s="320">
        <f>+sga!A26</f>
        <v>2917</v>
      </c>
      <c r="B26" s="320" t="str">
        <f>+sga!B26</f>
        <v xml:space="preserve">ROM-EUROMA2    </v>
      </c>
      <c r="C26" s="320" t="str">
        <f>+sga!C26</f>
        <v>STRADIVARIUS</v>
      </c>
      <c r="D26" s="325">
        <f>VLOOKUP(A26,ANALISI!A:O,14,FALSE)</f>
        <v>13.289999783039093</v>
      </c>
      <c r="E26" s="326">
        <f>_xlfn.IFNA(VLOOKUP(A26,ANALISI!A:O,4,FALSE),0)</f>
        <v>119</v>
      </c>
      <c r="F26" s="326">
        <f>_xlfn.IFNA(VLOOKUP(A26,ANALISI!A:O,5,FALSE),0)</f>
        <v>0</v>
      </c>
      <c r="G26" s="326">
        <f>_xlfn.IFNA(VLOOKUP(A26,ANALISI!A:O,8,FALSE),0)</f>
        <v>6</v>
      </c>
      <c r="H26" s="326">
        <f>_xlfn.IFNA(VLOOKUP(A26,ANALISI!A:O,11,FALSE),0)</f>
        <v>0</v>
      </c>
      <c r="I26" s="327">
        <f t="shared" si="0"/>
        <v>7</v>
      </c>
    </row>
    <row r="27" spans="1:9" x14ac:dyDescent="0.25">
      <c r="A27" s="320">
        <f>+sga!A27</f>
        <v>10265</v>
      </c>
      <c r="B27" s="320" t="str">
        <f>+sga!B27</f>
        <v xml:space="preserve">PES-VITTORIO E </v>
      </c>
      <c r="C27" s="320" t="str">
        <f>+sga!C27</f>
        <v>STRADIVARIUS</v>
      </c>
      <c r="D27" s="325">
        <f>VLOOKUP(A27,ANALISI!A:O,14,FALSE)</f>
        <v>5.0499999225139618</v>
      </c>
      <c r="E27" s="326">
        <f>_xlfn.IFNA(VLOOKUP(A27,ANALISI!A:O,4,FALSE),0)</f>
        <v>48</v>
      </c>
      <c r="F27" s="326">
        <f>_xlfn.IFNA(VLOOKUP(A27,ANALISI!A:O,5,FALSE),0)</f>
        <v>0</v>
      </c>
      <c r="G27" s="326">
        <f>_xlfn.IFNA(VLOOKUP(A27,ANALISI!A:O,8,FALSE),0)</f>
        <v>2</v>
      </c>
      <c r="H27" s="326">
        <f>_xlfn.IFNA(VLOOKUP(A27,ANALISI!A:O,11,FALSE),0)</f>
        <v>0</v>
      </c>
      <c r="I27" s="327">
        <f t="shared" si="0"/>
        <v>3</v>
      </c>
    </row>
    <row r="28" spans="1:9" x14ac:dyDescent="0.25">
      <c r="A28" s="320">
        <f>+sga!A28</f>
        <v>7672</v>
      </c>
      <c r="B28" s="320" t="str">
        <f>+sga!B28</f>
        <v>CITT-PESCARA NO</v>
      </c>
      <c r="C28" s="320" t="str">
        <f>+sga!C28</f>
        <v>STRADIVARIUS</v>
      </c>
      <c r="D28" s="325">
        <f>VLOOKUP(A28,ANALISI!A:O,14,FALSE)</f>
        <v>0</v>
      </c>
      <c r="E28" s="326">
        <f>_xlfn.IFNA(VLOOKUP(A28,ANALISI!A:O,4,FALSE),0)</f>
        <v>0</v>
      </c>
      <c r="F28" s="326">
        <f>_xlfn.IFNA(VLOOKUP(A28,ANALISI!A:O,5,FALSE),0)</f>
        <v>0</v>
      </c>
      <c r="G28" s="326">
        <f>_xlfn.IFNA(VLOOKUP(A28,ANALISI!A:O,8,FALSE),0)</f>
        <v>0</v>
      </c>
      <c r="H28" s="326">
        <f>_xlfn.IFNA(VLOOKUP(A28,ANALISI!A:O,11,FALSE),0)</f>
        <v>0</v>
      </c>
      <c r="I28" s="327">
        <f t="shared" si="0"/>
        <v>0</v>
      </c>
    </row>
    <row r="29" spans="1:9" x14ac:dyDescent="0.25">
      <c r="A29" s="320">
        <f>+sga!A29</f>
        <v>16647</v>
      </c>
      <c r="B29" s="320" t="str">
        <f>+sga!B29</f>
        <v xml:space="preserve">CHIETI-MEGALO  </v>
      </c>
      <c r="C29" s="320" t="str">
        <f>+sga!C29</f>
        <v>STRADIVARIUS</v>
      </c>
      <c r="D29" s="325">
        <f>VLOOKUP(A29,ANALISI!A:O,14,FALSE)</f>
        <v>7.4900000691413879</v>
      </c>
      <c r="E29" s="326">
        <f>_xlfn.IFNA(VLOOKUP(A29,ANALISI!A:O,4,FALSE),0)</f>
        <v>67</v>
      </c>
      <c r="F29" s="326">
        <f>_xlfn.IFNA(VLOOKUP(A29,ANALISI!A:O,5,FALSE),0)</f>
        <v>0</v>
      </c>
      <c r="G29" s="326">
        <f>_xlfn.IFNA(VLOOKUP(A29,ANALISI!A:O,8,FALSE),0)</f>
        <v>3</v>
      </c>
      <c r="H29" s="326">
        <f>_xlfn.IFNA(VLOOKUP(A29,ANALISI!A:O,11,FALSE),0)</f>
        <v>0</v>
      </c>
      <c r="I29" s="327">
        <f t="shared" si="0"/>
        <v>4</v>
      </c>
    </row>
    <row r="30" spans="1:9" x14ac:dyDescent="0.25">
      <c r="A30" s="320">
        <f>+sga!A30</f>
        <v>12154</v>
      </c>
      <c r="B30" s="320" t="str">
        <f>+sga!B30</f>
        <v xml:space="preserve">ASC-AL BATTENT </v>
      </c>
      <c r="C30" s="320" t="str">
        <f>+sga!C30</f>
        <v>STRADIVARIUS</v>
      </c>
      <c r="D30" s="325">
        <f>VLOOKUP(A30,ANALISI!A:O,14,FALSE)</f>
        <v>2.4399999380111694</v>
      </c>
      <c r="E30" s="326">
        <f>_xlfn.IFNA(VLOOKUP(A30,ANALISI!A:O,4,FALSE),0)</f>
        <v>20</v>
      </c>
      <c r="F30" s="326">
        <f>_xlfn.IFNA(VLOOKUP(A30,ANALISI!A:O,5,FALSE),0)</f>
        <v>0</v>
      </c>
      <c r="G30" s="326">
        <f>_xlfn.IFNA(VLOOKUP(A30,ANALISI!A:O,8,FALSE),0)</f>
        <v>4</v>
      </c>
      <c r="H30" s="326">
        <f>_xlfn.IFNA(VLOOKUP(A30,ANALISI!A:O,11,FALSE),0)</f>
        <v>0</v>
      </c>
      <c r="I30" s="327">
        <f t="shared" si="0"/>
        <v>2</v>
      </c>
    </row>
    <row r="31" spans="1:9" x14ac:dyDescent="0.25">
      <c r="A31" s="320">
        <f>+sga!A31</f>
        <v>12271</v>
      </c>
      <c r="B31" s="320" t="str">
        <f>+sga!B31</f>
        <v xml:space="preserve">TER-GRAN SASSO </v>
      </c>
      <c r="C31" s="320" t="str">
        <f>+sga!C31</f>
        <v xml:space="preserve">ZARA   </v>
      </c>
      <c r="D31" s="325">
        <f>VLOOKUP(A31,ANALISI!A:O,14,FALSE)</f>
        <v>26.87999951839447</v>
      </c>
      <c r="E31" s="326">
        <f>_xlfn.IFNA(VLOOKUP(A31,ANALISI!A:O,4,FALSE),0)</f>
        <v>220</v>
      </c>
      <c r="F31" s="326">
        <f>_xlfn.IFNA(VLOOKUP(A31,ANALISI!A:O,5,FALSE),0)</f>
        <v>10</v>
      </c>
      <c r="G31" s="326">
        <f>_xlfn.IFNA(VLOOKUP(A31,ANALISI!A:O,8,FALSE),0)</f>
        <v>13</v>
      </c>
      <c r="H31" s="326">
        <f>_xlfn.IFNA(VLOOKUP(A31,ANALISI!A:O,11,FALSE),0)</f>
        <v>0</v>
      </c>
      <c r="I31" s="327">
        <f t="shared" si="0"/>
        <v>15</v>
      </c>
    </row>
    <row r="32" spans="1:9" x14ac:dyDescent="0.25">
      <c r="A32" s="320">
        <f>+sga!A32</f>
        <v>1265</v>
      </c>
      <c r="B32" s="320" t="str">
        <f>+sga!B32</f>
        <v xml:space="preserve">TER-GRAN SASSO </v>
      </c>
      <c r="C32" s="320" t="str">
        <f>+sga!C32</f>
        <v xml:space="preserve">ZARA   </v>
      </c>
      <c r="D32" s="325">
        <f>VLOOKUP(A32,ANALISI!A:O,14,FALSE)</f>
        <v>39.96999979019165</v>
      </c>
      <c r="E32" s="326">
        <f>_xlfn.IFNA(VLOOKUP(A32,ANALISI!A:O,4,FALSE),0)</f>
        <v>299</v>
      </c>
      <c r="F32" s="326">
        <f>_xlfn.IFNA(VLOOKUP(A32,ANALISI!A:O,5,FALSE),0)</f>
        <v>24</v>
      </c>
      <c r="G32" s="326">
        <f>_xlfn.IFNA(VLOOKUP(A32,ANALISI!A:O,8,FALSE),0)</f>
        <v>36</v>
      </c>
      <c r="H32" s="326">
        <f>_xlfn.IFNA(VLOOKUP(A32,ANALISI!A:O,11,FALSE),0)</f>
        <v>0</v>
      </c>
      <c r="I32" s="327">
        <f t="shared" si="0"/>
        <v>22</v>
      </c>
    </row>
    <row r="33" spans="1:9" x14ac:dyDescent="0.25">
      <c r="A33" s="320">
        <f>+sga!A33</f>
        <v>3534</v>
      </c>
      <c r="B33" s="320" t="str">
        <f>+sga!B33</f>
        <v xml:space="preserve">ROM-ROMA EST   </v>
      </c>
      <c r="C33" s="320" t="str">
        <f>+sga!C33</f>
        <v xml:space="preserve">ZARA   </v>
      </c>
      <c r="D33" s="325">
        <f>VLOOKUP(A33,ANALISI!A:O,14,FALSE)</f>
        <v>46.270001411437988</v>
      </c>
      <c r="E33" s="326">
        <f>_xlfn.IFNA(VLOOKUP(A33,ANALISI!A:O,4,FALSE),0)</f>
        <v>370</v>
      </c>
      <c r="F33" s="326">
        <f>_xlfn.IFNA(VLOOKUP(A33,ANALISI!A:O,5,FALSE),0)</f>
        <v>28</v>
      </c>
      <c r="G33" s="326">
        <f>_xlfn.IFNA(VLOOKUP(A33,ANALISI!A:O,8,FALSE),0)</f>
        <v>31</v>
      </c>
      <c r="H33" s="326">
        <f>_xlfn.IFNA(VLOOKUP(A33,ANALISI!A:O,11,FALSE),0)</f>
        <v>0</v>
      </c>
      <c r="I33" s="327">
        <f t="shared" si="0"/>
        <v>25</v>
      </c>
    </row>
    <row r="34" spans="1:9" x14ac:dyDescent="0.25">
      <c r="A34" s="320">
        <f>+sga!A34</f>
        <v>3680</v>
      </c>
      <c r="B34" s="320" t="str">
        <f>+sga!B34</f>
        <v xml:space="preserve">ROM-P.DI ROMA  </v>
      </c>
      <c r="C34" s="320" t="str">
        <f>+sga!C34</f>
        <v>ZARA</v>
      </c>
      <c r="D34" s="325">
        <f>VLOOKUP(A34,ANALISI!A:O,14,FALSE)</f>
        <v>37.359999179840088</v>
      </c>
      <c r="E34" s="326">
        <f>_xlfn.IFNA(VLOOKUP(A34,ANALISI!A:O,4,FALSE),0)</f>
        <v>273</v>
      </c>
      <c r="F34" s="326">
        <f>_xlfn.IFNA(VLOOKUP(A34,ANALISI!A:O,5,FALSE),0)</f>
        <v>37</v>
      </c>
      <c r="G34" s="326">
        <f>_xlfn.IFNA(VLOOKUP(A34,ANALISI!A:O,8,FALSE),0)</f>
        <v>48</v>
      </c>
      <c r="H34" s="326">
        <f>_xlfn.IFNA(VLOOKUP(A34,ANALISI!A:O,11,FALSE),0)</f>
        <v>0</v>
      </c>
      <c r="I34" s="327">
        <f t="shared" si="0"/>
        <v>20</v>
      </c>
    </row>
    <row r="35" spans="1:9" x14ac:dyDescent="0.25">
      <c r="A35" s="320">
        <f>+sga!A35</f>
        <v>9226</v>
      </c>
      <c r="B35" s="320" t="str">
        <f>+sga!B35</f>
        <v xml:space="preserve">ROM-P BOCCONI  </v>
      </c>
      <c r="C35" s="320" t="str">
        <f>+sga!C35</f>
        <v xml:space="preserve">ZARA   </v>
      </c>
      <c r="D35" s="325">
        <f>VLOOKUP(A35,ANALISI!A:O,14,FALSE)</f>
        <v>42.70999813079834</v>
      </c>
      <c r="E35" s="326">
        <f>_xlfn.IFNA(VLOOKUP(A35,ANALISI!A:O,4,FALSE),0)</f>
        <v>280</v>
      </c>
      <c r="F35" s="326">
        <f>_xlfn.IFNA(VLOOKUP(A35,ANALISI!A:O,5,FALSE),0)</f>
        <v>61</v>
      </c>
      <c r="G35" s="326">
        <f>_xlfn.IFNA(VLOOKUP(A35,ANALISI!A:O,8,FALSE),0)</f>
        <v>74</v>
      </c>
      <c r="H35" s="326">
        <f>_xlfn.IFNA(VLOOKUP(A35,ANALISI!A:O,11,FALSE),0)</f>
        <v>0</v>
      </c>
      <c r="I35" s="327">
        <f t="shared" si="0"/>
        <v>23</v>
      </c>
    </row>
    <row r="36" spans="1:9" x14ac:dyDescent="0.25">
      <c r="A36" s="320">
        <f>+sga!A36</f>
        <v>12059</v>
      </c>
      <c r="B36" s="320" t="str">
        <f>+sga!B36</f>
        <v xml:space="preserve">ROM-GRAN ROMA  </v>
      </c>
      <c r="C36" s="320" t="str">
        <f>+sga!C36</f>
        <v xml:space="preserve">ZARA   </v>
      </c>
      <c r="D36" s="325">
        <f>VLOOKUP(A36,ANALISI!A:O,14,FALSE)</f>
        <v>36.930001735687256</v>
      </c>
      <c r="E36" s="326">
        <f>_xlfn.IFNA(VLOOKUP(A36,ANALISI!A:O,4,FALSE),0)</f>
        <v>306</v>
      </c>
      <c r="F36" s="326">
        <f>_xlfn.IFNA(VLOOKUP(A36,ANALISI!A:O,5,FALSE),0)</f>
        <v>13</v>
      </c>
      <c r="G36" s="326">
        <f>_xlfn.IFNA(VLOOKUP(A36,ANALISI!A:O,8,FALSE),0)</f>
        <v>20</v>
      </c>
      <c r="H36" s="326">
        <f>_xlfn.IFNA(VLOOKUP(A36,ANALISI!A:O,11,FALSE),0)</f>
        <v>0</v>
      </c>
      <c r="I36" s="327">
        <f t="shared" si="0"/>
        <v>20</v>
      </c>
    </row>
    <row r="37" spans="1:9" x14ac:dyDescent="0.25">
      <c r="A37" s="320">
        <f>+sga!A37</f>
        <v>3591</v>
      </c>
      <c r="B37" s="320" t="str">
        <f>+sga!B37</f>
        <v xml:space="preserve">ROM-EUROMA2    </v>
      </c>
      <c r="C37" s="320" t="str">
        <f>+sga!C37</f>
        <v xml:space="preserve">ZARA   </v>
      </c>
      <c r="D37" s="325">
        <f>VLOOKUP(A37,ANALISI!A:O,14,FALSE)</f>
        <v>41.56000018119812</v>
      </c>
      <c r="E37" s="326">
        <f>_xlfn.IFNA(VLOOKUP(A37,ANALISI!A:O,4,FALSE),0)</f>
        <v>332</v>
      </c>
      <c r="F37" s="326">
        <f>_xlfn.IFNA(VLOOKUP(A37,ANALISI!A:O,5,FALSE),0)</f>
        <v>36</v>
      </c>
      <c r="G37" s="326">
        <f>_xlfn.IFNA(VLOOKUP(A37,ANALISI!A:O,8,FALSE),0)</f>
        <v>41</v>
      </c>
      <c r="H37" s="326">
        <f>_xlfn.IFNA(VLOOKUP(A37,ANALISI!A:O,11,FALSE),0)</f>
        <v>0</v>
      </c>
      <c r="I37" s="327">
        <f t="shared" si="0"/>
        <v>22</v>
      </c>
    </row>
    <row r="38" spans="1:9" x14ac:dyDescent="0.25">
      <c r="A38" s="320">
        <f>+sga!A38</f>
        <v>16723</v>
      </c>
      <c r="B38" s="320" t="str">
        <f>+sga!B38</f>
        <v>PER-COLLESTRADA</v>
      </c>
      <c r="C38" s="320" t="str">
        <f>+sga!C38</f>
        <v xml:space="preserve">ZARA   </v>
      </c>
      <c r="D38" s="325">
        <f>VLOOKUP(A38,ANALISI!A:O,14,FALSE)</f>
        <v>61.209999084472656</v>
      </c>
      <c r="E38" s="326">
        <f>_xlfn.IFNA(VLOOKUP(A38,ANALISI!A:O,4,FALSE),0)</f>
        <v>480</v>
      </c>
      <c r="F38" s="326">
        <f>_xlfn.IFNA(VLOOKUP(A38,ANALISI!A:O,5,FALSE),0)</f>
        <v>24</v>
      </c>
      <c r="G38" s="326">
        <f>_xlfn.IFNA(VLOOKUP(A38,ANALISI!A:O,8,FALSE),0)</f>
        <v>48</v>
      </c>
      <c r="H38" s="326">
        <f>_xlfn.IFNA(VLOOKUP(A38,ANALISI!A:O,11,FALSE),0)</f>
        <v>0</v>
      </c>
      <c r="I38" s="327">
        <f t="shared" si="0"/>
        <v>33</v>
      </c>
    </row>
    <row r="39" spans="1:9" x14ac:dyDescent="0.25">
      <c r="A39" s="320">
        <f>+sga!A39</f>
        <v>3494</v>
      </c>
      <c r="B39" s="320" t="str">
        <f>+sga!B39</f>
        <v xml:space="preserve">FIUM-LEONARDO  </v>
      </c>
      <c r="C39" s="320" t="str">
        <f>+sga!C39</f>
        <v xml:space="preserve">ZARA   </v>
      </c>
      <c r="D39" s="325">
        <f>VLOOKUP(A39,ANALISI!A:O,14,FALSE)</f>
        <v>0</v>
      </c>
      <c r="E39" s="326">
        <f>_xlfn.IFNA(VLOOKUP(A39,ANALISI!A:O,4,FALSE),0)</f>
        <v>0</v>
      </c>
      <c r="F39" s="326">
        <f>_xlfn.IFNA(VLOOKUP(A39,ANALISI!A:O,5,FALSE),0)</f>
        <v>0</v>
      </c>
      <c r="G39" s="326">
        <f>_xlfn.IFNA(VLOOKUP(A39,ANALISI!A:O,8,FALSE),0)</f>
        <v>0</v>
      </c>
      <c r="H39" s="326">
        <f>_xlfn.IFNA(VLOOKUP(A39,ANALISI!A:O,11,FALSE),0)</f>
        <v>0</v>
      </c>
      <c r="I39" s="327">
        <f t="shared" si="0"/>
        <v>0</v>
      </c>
    </row>
    <row r="40" spans="1:9" x14ac:dyDescent="0.25">
      <c r="A40" s="320">
        <f>+sga!A40</f>
        <v>3503</v>
      </c>
      <c r="B40" s="320" t="str">
        <f>+sga!B40</f>
        <v xml:space="preserve">CHIETI-MEGALO APT0  </v>
      </c>
      <c r="C40" s="320" t="str">
        <f>+sga!C40</f>
        <v>ZARA</v>
      </c>
      <c r="D40" s="325">
        <f>VLOOKUP(A40,ANALISI!A:O,14,FALSE)</f>
        <v>54.03000020980835</v>
      </c>
      <c r="E40" s="326">
        <f>_xlfn.IFNA(VLOOKUP(A40,ANALISI!A:O,4,FALSE),0)</f>
        <v>430</v>
      </c>
      <c r="F40" s="326">
        <f>_xlfn.IFNA(VLOOKUP(A40,ANALISI!A:O,5,FALSE),0)</f>
        <v>16</v>
      </c>
      <c r="G40" s="326">
        <f>_xlfn.IFNA(VLOOKUP(A40,ANALISI!A:O,8,FALSE),0)</f>
        <v>40</v>
      </c>
      <c r="H40" s="326">
        <f>_xlfn.IFNA(VLOOKUP(A40,ANALISI!A:O,11,FALSE),0)</f>
        <v>0</v>
      </c>
      <c r="I40" s="327">
        <f t="shared" si="0"/>
        <v>29</v>
      </c>
    </row>
    <row r="41" spans="1:9" x14ac:dyDescent="0.25">
      <c r="A41" s="320">
        <f>+sga!A41</f>
        <v>1971</v>
      </c>
      <c r="B41" s="320" t="str">
        <f>+sga!B41</f>
        <v xml:space="preserve">ROM-P.DI ROMA  </v>
      </c>
      <c r="C41" s="320" t="str">
        <f>+sga!C41</f>
        <v>ZARA HOME</v>
      </c>
      <c r="D41" s="325">
        <f>VLOOKUP(A41,ANALISI!A:O,14,FALSE)</f>
        <v>13.570000171661377</v>
      </c>
      <c r="E41" s="326">
        <f>_xlfn.IFNA(VLOOKUP(A41,ANALISI!A:O,4,FALSE),0)</f>
        <v>140</v>
      </c>
      <c r="F41" s="326">
        <f>_xlfn.IFNA(VLOOKUP(A41,ANALISI!A:O,5,FALSE),0)</f>
        <v>0</v>
      </c>
      <c r="G41" s="326">
        <f>_xlfn.IFNA(VLOOKUP(A41,ANALISI!A:O,8,FALSE),0)</f>
        <v>0</v>
      </c>
      <c r="H41" s="326">
        <f>_xlfn.IFNA(VLOOKUP(A41,ANALISI!A:O,11,FALSE),0)</f>
        <v>11</v>
      </c>
      <c r="I41" s="327">
        <f t="shared" si="0"/>
        <v>8</v>
      </c>
    </row>
    <row r="42" spans="1:9" x14ac:dyDescent="0.25">
      <c r="A42" s="320">
        <f>+sga!A42</f>
        <v>1755</v>
      </c>
      <c r="B42" s="320" t="str">
        <f>+sga!B42</f>
        <v xml:space="preserve">ROM-EUROMA2    </v>
      </c>
      <c r="C42" s="320" t="str">
        <f>+sga!C42</f>
        <v>ZARA HOME</v>
      </c>
      <c r="D42" s="325">
        <f>VLOOKUP(A42,ANALISI!A:O,14,FALSE)</f>
        <v>8.970000147819519</v>
      </c>
      <c r="E42" s="326">
        <f>_xlfn.IFNA(VLOOKUP(A42,ANALISI!A:O,4,FALSE),0)</f>
        <v>88</v>
      </c>
      <c r="F42" s="326">
        <f>_xlfn.IFNA(VLOOKUP(A42,ANALISI!A:O,5,FALSE),0)</f>
        <v>0</v>
      </c>
      <c r="G42" s="326">
        <f>_xlfn.IFNA(VLOOKUP(A42,ANALISI!A:O,8,FALSE),0)</f>
        <v>0</v>
      </c>
      <c r="H42" s="326">
        <f>_xlfn.IFNA(VLOOKUP(A42,ANALISI!A:O,11,FALSE),0)</f>
        <v>14</v>
      </c>
      <c r="I42" s="327">
        <f t="shared" si="0"/>
        <v>5</v>
      </c>
    </row>
    <row r="43" spans="1:9" x14ac:dyDescent="0.25">
      <c r="A43" s="320">
        <f>+sga!A43</f>
        <v>1984</v>
      </c>
      <c r="B43" s="320" t="str">
        <f>+sga!B43</f>
        <v>ROM-COLA RIENZO</v>
      </c>
      <c r="C43" s="320" t="str">
        <f>+sga!C43</f>
        <v>ZARA HOME</v>
      </c>
      <c r="D43" s="325">
        <f>VLOOKUP(A43,ANALISI!A:O,14,FALSE)</f>
        <v>18.420000910758972</v>
      </c>
      <c r="E43" s="326">
        <f>_xlfn.IFNA(VLOOKUP(A43,ANALISI!A:O,4,FALSE),0)</f>
        <v>186</v>
      </c>
      <c r="F43" s="326">
        <f>_xlfn.IFNA(VLOOKUP(A43,ANALISI!A:O,5,FALSE),0)</f>
        <v>6</v>
      </c>
      <c r="G43" s="326">
        <f>_xlfn.IFNA(VLOOKUP(A43,ANALISI!A:O,8,FALSE),0)</f>
        <v>0</v>
      </c>
      <c r="H43" s="326">
        <f>_xlfn.IFNA(VLOOKUP(A43,ANALISI!A:O,11,FALSE),0)</f>
        <v>17</v>
      </c>
      <c r="I43" s="327">
        <f t="shared" si="0"/>
        <v>10</v>
      </c>
    </row>
    <row r="44" spans="1:9" x14ac:dyDescent="0.25">
      <c r="A44" s="320">
        <f>+sga!A44</f>
        <v>6760</v>
      </c>
      <c r="B44" s="320" t="str">
        <f>+sga!B44</f>
        <v xml:space="preserve">ROM-P.DI ROMA  </v>
      </c>
      <c r="C44" s="320" t="str">
        <f>+sga!C44</f>
        <v>STRADIVARIUS</v>
      </c>
      <c r="D44" s="325">
        <f>VLOOKUP(A44,ANALISI!A:O,14,FALSE)</f>
        <v>15.559999942779541</v>
      </c>
      <c r="E44" s="326">
        <f>_xlfn.IFNA(VLOOKUP(A44,ANALISI!A:O,4,FALSE),0)</f>
        <v>137</v>
      </c>
      <c r="F44" s="326">
        <f>_xlfn.IFNA(VLOOKUP(A44,ANALISI!A:O,5,FALSE),0)</f>
        <v>0</v>
      </c>
      <c r="G44" s="326">
        <f>_xlfn.IFNA(VLOOKUP(A44,ANALISI!A:O,8,FALSE),0)</f>
        <v>11</v>
      </c>
      <c r="H44" s="326">
        <f>_xlfn.IFNA(VLOOKUP(A44,ANALISI!A:O,11,FALSE),0)</f>
        <v>0</v>
      </c>
      <c r="I44" s="327">
        <f t="shared" si="0"/>
        <v>9</v>
      </c>
    </row>
    <row r="45" spans="1:9" x14ac:dyDescent="0.25">
      <c r="A45" s="320">
        <f>+sga!A45</f>
        <v>15733</v>
      </c>
      <c r="B45" s="320" t="str">
        <f>+sga!B45</f>
        <v>CD2-IT-ROMA</v>
      </c>
      <c r="C45" s="320" t="str">
        <f>+sga!C45</f>
        <v xml:space="preserve">ZARA   </v>
      </c>
      <c r="D45" s="325">
        <f>VLOOKUP(A45,ANALISI!A:O,14,FALSE)</f>
        <v>245.07999610900879</v>
      </c>
      <c r="E45" s="326">
        <f>_xlfn.IFNA(VLOOKUP(A45,ANALISI!A:O,4,FALSE),0)</f>
        <v>1959</v>
      </c>
      <c r="F45" s="326">
        <f>_xlfn.IFNA(VLOOKUP(A45,ANALISI!A:O,5,FALSE),0)</f>
        <v>34</v>
      </c>
      <c r="G45" s="326">
        <f>_xlfn.IFNA(VLOOKUP(A45,ANALISI!A:O,8,FALSE),0)</f>
        <v>162</v>
      </c>
      <c r="H45" s="326">
        <f>_xlfn.IFNA(VLOOKUP(A45,ANALISI!A:O,11,FALSE),0)</f>
        <v>0</v>
      </c>
      <c r="I45" s="327">
        <f t="shared" si="0"/>
        <v>129</v>
      </c>
    </row>
    <row r="46" spans="1:9" x14ac:dyDescent="0.25">
      <c r="A46" s="320">
        <f>+sga!A46</f>
        <v>5641</v>
      </c>
      <c r="B46" s="320" t="str">
        <f>+sga!B46</f>
        <v xml:space="preserve">MAC-ADRIATICO  </v>
      </c>
      <c r="C46" s="320" t="str">
        <f>+sga!C46</f>
        <v>BERSHKA</v>
      </c>
      <c r="D46" s="325">
        <f>VLOOKUP(A46,ANALISI!A:O,14,FALSE)</f>
        <v>11.63999979197979</v>
      </c>
      <c r="E46" s="326">
        <f>_xlfn.IFNA(VLOOKUP(A46,ANALISI!A:O,4,FALSE),0)</f>
        <v>111</v>
      </c>
      <c r="F46" s="326">
        <f>_xlfn.IFNA(VLOOKUP(A46,ANALISI!A:O,5,FALSE),0)</f>
        <v>0</v>
      </c>
      <c r="G46" s="326">
        <f>_xlfn.IFNA(VLOOKUP(A46,ANALISI!A:O,8,FALSE),0)</f>
        <v>5</v>
      </c>
      <c r="H46" s="326">
        <f>_xlfn.IFNA(VLOOKUP(A46,ANALISI!A:O,11,FALSE),0)</f>
        <v>1</v>
      </c>
      <c r="I46" s="327">
        <f t="shared" si="0"/>
        <v>7</v>
      </c>
    </row>
    <row r="47" spans="1:9" x14ac:dyDescent="0.25">
      <c r="A47" s="320">
        <f>+sga!A47</f>
        <v>5405</v>
      </c>
      <c r="B47" s="320" t="str">
        <f>+sga!B47</f>
        <v xml:space="preserve">MAC-ADRIATICO  </v>
      </c>
      <c r="C47" s="320" t="str">
        <f>+sga!C47</f>
        <v>PULL&amp;BEAR</v>
      </c>
      <c r="D47" s="325">
        <f>VLOOKUP(A47,ANALISI!A:O,14,FALSE)</f>
        <v>11.099999964237213</v>
      </c>
      <c r="E47" s="326">
        <f>_xlfn.IFNA(VLOOKUP(A47,ANALISI!A:O,4,FALSE),0)</f>
        <v>120</v>
      </c>
      <c r="F47" s="326">
        <f>_xlfn.IFNA(VLOOKUP(A47,ANALISI!A:O,5,FALSE),0)</f>
        <v>0</v>
      </c>
      <c r="G47" s="326">
        <f>_xlfn.IFNA(VLOOKUP(A47,ANALISI!A:O,8,FALSE),0)</f>
        <v>4</v>
      </c>
      <c r="H47" s="326">
        <f>_xlfn.IFNA(VLOOKUP(A47,ANALISI!A:O,11,FALSE),0)</f>
        <v>2</v>
      </c>
      <c r="I47" s="327">
        <f t="shared" si="0"/>
        <v>6</v>
      </c>
    </row>
    <row r="48" spans="1:9" x14ac:dyDescent="0.25">
      <c r="A48" s="320">
        <f>+sga!A48</f>
        <v>2972</v>
      </c>
      <c r="B48" s="320" t="str">
        <f>+sga!B48</f>
        <v xml:space="preserve">MAC-ADRIATICO  </v>
      </c>
      <c r="C48" s="320" t="str">
        <f>+sga!C48</f>
        <v>STRADIVARIUS</v>
      </c>
      <c r="D48" s="325">
        <f>VLOOKUP(A48,ANALISI!A:O,14,FALSE)</f>
        <v>8.2199998795986176</v>
      </c>
      <c r="E48" s="326">
        <f>_xlfn.IFNA(VLOOKUP(A48,ANALISI!A:O,4,FALSE),0)</f>
        <v>73</v>
      </c>
      <c r="F48" s="326">
        <f>_xlfn.IFNA(VLOOKUP(A48,ANALISI!A:O,5,FALSE),0)</f>
        <v>0</v>
      </c>
      <c r="G48" s="326">
        <f>_xlfn.IFNA(VLOOKUP(A48,ANALISI!A:O,8,FALSE),0)</f>
        <v>4</v>
      </c>
      <c r="H48" s="326">
        <f>_xlfn.IFNA(VLOOKUP(A48,ANALISI!A:O,11,FALSE),0)</f>
        <v>0</v>
      </c>
      <c r="I48" s="327">
        <f t="shared" si="0"/>
        <v>5</v>
      </c>
    </row>
    <row r="49" spans="1:9" x14ac:dyDescent="0.25">
      <c r="A49" s="320">
        <f>+sga!A49</f>
        <v>16351</v>
      </c>
      <c r="B49" s="320" t="str">
        <f>+sga!B49</f>
        <v>CHIETI</v>
      </c>
      <c r="C49" s="320" t="str">
        <f>+sga!C49</f>
        <v>BERSHKA</v>
      </c>
      <c r="D49" s="325">
        <f>VLOOKUP(A49,ANALISI!A:O,14,FALSE)</f>
        <v>14.35999958217144</v>
      </c>
      <c r="E49" s="326">
        <f>_xlfn.IFNA(VLOOKUP(A49,ANALISI!A:O,4,FALSE),0)</f>
        <v>137</v>
      </c>
      <c r="F49" s="326">
        <f>_xlfn.IFNA(VLOOKUP(A49,ANALISI!A:O,5,FALSE),0)</f>
        <v>0</v>
      </c>
      <c r="G49" s="326">
        <f>_xlfn.IFNA(VLOOKUP(A49,ANALISI!A:O,8,FALSE),0)</f>
        <v>9</v>
      </c>
      <c r="H49" s="326">
        <f>_xlfn.IFNA(VLOOKUP(A49,ANALISI!A:O,11,FALSE),0)</f>
        <v>1</v>
      </c>
      <c r="I49" s="327">
        <f t="shared" si="0"/>
        <v>8</v>
      </c>
    </row>
    <row r="50" spans="1:9" x14ac:dyDescent="0.25">
      <c r="A50" s="320">
        <f>+sga!A50</f>
        <v>16564</v>
      </c>
      <c r="B50" s="320" t="str">
        <f>+sga!B50</f>
        <v>CHIETI</v>
      </c>
      <c r="C50" s="320" t="str">
        <f>+sga!C50</f>
        <v>PULL&amp;BEAR</v>
      </c>
      <c r="D50" s="325">
        <f>VLOOKUP(A50,ANALISI!A:O,14,FALSE)</f>
        <v>13.920000433921814</v>
      </c>
      <c r="E50" s="326">
        <f>_xlfn.IFNA(VLOOKUP(A50,ANALISI!A:O,4,FALSE),0)</f>
        <v>148</v>
      </c>
      <c r="F50" s="326">
        <f>_xlfn.IFNA(VLOOKUP(A50,ANALISI!A:O,5,FALSE),0)</f>
        <v>0</v>
      </c>
      <c r="G50" s="326">
        <f>_xlfn.IFNA(VLOOKUP(A50,ANALISI!A:O,8,FALSE),0)</f>
        <v>10</v>
      </c>
      <c r="H50" s="326">
        <f>_xlfn.IFNA(VLOOKUP(A50,ANALISI!A:O,11,FALSE),0)</f>
        <v>0</v>
      </c>
      <c r="I50" s="327">
        <f t="shared" si="0"/>
        <v>8</v>
      </c>
    </row>
    <row r="51" spans="1:9" x14ac:dyDescent="0.25">
      <c r="A51" s="320">
        <f>+sga!A51</f>
        <v>17019</v>
      </c>
      <c r="B51" s="320" t="str">
        <f>+sga!B51</f>
        <v>ROM-PALAZZO RU</v>
      </c>
      <c r="C51" s="320" t="str">
        <f>+sga!C51</f>
        <v>MASSIMO DUTTI</v>
      </c>
      <c r="D51" s="325">
        <f>VLOOKUP(A51,ANALISI!A:O,14,FALSE)</f>
        <v>9.2600002288818359</v>
      </c>
      <c r="E51" s="326">
        <f>_xlfn.IFNA(VLOOKUP(A51,ANALISI!A:O,4,FALSE),0)</f>
        <v>45</v>
      </c>
      <c r="F51" s="326">
        <f>_xlfn.IFNA(VLOOKUP(A51,ANALISI!A:O,5,FALSE),0)</f>
        <v>3</v>
      </c>
      <c r="G51" s="326">
        <f>_xlfn.IFNA(VLOOKUP(A51,ANALISI!A:O,8,FALSE),0)</f>
        <v>17</v>
      </c>
      <c r="H51" s="326">
        <f>_xlfn.IFNA(VLOOKUP(A51,ANALISI!A:O,11,FALSE),0)</f>
        <v>0</v>
      </c>
      <c r="I51" s="327">
        <f t="shared" si="0"/>
        <v>5</v>
      </c>
    </row>
    <row r="52" spans="1:9" x14ac:dyDescent="0.25">
      <c r="A52" s="320">
        <f>+sga!A52</f>
        <v>0</v>
      </c>
      <c r="B52" s="320">
        <f>+sga!B52</f>
        <v>0</v>
      </c>
      <c r="C52" s="320">
        <f>+sga!C52</f>
        <v>0</v>
      </c>
      <c r="D52" s="325" t="e">
        <f>VLOOKUP(A52,ANALISI!A:O,14,FALSE)</f>
        <v>#N/A</v>
      </c>
      <c r="E52" s="326">
        <f>_xlfn.IFNA(VLOOKUP(A52,ANALISI!A:O,4,FALSE),0)</f>
        <v>0</v>
      </c>
      <c r="F52" s="326">
        <f>_xlfn.IFNA(VLOOKUP(A52,ANALISI!A:O,5,FALSE),0)</f>
        <v>0</v>
      </c>
      <c r="G52" s="326">
        <f>_xlfn.IFNA(VLOOKUP(A52,ANALISI!A:O,8,FALSE),0)</f>
        <v>0</v>
      </c>
      <c r="H52" s="326">
        <f>_xlfn.IFNA(VLOOKUP(A52,ANALISI!A:O,11,FALSE),0)</f>
        <v>0</v>
      </c>
      <c r="I52" s="327" t="e">
        <f t="shared" si="0"/>
        <v>#N/A</v>
      </c>
    </row>
    <row r="53" spans="1:9" x14ac:dyDescent="0.25">
      <c r="A53" s="320">
        <f>+sga!A53</f>
        <v>0</v>
      </c>
      <c r="B53" s="320">
        <f>+sga!B53</f>
        <v>0</v>
      </c>
      <c r="C53" s="320">
        <f>+sga!C53</f>
        <v>0</v>
      </c>
      <c r="D53" s="325" t="e">
        <f>VLOOKUP(A53,ANALISI!A:O,14,FALSE)</f>
        <v>#N/A</v>
      </c>
      <c r="E53" s="326">
        <f>_xlfn.IFNA(VLOOKUP(A53,ANALISI!A:O,4,FALSE),0)</f>
        <v>0</v>
      </c>
      <c r="F53" s="326">
        <f>_xlfn.IFNA(VLOOKUP(A53,ANALISI!A:O,5,FALSE),0)</f>
        <v>0</v>
      </c>
      <c r="G53" s="326">
        <f>_xlfn.IFNA(VLOOKUP(A53,ANALISI!A:O,8,FALSE),0)</f>
        <v>0</v>
      </c>
      <c r="H53" s="326">
        <f>_xlfn.IFNA(VLOOKUP(A53,ANALISI!A:O,11,FALSE),0)</f>
        <v>0</v>
      </c>
      <c r="I53" s="327" t="e">
        <f t="shared" si="0"/>
        <v>#N/A</v>
      </c>
    </row>
  </sheetData>
  <autoFilter ref="A1:Q1" xr:uid="{7DEB7D62-4043-4C62-85B4-13771CF5E365}"/>
  <printOptions gridLines="1"/>
  <pageMargins left="0.25" right="0.25" top="0.75" bottom="0.75" header="0.3" footer="0.3"/>
  <pageSetup paperSize="9" scale="49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82337-36A5-4C1D-9D1C-EECAC316FB11}">
  <sheetPr codeName="Foglio20"/>
  <dimension ref="A1:L48"/>
  <sheetViews>
    <sheetView workbookViewId="0">
      <selection activeCell="I4" sqref="A4:I4"/>
    </sheetView>
  </sheetViews>
  <sheetFormatPr defaultColWidth="9.140625" defaultRowHeight="12" x14ac:dyDescent="0.2"/>
  <cols>
    <col min="1" max="1" width="14.42578125" style="497" bestFit="1" customWidth="1"/>
    <col min="2" max="2" width="11.28515625" style="497" bestFit="1" customWidth="1"/>
    <col min="3" max="3" width="12.140625" style="497" bestFit="1" customWidth="1"/>
    <col min="4" max="4" width="15" style="497" bestFit="1" customWidth="1"/>
    <col min="5" max="5" width="16.140625" style="497" bestFit="1" customWidth="1"/>
    <col min="6" max="6" width="10.42578125" style="500" bestFit="1" customWidth="1"/>
    <col min="7" max="7" width="7.28515625" style="497" bestFit="1" customWidth="1"/>
    <col min="8" max="8" width="5" style="497" bestFit="1" customWidth="1"/>
    <col min="9" max="9" width="10.140625" style="497" bestFit="1" customWidth="1"/>
    <col min="10" max="16384" width="9.140625" style="497"/>
  </cols>
  <sheetData>
    <row r="1" spans="1:12" ht="12.75" x14ac:dyDescent="0.2">
      <c r="A1" s="504" t="s">
        <v>249</v>
      </c>
      <c r="B1" s="505" t="s">
        <v>250</v>
      </c>
      <c r="C1" s="505" t="s">
        <v>251</v>
      </c>
      <c r="D1" s="513" t="s">
        <v>293</v>
      </c>
      <c r="E1" s="505" t="s">
        <v>252</v>
      </c>
      <c r="F1" s="504" t="s">
        <v>253</v>
      </c>
      <c r="G1" s="506" t="s">
        <v>21</v>
      </c>
      <c r="H1" s="504" t="s">
        <v>215</v>
      </c>
      <c r="I1" s="504" t="s">
        <v>283</v>
      </c>
    </row>
    <row r="2" spans="1:12" x14ac:dyDescent="0.2">
      <c r="A2" s="503" t="s">
        <v>49</v>
      </c>
      <c r="B2" s="508">
        <f ca="1">NOW()+2</f>
        <v>46318.501186805559</v>
      </c>
      <c r="C2" s="508">
        <f ca="1">+B2</f>
        <v>46318.501186805559</v>
      </c>
      <c r="D2" s="507">
        <v>1</v>
      </c>
      <c r="E2" s="507">
        <f>+VLOOKUP(A2,'sga9'!L:N,3,FALSE)</f>
        <v>283</v>
      </c>
      <c r="F2" s="507">
        <f>+H2*15</f>
        <v>1060.4347975357718</v>
      </c>
      <c r="G2" s="509">
        <f>+VLOOKUP(A2,'SPUNTA ARRIVI '!$A$81:$D$94,4,FALSE)</f>
        <v>6.5040000915527338</v>
      </c>
      <c r="H2" s="510">
        <f>+G2/0.092</f>
        <v>70.695653169051454</v>
      </c>
      <c r="I2" s="507" t="str">
        <f>+VLOOKUP(A2,'SPUNTA ARRIVI '!$A$81:$Z$94,26,FALSE)</f>
        <v>ZA16</v>
      </c>
      <c r="L2" s="498" t="s">
        <v>49</v>
      </c>
    </row>
    <row r="3" spans="1:12" x14ac:dyDescent="0.2">
      <c r="A3" s="511" t="s">
        <v>69</v>
      </c>
      <c r="B3" s="508">
        <f t="shared" ref="B3:B11" ca="1" si="0">NOW()+2</f>
        <v>46318.501186805559</v>
      </c>
      <c r="C3" s="508">
        <f t="shared" ref="C3:C10" ca="1" si="1">+B3</f>
        <v>46318.501186805559</v>
      </c>
      <c r="D3" s="507">
        <v>1</v>
      </c>
      <c r="E3" s="507">
        <f>+VLOOKUP(A3,'sga9'!L:N,3,FALSE)</f>
        <v>317</v>
      </c>
      <c r="F3" s="507">
        <f t="shared" ref="F3:F9" si="2">+H3*15</f>
        <v>2642.7717493927994</v>
      </c>
      <c r="G3" s="509">
        <f>+VLOOKUP(A3,'SPUNTA ARRIVI '!$A$81:$D$94,4,FALSE)</f>
        <v>16.209000062942504</v>
      </c>
      <c r="H3" s="510">
        <f t="shared" ref="H3:H9" si="3">+G3/0.092</f>
        <v>176.1847832928533</v>
      </c>
      <c r="I3" s="507" t="str">
        <f>+VLOOKUP(A3,'SPUNTA ARRIVI '!$A$81:$Z$94,26,FALSE)</f>
        <v>ZA17</v>
      </c>
      <c r="L3" s="501" t="s">
        <v>69</v>
      </c>
    </row>
    <row r="4" spans="1:12" x14ac:dyDescent="0.2">
      <c r="A4" s="512" t="s">
        <v>52</v>
      </c>
      <c r="B4" s="508">
        <f t="shared" ca="1" si="0"/>
        <v>46318.501186805559</v>
      </c>
      <c r="C4" s="508">
        <f t="shared" ca="1" si="1"/>
        <v>46318.501186805559</v>
      </c>
      <c r="D4" s="507">
        <v>1</v>
      </c>
      <c r="E4" s="507">
        <f>+VLOOKUP(A4,'sga9'!L:N,3,FALSE)</f>
        <v>281</v>
      </c>
      <c r="F4" s="507">
        <f t="shared" si="2"/>
        <v>703.36957518821168</v>
      </c>
      <c r="G4" s="509">
        <f>+VLOOKUP(A4,'SPUNTA ARRIVI '!$A$81:$D$94,4,FALSE)</f>
        <v>4.3140000611543652</v>
      </c>
      <c r="H4" s="510">
        <f t="shared" si="3"/>
        <v>46.891305012547448</v>
      </c>
      <c r="I4" s="507" t="str">
        <f>+VLOOKUP(A4,'SPUNTA ARRIVI '!$A$81:$Z$94,26,FALSE)</f>
        <v>ZA18</v>
      </c>
      <c r="L4" s="502" t="s">
        <v>52</v>
      </c>
    </row>
    <row r="5" spans="1:12" x14ac:dyDescent="0.2">
      <c r="A5" s="503" t="s">
        <v>224</v>
      </c>
      <c r="B5" s="508">
        <f t="shared" ca="1" si="0"/>
        <v>46318.501186805559</v>
      </c>
      <c r="C5" s="508">
        <f t="shared" ca="1" si="1"/>
        <v>46318.501186805559</v>
      </c>
      <c r="D5" s="507">
        <v>1</v>
      </c>
      <c r="E5" s="507">
        <f>+VLOOKUP(A5,'sga9'!L:N,3,FALSE)</f>
        <v>314</v>
      </c>
      <c r="F5" s="507">
        <f t="shared" si="2"/>
        <v>900.97830541755854</v>
      </c>
      <c r="G5" s="509">
        <f>+VLOOKUP(A5,'SPUNTA ARRIVI '!$A$81:$D$94,4,FALSE)</f>
        <v>5.5260002732276918</v>
      </c>
      <c r="H5" s="510">
        <f t="shared" si="3"/>
        <v>60.065220361170567</v>
      </c>
      <c r="I5" s="507" t="str">
        <f>+VLOOKUP(A5,'SPUNTA ARRIVI '!$A$81:$Z$94,26,FALSE)</f>
        <v>ZA19</v>
      </c>
      <c r="L5" s="498" t="s">
        <v>224</v>
      </c>
    </row>
    <row r="6" spans="1:12" x14ac:dyDescent="0.2">
      <c r="A6" s="503" t="s">
        <v>65</v>
      </c>
      <c r="B6" s="508">
        <f t="shared" ca="1" si="0"/>
        <v>46318.501186805559</v>
      </c>
      <c r="C6" s="508">
        <f t="shared" ca="1" si="1"/>
        <v>46318.501186805559</v>
      </c>
      <c r="D6" s="507">
        <v>1</v>
      </c>
      <c r="E6" s="507">
        <f>+VLOOKUP(A6,'sga9'!L:N,3,FALSE)</f>
        <v>319</v>
      </c>
      <c r="F6" s="507">
        <f t="shared" si="2"/>
        <v>1827.3912642313085</v>
      </c>
      <c r="G6" s="509">
        <f>+VLOOKUP(A6,'SPUNTA ARRIVI '!$A$81:$D$94,4,FALSE)</f>
        <v>11.207999753952025</v>
      </c>
      <c r="H6" s="510">
        <f t="shared" si="3"/>
        <v>121.82608428208724</v>
      </c>
      <c r="I6" s="507" t="str">
        <f>+VLOOKUP(A6,'SPUNTA ARRIVI '!$A$81:$Z$94,26,FALSE)</f>
        <v>ZA15</v>
      </c>
      <c r="L6" s="503" t="s">
        <v>65</v>
      </c>
    </row>
    <row r="7" spans="1:12" x14ac:dyDescent="0.2">
      <c r="A7" s="503" t="s">
        <v>225</v>
      </c>
      <c r="B7" s="508">
        <f t="shared" ca="1" si="0"/>
        <v>46318.501186805559</v>
      </c>
      <c r="C7" s="508">
        <f t="shared" ca="1" si="1"/>
        <v>46318.501186805559</v>
      </c>
      <c r="D7" s="507">
        <v>1</v>
      </c>
      <c r="E7" s="507">
        <f>+VLOOKUP(A7,'sga9'!L:N,3,FALSE)</f>
        <v>289</v>
      </c>
      <c r="F7" s="507">
        <f t="shared" si="2"/>
        <v>1105.9239181163518</v>
      </c>
      <c r="G7" s="509">
        <f>+VLOOKUP(A7,'SPUNTA ARRIVI '!$A$81:$D$94,4,FALSE)</f>
        <v>6.783000031113624</v>
      </c>
      <c r="H7" s="510">
        <f t="shared" si="3"/>
        <v>73.728261207756788</v>
      </c>
      <c r="I7" s="507" t="str">
        <f>+VLOOKUP(A7,'SPUNTA ARRIVI '!$A$81:$Z$94,26,FALSE)</f>
        <v>ZA15</v>
      </c>
      <c r="L7" s="503" t="s">
        <v>225</v>
      </c>
    </row>
    <row r="8" spans="1:12" x14ac:dyDescent="0.2">
      <c r="A8" s="503" t="s">
        <v>286</v>
      </c>
      <c r="B8" s="508">
        <f t="shared" ca="1" si="0"/>
        <v>46318.501186805559</v>
      </c>
      <c r="C8" s="508">
        <f t="shared" ca="1" si="1"/>
        <v>46318.501186805559</v>
      </c>
      <c r="D8" s="507">
        <v>1</v>
      </c>
      <c r="E8" s="507">
        <f>+VLOOKUP(A8,'sga9'!L:N,3,FALSE)</f>
        <v>8</v>
      </c>
      <c r="F8" s="507">
        <f t="shared" si="2"/>
        <v>741.03259878314054</v>
      </c>
      <c r="G8" s="509">
        <f>+VLOOKUP(A8,'SPUNTA ARRIVI '!$A$81:$D$94,4,FALSE)</f>
        <v>4.5449999392032625</v>
      </c>
      <c r="H8" s="510">
        <f t="shared" si="3"/>
        <v>49.402173252209373</v>
      </c>
      <c r="I8" s="507" t="str">
        <f>+VLOOKUP(A8,'SPUNTA ARRIVI '!$A$81:$Z$94,26,FALSE)</f>
        <v>ZA16</v>
      </c>
      <c r="L8" s="498" t="s">
        <v>286</v>
      </c>
    </row>
    <row r="9" spans="1:12" x14ac:dyDescent="0.2">
      <c r="A9" s="503" t="s">
        <v>287</v>
      </c>
      <c r="B9" s="508">
        <f t="shared" ca="1" si="0"/>
        <v>46318.501186805559</v>
      </c>
      <c r="C9" s="508">
        <f t="shared" ca="1" si="1"/>
        <v>46318.501186805559</v>
      </c>
      <c r="D9" s="507">
        <v>1</v>
      </c>
      <c r="E9" s="507">
        <f>+VLOOKUP(A9,'sga9'!L:N,3,FALSE)</f>
        <v>16</v>
      </c>
      <c r="F9" s="507">
        <f t="shared" si="2"/>
        <v>888.26087376345765</v>
      </c>
      <c r="G9" s="509">
        <f>+VLOOKUP(A9,'SPUNTA ARRIVI '!$A$81:$D$94,4,FALSE)</f>
        <v>5.4480000257492067</v>
      </c>
      <c r="H9" s="510">
        <f t="shared" si="3"/>
        <v>59.217391584230512</v>
      </c>
      <c r="I9" s="507" t="str">
        <f>+VLOOKUP(A9,'SPUNTA ARRIVI '!$A$81:$Z$94,26,FALSE)</f>
        <v>ZA15</v>
      </c>
      <c r="L9" s="503" t="s">
        <v>287</v>
      </c>
    </row>
    <row r="10" spans="1:12" x14ac:dyDescent="0.2">
      <c r="A10" s="512" t="s">
        <v>300</v>
      </c>
      <c r="B10" s="508">
        <f t="shared" ca="1" si="0"/>
        <v>46318.501186805559</v>
      </c>
      <c r="C10" s="508">
        <f t="shared" ca="1" si="1"/>
        <v>46318.501186805559</v>
      </c>
      <c r="D10" s="507">
        <v>1</v>
      </c>
      <c r="E10" s="507">
        <f>+VLOOKUP(A10,'sga9'!L:N,3,FALSE)</f>
        <v>310</v>
      </c>
      <c r="F10" s="507">
        <f t="shared" ref="F10" si="4">+H10*15</f>
        <v>2993.967346523119</v>
      </c>
      <c r="G10" s="509">
        <f>+VLOOKUP(A10,'SPUNTA ARRIVI '!$A$81:$D$94,4,FALSE)</f>
        <v>18.362999725341798</v>
      </c>
      <c r="H10" s="510">
        <f t="shared" ref="H10" si="5">+G10/0.092</f>
        <v>199.59782310154128</v>
      </c>
      <c r="I10" s="507" t="str">
        <f>+VLOOKUP(A10,'SPUNTA ARRIVI '!$A$81:$Z$94,26,FALSE)</f>
        <v>ZA18</v>
      </c>
    </row>
    <row r="11" spans="1:12" x14ac:dyDescent="0.2">
      <c r="A11" s="512" t="s">
        <v>314</v>
      </c>
      <c r="B11" s="508">
        <f t="shared" ca="1" si="0"/>
        <v>46318.501186805559</v>
      </c>
      <c r="C11" s="508">
        <f t="shared" ref="C11" ca="1" si="6">+B11</f>
        <v>46318.501186805559</v>
      </c>
      <c r="D11" s="507">
        <v>1</v>
      </c>
      <c r="E11" s="507">
        <f>+VLOOKUP(A11,'sga9'!L:N,3,FALSE)</f>
        <v>13</v>
      </c>
      <c r="F11" s="507">
        <f t="shared" ref="F11" si="7">+H11*15</f>
        <v>999.782596917256</v>
      </c>
      <c r="G11" s="509">
        <f>+VLOOKUP(A11,'SPUNTA ARRIVI '!$A$81:$D$94,4,FALSE)</f>
        <v>6.1319999277591704</v>
      </c>
      <c r="H11" s="510">
        <f t="shared" ref="H11" si="8">+G11/0.092</f>
        <v>66.652173127817065</v>
      </c>
      <c r="I11" s="507" t="str">
        <f>+VLOOKUP(A11,'SPUNTA ARRIVI '!$A$81:$Z$94,26,FALSE)</f>
        <v>ZA19</v>
      </c>
    </row>
    <row r="12" spans="1:12" x14ac:dyDescent="0.2">
      <c r="B12" s="499"/>
      <c r="C12" s="499"/>
    </row>
    <row r="13" spans="1:12" x14ac:dyDescent="0.2">
      <c r="B13" s="499"/>
      <c r="C13" s="499"/>
    </row>
    <row r="14" spans="1:12" x14ac:dyDescent="0.2">
      <c r="B14" s="499"/>
      <c r="C14" s="499"/>
    </row>
    <row r="15" spans="1:12" x14ac:dyDescent="0.2">
      <c r="B15" s="499"/>
      <c r="C15" s="499"/>
    </row>
    <row r="16" spans="1:12" x14ac:dyDescent="0.2">
      <c r="B16" s="499"/>
      <c r="C16" s="499"/>
    </row>
    <row r="17" spans="2:3" x14ac:dyDescent="0.2">
      <c r="B17" s="499"/>
      <c r="C17" s="499"/>
    </row>
    <row r="18" spans="2:3" x14ac:dyDescent="0.2">
      <c r="B18" s="499"/>
      <c r="C18" s="499"/>
    </row>
    <row r="19" spans="2:3" x14ac:dyDescent="0.2">
      <c r="B19" s="499"/>
      <c r="C19" s="499"/>
    </row>
    <row r="20" spans="2:3" x14ac:dyDescent="0.2">
      <c r="B20" s="499"/>
      <c r="C20" s="499"/>
    </row>
    <row r="21" spans="2:3" x14ac:dyDescent="0.2">
      <c r="B21" s="499"/>
      <c r="C21" s="499"/>
    </row>
    <row r="22" spans="2:3" x14ac:dyDescent="0.2">
      <c r="B22" s="499"/>
      <c r="C22" s="499"/>
    </row>
    <row r="23" spans="2:3" x14ac:dyDescent="0.2">
      <c r="B23" s="499"/>
      <c r="C23" s="499"/>
    </row>
    <row r="24" spans="2:3" x14ac:dyDescent="0.2">
      <c r="B24" s="499"/>
      <c r="C24" s="499"/>
    </row>
    <row r="25" spans="2:3" x14ac:dyDescent="0.2">
      <c r="B25" s="499"/>
      <c r="C25" s="499"/>
    </row>
    <row r="26" spans="2:3" x14ac:dyDescent="0.2">
      <c r="B26" s="499"/>
      <c r="C26" s="499"/>
    </row>
    <row r="27" spans="2:3" x14ac:dyDescent="0.2">
      <c r="B27" s="499"/>
      <c r="C27" s="499"/>
    </row>
    <row r="28" spans="2:3" x14ac:dyDescent="0.2">
      <c r="B28" s="499"/>
      <c r="C28" s="499"/>
    </row>
    <row r="29" spans="2:3" x14ac:dyDescent="0.2">
      <c r="B29" s="499"/>
      <c r="C29" s="499"/>
    </row>
    <row r="30" spans="2:3" x14ac:dyDescent="0.2">
      <c r="B30" s="499"/>
      <c r="C30" s="499"/>
    </row>
    <row r="31" spans="2:3" x14ac:dyDescent="0.2">
      <c r="B31" s="499"/>
      <c r="C31" s="499"/>
    </row>
    <row r="32" spans="2:3" x14ac:dyDescent="0.2">
      <c r="B32" s="499"/>
      <c r="C32" s="499"/>
    </row>
    <row r="33" spans="2:3" x14ac:dyDescent="0.2">
      <c r="B33" s="499"/>
      <c r="C33" s="499"/>
    </row>
    <row r="34" spans="2:3" x14ac:dyDescent="0.2">
      <c r="B34" s="499"/>
      <c r="C34" s="499"/>
    </row>
    <row r="35" spans="2:3" x14ac:dyDescent="0.2">
      <c r="B35" s="499"/>
      <c r="C35" s="499"/>
    </row>
    <row r="36" spans="2:3" x14ac:dyDescent="0.2">
      <c r="B36" s="499"/>
      <c r="C36" s="499"/>
    </row>
    <row r="37" spans="2:3" x14ac:dyDescent="0.2">
      <c r="B37" s="499"/>
      <c r="C37" s="499"/>
    </row>
    <row r="38" spans="2:3" x14ac:dyDescent="0.2">
      <c r="B38" s="499"/>
      <c r="C38" s="499"/>
    </row>
    <row r="39" spans="2:3" x14ac:dyDescent="0.2">
      <c r="B39" s="499"/>
      <c r="C39" s="499"/>
    </row>
    <row r="40" spans="2:3" x14ac:dyDescent="0.2">
      <c r="B40" s="499"/>
      <c r="C40" s="499"/>
    </row>
    <row r="41" spans="2:3" x14ac:dyDescent="0.2">
      <c r="B41" s="499"/>
      <c r="C41" s="499"/>
    </row>
    <row r="42" spans="2:3" x14ac:dyDescent="0.2">
      <c r="B42" s="499"/>
      <c r="C42" s="499"/>
    </row>
    <row r="43" spans="2:3" x14ac:dyDescent="0.2">
      <c r="B43" s="499"/>
      <c r="C43" s="499"/>
    </row>
    <row r="44" spans="2:3" x14ac:dyDescent="0.2">
      <c r="B44" s="499"/>
      <c r="C44" s="499"/>
    </row>
    <row r="45" spans="2:3" x14ac:dyDescent="0.2">
      <c r="B45" s="499"/>
      <c r="C45" s="499"/>
    </row>
    <row r="46" spans="2:3" x14ac:dyDescent="0.2">
      <c r="B46" s="499"/>
      <c r="C46" s="499"/>
    </row>
    <row r="47" spans="2:3" x14ac:dyDescent="0.2">
      <c r="B47" s="499"/>
      <c r="C47" s="499"/>
    </row>
    <row r="48" spans="2:3" x14ac:dyDescent="0.2">
      <c r="B48" s="499"/>
      <c r="C48" s="499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0C8AC-0BBC-4CE7-BBF2-5491C09C5114}">
  <sheetPr codeName="Foglio22"/>
  <dimension ref="A1:J101"/>
  <sheetViews>
    <sheetView workbookViewId="0">
      <selection activeCell="D27" sqref="D27"/>
    </sheetView>
  </sheetViews>
  <sheetFormatPr defaultColWidth="9.140625" defaultRowHeight="15" x14ac:dyDescent="0.25"/>
  <cols>
    <col min="1" max="1" width="16.28515625" style="1" bestFit="1" customWidth="1"/>
    <col min="2" max="2" width="15.85546875" style="276" bestFit="1" customWidth="1"/>
    <col min="3" max="3" width="15.85546875" style="279" customWidth="1"/>
    <col min="4" max="4" width="29.42578125" style="279" customWidth="1"/>
    <col min="5" max="5" width="15.28515625" style="276" bestFit="1" customWidth="1"/>
    <col min="6" max="6" width="19.5703125" style="137" bestFit="1" customWidth="1"/>
    <col min="7" max="7" width="26.5703125" style="137" customWidth="1"/>
    <col min="8" max="8" width="6.28515625" style="137" bestFit="1" customWidth="1"/>
    <col min="9" max="9" width="8.85546875" style="337" bestFit="1" customWidth="1"/>
    <col min="10" max="10" width="6.140625" style="337" bestFit="1" customWidth="1"/>
    <col min="11" max="16384" width="9.140625" style="1"/>
  </cols>
  <sheetData>
    <row r="1" spans="1:10" x14ac:dyDescent="0.25">
      <c r="A1" s="375" t="s">
        <v>294</v>
      </c>
      <c r="B1" s="333" t="s">
        <v>250</v>
      </c>
      <c r="C1" s="373" t="s">
        <v>293</v>
      </c>
      <c r="D1" s="373" t="s">
        <v>295</v>
      </c>
      <c r="E1" s="333" t="s">
        <v>251</v>
      </c>
      <c r="F1" s="330" t="s">
        <v>252</v>
      </c>
      <c r="G1" s="330" t="s">
        <v>296</v>
      </c>
      <c r="H1" s="331" t="s">
        <v>253</v>
      </c>
      <c r="I1" s="335" t="s">
        <v>21</v>
      </c>
      <c r="J1" s="335" t="s">
        <v>215</v>
      </c>
    </row>
    <row r="2" spans="1:10" x14ac:dyDescent="0.25">
      <c r="A2" s="278" t="s">
        <v>288</v>
      </c>
      <c r="B2" s="334">
        <v>46317.635046296295</v>
      </c>
      <c r="C2" s="376">
        <v>1</v>
      </c>
      <c r="D2" s="376" t="s">
        <v>297</v>
      </c>
      <c r="E2" s="334">
        <v>46317.635046296295</v>
      </c>
      <c r="F2" s="332">
        <v>283</v>
      </c>
      <c r="G2" s="137" t="s">
        <v>288</v>
      </c>
      <c r="H2" s="332">
        <v>438.75000723030257</v>
      </c>
      <c r="I2" s="336">
        <v>2.6910000443458557</v>
      </c>
      <c r="J2" s="336">
        <v>29.25000048202017</v>
      </c>
    </row>
    <row r="3" spans="1:10" s="369" customFormat="1" x14ac:dyDescent="0.25">
      <c r="A3" s="369" t="s">
        <v>288</v>
      </c>
      <c r="B3" s="370">
        <v>46317.635046296295</v>
      </c>
      <c r="C3" s="374">
        <v>283</v>
      </c>
      <c r="D3" s="374" t="s">
        <v>288</v>
      </c>
      <c r="E3" s="370">
        <v>46317.635046296295</v>
      </c>
      <c r="F3" s="371">
        <v>1</v>
      </c>
      <c r="G3" s="376" t="s">
        <v>297</v>
      </c>
      <c r="H3" s="371">
        <v>0</v>
      </c>
      <c r="I3" s="372">
        <v>0</v>
      </c>
      <c r="J3" s="372">
        <v>0</v>
      </c>
    </row>
    <row r="4" spans="1:10" x14ac:dyDescent="0.25">
      <c r="A4" s="278" t="s">
        <v>289</v>
      </c>
      <c r="B4" s="334">
        <v>46317.635046296295</v>
      </c>
      <c r="C4" s="376">
        <v>1</v>
      </c>
      <c r="D4" s="376" t="s">
        <v>297</v>
      </c>
      <c r="E4" s="334">
        <v>46317.635046296295</v>
      </c>
      <c r="F4" s="332">
        <v>317</v>
      </c>
      <c r="G4" s="137" t="s">
        <v>289</v>
      </c>
      <c r="H4" s="332">
        <v>2642.7717493927994</v>
      </c>
      <c r="I4" s="336">
        <v>16.209000062942504</v>
      </c>
      <c r="J4" s="336">
        <v>176.1847832928533</v>
      </c>
    </row>
    <row r="5" spans="1:10" s="369" customFormat="1" x14ac:dyDescent="0.25">
      <c r="A5" s="369" t="s">
        <v>289</v>
      </c>
      <c r="B5" s="370">
        <v>46317.635046296295</v>
      </c>
      <c r="C5" s="374">
        <v>317</v>
      </c>
      <c r="D5" s="374" t="s">
        <v>289</v>
      </c>
      <c r="E5" s="370">
        <v>46317.635046296295</v>
      </c>
      <c r="F5" s="371">
        <v>1</v>
      </c>
      <c r="G5" s="376" t="s">
        <v>297</v>
      </c>
      <c r="H5" s="371">
        <v>0</v>
      </c>
      <c r="I5" s="372">
        <v>0</v>
      </c>
      <c r="J5" s="372">
        <v>0</v>
      </c>
    </row>
    <row r="6" spans="1:10" x14ac:dyDescent="0.25">
      <c r="A6" s="278" t="s">
        <v>290</v>
      </c>
      <c r="B6" s="334">
        <v>46317.635046296295</v>
      </c>
      <c r="C6" s="376">
        <v>1</v>
      </c>
      <c r="D6" s="376" t="s">
        <v>297</v>
      </c>
      <c r="E6" s="334">
        <v>46317.635046296295</v>
      </c>
      <c r="F6" s="332">
        <v>281</v>
      </c>
      <c r="G6" s="137" t="s">
        <v>290</v>
      </c>
      <c r="H6" s="332">
        <v>703.36957518821168</v>
      </c>
      <c r="I6" s="336">
        <v>4.3140000611543652</v>
      </c>
      <c r="J6" s="336">
        <v>46.891305012547448</v>
      </c>
    </row>
    <row r="7" spans="1:10" s="369" customFormat="1" x14ac:dyDescent="0.25">
      <c r="A7" s="369" t="s">
        <v>290</v>
      </c>
      <c r="B7" s="370">
        <v>46317.635046296295</v>
      </c>
      <c r="C7" s="374">
        <v>281</v>
      </c>
      <c r="D7" s="374" t="s">
        <v>290</v>
      </c>
      <c r="E7" s="370">
        <v>46317.635046296295</v>
      </c>
      <c r="F7" s="371">
        <v>1</v>
      </c>
      <c r="G7" s="376" t="s">
        <v>297</v>
      </c>
      <c r="H7" s="371">
        <v>0</v>
      </c>
      <c r="I7" s="372">
        <v>0</v>
      </c>
      <c r="J7" s="372">
        <v>0</v>
      </c>
    </row>
    <row r="8" spans="1:10" x14ac:dyDescent="0.25">
      <c r="A8" s="278" t="s">
        <v>291</v>
      </c>
      <c r="B8" s="334">
        <v>46317.635046296295</v>
      </c>
      <c r="C8" s="376">
        <v>1</v>
      </c>
      <c r="D8" s="376" t="s">
        <v>297</v>
      </c>
      <c r="E8" s="334">
        <v>46317.635046296295</v>
      </c>
      <c r="F8" s="332">
        <v>314</v>
      </c>
      <c r="G8" s="137" t="s">
        <v>291</v>
      </c>
      <c r="H8" s="332">
        <v>900.97830541755854</v>
      </c>
      <c r="I8" s="336">
        <v>5.5260002732276918</v>
      </c>
      <c r="J8" s="336">
        <v>60.065220361170567</v>
      </c>
    </row>
    <row r="9" spans="1:10" s="369" customFormat="1" x14ac:dyDescent="0.25">
      <c r="A9" s="369" t="s">
        <v>291</v>
      </c>
      <c r="B9" s="370">
        <v>46317.635046296295</v>
      </c>
      <c r="C9" s="374">
        <v>314</v>
      </c>
      <c r="D9" s="374" t="s">
        <v>291</v>
      </c>
      <c r="E9" s="370">
        <v>46317.635046296295</v>
      </c>
      <c r="F9" s="371">
        <v>1</v>
      </c>
      <c r="G9" s="376" t="s">
        <v>297</v>
      </c>
      <c r="H9" s="371">
        <v>0</v>
      </c>
      <c r="I9" s="372">
        <v>0</v>
      </c>
      <c r="J9" s="372">
        <v>0</v>
      </c>
    </row>
    <row r="10" spans="1:10" x14ac:dyDescent="0.25">
      <c r="A10" s="278" t="s">
        <v>281</v>
      </c>
      <c r="B10" s="334">
        <v>46317.635046296295</v>
      </c>
      <c r="C10" s="376">
        <v>1</v>
      </c>
      <c r="D10" s="376" t="s">
        <v>297</v>
      </c>
      <c r="E10" s="334">
        <v>46317.635046296295</v>
      </c>
      <c r="F10" s="332">
        <v>319</v>
      </c>
      <c r="G10" s="137" t="s">
        <v>281</v>
      </c>
      <c r="H10" s="332">
        <v>1827.3912642313085</v>
      </c>
      <c r="I10" s="336">
        <v>11.207999753952025</v>
      </c>
      <c r="J10" s="336">
        <v>121.82608428208724</v>
      </c>
    </row>
    <row r="11" spans="1:10" s="369" customFormat="1" x14ac:dyDescent="0.25">
      <c r="A11" s="369" t="s">
        <v>281</v>
      </c>
      <c r="B11" s="370">
        <v>46317.635046296295</v>
      </c>
      <c r="C11" s="374">
        <v>319</v>
      </c>
      <c r="D11" s="374" t="s">
        <v>281</v>
      </c>
      <c r="E11" s="370">
        <v>46317.635046296295</v>
      </c>
      <c r="F11" s="371">
        <v>1</v>
      </c>
      <c r="G11" s="376" t="s">
        <v>297</v>
      </c>
      <c r="H11" s="371">
        <v>0</v>
      </c>
      <c r="I11" s="372">
        <v>0</v>
      </c>
      <c r="J11" s="372">
        <v>0</v>
      </c>
    </row>
    <row r="12" spans="1:10" x14ac:dyDescent="0.25">
      <c r="A12" s="278" t="s">
        <v>281</v>
      </c>
      <c r="B12" s="334">
        <v>46317.635046296295</v>
      </c>
      <c r="C12" s="376">
        <v>1</v>
      </c>
      <c r="D12" s="376" t="s">
        <v>297</v>
      </c>
      <c r="E12" s="334">
        <v>46317.635046296295</v>
      </c>
      <c r="F12" s="332">
        <v>289</v>
      </c>
      <c r="G12" s="137" t="s">
        <v>281</v>
      </c>
      <c r="H12" s="332">
        <v>1105.9239181163518</v>
      </c>
      <c r="I12" s="336">
        <v>6.783000031113624</v>
      </c>
      <c r="J12" s="336">
        <v>73.728261207756788</v>
      </c>
    </row>
    <row r="13" spans="1:10" s="369" customFormat="1" x14ac:dyDescent="0.25">
      <c r="A13" s="369" t="s">
        <v>281</v>
      </c>
      <c r="B13" s="370">
        <v>46317.635046296295</v>
      </c>
      <c r="C13" s="374">
        <v>289</v>
      </c>
      <c r="D13" s="374" t="s">
        <v>281</v>
      </c>
      <c r="E13" s="370">
        <v>46317.635046296295</v>
      </c>
      <c r="F13" s="371">
        <v>1</v>
      </c>
      <c r="G13" s="376" t="s">
        <v>297</v>
      </c>
      <c r="H13" s="371">
        <v>0</v>
      </c>
      <c r="I13" s="372">
        <v>0</v>
      </c>
      <c r="J13" s="372">
        <v>0</v>
      </c>
    </row>
    <row r="14" spans="1:10" x14ac:dyDescent="0.25">
      <c r="A14" s="278" t="s">
        <v>288</v>
      </c>
      <c r="B14" s="334">
        <v>46317.635046296295</v>
      </c>
      <c r="C14" s="376">
        <v>1</v>
      </c>
      <c r="D14" s="376" t="s">
        <v>297</v>
      </c>
      <c r="E14" s="334">
        <v>46317.635046296295</v>
      </c>
      <c r="F14" s="332">
        <v>8</v>
      </c>
      <c r="G14" s="137" t="s">
        <v>288</v>
      </c>
      <c r="H14" s="332">
        <v>741.03259878314054</v>
      </c>
      <c r="I14" s="336">
        <v>4.5449999392032625</v>
      </c>
      <c r="J14" s="336">
        <v>49.402173252209373</v>
      </c>
    </row>
    <row r="15" spans="1:10" s="369" customFormat="1" x14ac:dyDescent="0.25">
      <c r="A15" s="369" t="s">
        <v>288</v>
      </c>
      <c r="B15" s="370">
        <v>46317.635046296295</v>
      </c>
      <c r="C15" s="374">
        <v>8</v>
      </c>
      <c r="D15" s="374" t="s">
        <v>288</v>
      </c>
      <c r="E15" s="370">
        <v>46317.635046296295</v>
      </c>
      <c r="F15" s="371">
        <v>1</v>
      </c>
      <c r="G15" s="376" t="s">
        <v>297</v>
      </c>
      <c r="H15" s="371">
        <v>0</v>
      </c>
      <c r="I15" s="372">
        <v>0</v>
      </c>
      <c r="J15" s="372">
        <v>0</v>
      </c>
    </row>
    <row r="16" spans="1:10" x14ac:dyDescent="0.25">
      <c r="A16" s="278" t="s">
        <v>281</v>
      </c>
      <c r="B16" s="334">
        <v>46317.635057870371</v>
      </c>
      <c r="C16" s="376">
        <v>1</v>
      </c>
      <c r="D16" s="376" t="s">
        <v>297</v>
      </c>
      <c r="E16" s="334">
        <v>46317.635057870371</v>
      </c>
      <c r="F16" s="332">
        <v>16</v>
      </c>
      <c r="G16" s="137" t="s">
        <v>281</v>
      </c>
      <c r="H16" s="332">
        <v>888.26087376345765</v>
      </c>
      <c r="I16" s="336">
        <v>5.4480000257492067</v>
      </c>
      <c r="J16" s="336">
        <v>59.217391584230512</v>
      </c>
    </row>
    <row r="17" spans="1:10" x14ac:dyDescent="0.25">
      <c r="A17" s="369" t="s">
        <v>281</v>
      </c>
      <c r="B17" s="370">
        <v>46317.635057870371</v>
      </c>
      <c r="C17" s="374">
        <v>16</v>
      </c>
      <c r="D17" s="374" t="s">
        <v>281</v>
      </c>
      <c r="E17" s="370">
        <v>46317.635057870371</v>
      </c>
      <c r="F17" s="371">
        <v>1</v>
      </c>
      <c r="G17" s="376" t="s">
        <v>297</v>
      </c>
      <c r="H17" s="371">
        <v>0</v>
      </c>
      <c r="I17" s="372">
        <v>0</v>
      </c>
      <c r="J17" s="372">
        <v>0</v>
      </c>
    </row>
    <row r="18" spans="1:10" x14ac:dyDescent="0.25">
      <c r="A18" s="278" t="s">
        <v>290</v>
      </c>
      <c r="B18" s="334">
        <v>46317.635057870371</v>
      </c>
      <c r="C18" s="376">
        <v>1</v>
      </c>
      <c r="D18" s="376" t="s">
        <v>297</v>
      </c>
      <c r="E18" s="334">
        <v>46317.635057870371</v>
      </c>
      <c r="F18" s="332">
        <v>310</v>
      </c>
      <c r="G18" s="137" t="s">
        <v>290</v>
      </c>
      <c r="H18" s="332">
        <v>2993.967346523119</v>
      </c>
      <c r="I18" s="336">
        <v>18.362999725341798</v>
      </c>
      <c r="J18" s="336">
        <v>199.59782310154128</v>
      </c>
    </row>
    <row r="19" spans="1:10" x14ac:dyDescent="0.25">
      <c r="A19" s="369" t="s">
        <v>290</v>
      </c>
      <c r="B19" s="370">
        <v>46317.635057870371</v>
      </c>
      <c r="C19" s="374">
        <v>310</v>
      </c>
      <c r="D19" s="374" t="s">
        <v>290</v>
      </c>
      <c r="E19" s="370">
        <v>46317.635057870371</v>
      </c>
      <c r="F19" s="371">
        <v>1</v>
      </c>
      <c r="G19" s="376" t="s">
        <v>297</v>
      </c>
      <c r="H19" s="371">
        <v>0</v>
      </c>
      <c r="I19" s="372">
        <v>0</v>
      </c>
      <c r="J19" s="372">
        <v>0</v>
      </c>
    </row>
    <row r="20" spans="1:10" x14ac:dyDescent="0.25">
      <c r="A20" s="1" t="s">
        <v>291</v>
      </c>
      <c r="B20" s="276">
        <v>46317.635057870371</v>
      </c>
      <c r="C20" s="279">
        <v>1</v>
      </c>
      <c r="D20" s="376" t="s">
        <v>297</v>
      </c>
      <c r="E20" s="276">
        <v>46317.635057870371</v>
      </c>
      <c r="F20" s="137">
        <v>13</v>
      </c>
      <c r="G20" s="137" t="s">
        <v>291</v>
      </c>
      <c r="H20" s="137">
        <v>999.782596917256</v>
      </c>
      <c r="I20" s="337">
        <v>6.1319999277591704</v>
      </c>
      <c r="J20" s="337">
        <v>66.652173127817065</v>
      </c>
    </row>
    <row r="21" spans="1:10" x14ac:dyDescent="0.25">
      <c r="A21" s="1" t="s">
        <v>291</v>
      </c>
      <c r="B21" s="276">
        <v>46317.635057870371</v>
      </c>
      <c r="C21" s="279">
        <v>13</v>
      </c>
      <c r="D21" s="374" t="s">
        <v>291</v>
      </c>
      <c r="E21" s="276">
        <v>46317.635057870371</v>
      </c>
      <c r="F21" s="137">
        <v>1</v>
      </c>
      <c r="G21" s="376" t="s">
        <v>297</v>
      </c>
      <c r="H21" s="137">
        <v>0</v>
      </c>
      <c r="I21" s="337">
        <v>0</v>
      </c>
      <c r="J21" s="337">
        <v>0</v>
      </c>
    </row>
    <row r="22" spans="1:10" x14ac:dyDescent="0.25">
      <c r="D22" s="376"/>
    </row>
    <row r="23" spans="1:10" x14ac:dyDescent="0.25">
      <c r="D23" s="374"/>
      <c r="G23" s="376"/>
    </row>
    <row r="24" spans="1:10" x14ac:dyDescent="0.25">
      <c r="D24" s="376"/>
    </row>
    <row r="25" spans="1:10" x14ac:dyDescent="0.25">
      <c r="D25" s="374"/>
      <c r="G25" s="376"/>
    </row>
    <row r="26" spans="1:10" x14ac:dyDescent="0.25">
      <c r="D26" s="376"/>
    </row>
    <row r="27" spans="1:10" x14ac:dyDescent="0.25">
      <c r="D27" s="374"/>
      <c r="G27" s="376"/>
    </row>
    <row r="28" spans="1:10" x14ac:dyDescent="0.25">
      <c r="D28" s="376"/>
    </row>
    <row r="29" spans="1:10" x14ac:dyDescent="0.25">
      <c r="D29" s="374"/>
      <c r="G29" s="376"/>
    </row>
    <row r="30" spans="1:10" x14ac:dyDescent="0.25">
      <c r="D30" s="376"/>
    </row>
    <row r="31" spans="1:10" x14ac:dyDescent="0.25">
      <c r="D31" s="374"/>
      <c r="G31" s="376"/>
    </row>
    <row r="32" spans="1:10" x14ac:dyDescent="0.25">
      <c r="D32" s="376"/>
    </row>
    <row r="33" spans="4:7" x14ac:dyDescent="0.25">
      <c r="D33" s="374"/>
      <c r="G33" s="376"/>
    </row>
    <row r="34" spans="4:7" x14ac:dyDescent="0.25">
      <c r="D34" s="376"/>
    </row>
    <row r="35" spans="4:7" x14ac:dyDescent="0.25">
      <c r="D35" s="374"/>
      <c r="G35" s="376"/>
    </row>
    <row r="36" spans="4:7" x14ac:dyDescent="0.25">
      <c r="D36" s="376"/>
    </row>
    <row r="37" spans="4:7" x14ac:dyDescent="0.25">
      <c r="D37" s="374"/>
      <c r="G37" s="376"/>
    </row>
    <row r="38" spans="4:7" x14ac:dyDescent="0.25">
      <c r="D38" s="376"/>
    </row>
    <row r="39" spans="4:7" x14ac:dyDescent="0.25">
      <c r="D39" s="374"/>
      <c r="G39" s="376"/>
    </row>
    <row r="40" spans="4:7" x14ac:dyDescent="0.25">
      <c r="D40" s="376"/>
    </row>
    <row r="41" spans="4:7" x14ac:dyDescent="0.25">
      <c r="D41" s="374"/>
      <c r="G41" s="376"/>
    </row>
    <row r="42" spans="4:7" x14ac:dyDescent="0.25">
      <c r="D42" s="376"/>
    </row>
    <row r="43" spans="4:7" x14ac:dyDescent="0.25">
      <c r="D43" s="374"/>
      <c r="G43" s="376"/>
    </row>
    <row r="44" spans="4:7" x14ac:dyDescent="0.25">
      <c r="D44" s="376"/>
    </row>
    <row r="45" spans="4:7" x14ac:dyDescent="0.25">
      <c r="D45" s="374"/>
      <c r="G45" s="376"/>
    </row>
    <row r="46" spans="4:7" x14ac:dyDescent="0.25">
      <c r="D46" s="376"/>
    </row>
    <row r="47" spans="4:7" x14ac:dyDescent="0.25">
      <c r="D47" s="374"/>
      <c r="G47" s="376"/>
    </row>
    <row r="48" spans="4:7" x14ac:dyDescent="0.25">
      <c r="D48" s="376"/>
    </row>
    <row r="49" spans="4:7" x14ac:dyDescent="0.25">
      <c r="D49" s="374"/>
      <c r="G49" s="376"/>
    </row>
    <row r="50" spans="4:7" x14ac:dyDescent="0.25">
      <c r="D50" s="376"/>
    </row>
    <row r="51" spans="4:7" x14ac:dyDescent="0.25">
      <c r="D51" s="374"/>
      <c r="G51" s="376"/>
    </row>
    <row r="52" spans="4:7" x14ac:dyDescent="0.25">
      <c r="D52" s="376"/>
    </row>
    <row r="53" spans="4:7" x14ac:dyDescent="0.25">
      <c r="D53" s="374"/>
      <c r="G53" s="376"/>
    </row>
    <row r="54" spans="4:7" x14ac:dyDescent="0.25">
      <c r="D54" s="376"/>
    </row>
    <row r="55" spans="4:7" x14ac:dyDescent="0.25">
      <c r="D55" s="374"/>
      <c r="G55" s="376"/>
    </row>
    <row r="56" spans="4:7" x14ac:dyDescent="0.25">
      <c r="D56" s="376"/>
    </row>
    <row r="57" spans="4:7" x14ac:dyDescent="0.25">
      <c r="D57" s="374"/>
      <c r="G57" s="376"/>
    </row>
    <row r="58" spans="4:7" x14ac:dyDescent="0.25">
      <c r="D58" s="376"/>
    </row>
    <row r="59" spans="4:7" x14ac:dyDescent="0.25">
      <c r="D59" s="374"/>
      <c r="G59" s="376"/>
    </row>
    <row r="60" spans="4:7" x14ac:dyDescent="0.25">
      <c r="D60" s="376"/>
    </row>
    <row r="61" spans="4:7" x14ac:dyDescent="0.25">
      <c r="D61" s="374"/>
      <c r="G61" s="376"/>
    </row>
    <row r="62" spans="4:7" x14ac:dyDescent="0.25">
      <c r="D62" s="376"/>
    </row>
    <row r="63" spans="4:7" x14ac:dyDescent="0.25">
      <c r="D63" s="374"/>
      <c r="G63" s="376"/>
    </row>
    <row r="64" spans="4:7" x14ac:dyDescent="0.25">
      <c r="D64" s="376"/>
    </row>
    <row r="65" spans="4:7" x14ac:dyDescent="0.25">
      <c r="D65" s="374"/>
      <c r="G65" s="376"/>
    </row>
    <row r="66" spans="4:7" x14ac:dyDescent="0.25">
      <c r="D66" s="376"/>
    </row>
    <row r="67" spans="4:7" x14ac:dyDescent="0.25">
      <c r="D67" s="374"/>
      <c r="G67" s="376"/>
    </row>
    <row r="68" spans="4:7" x14ac:dyDescent="0.25">
      <c r="D68" s="376"/>
    </row>
    <row r="69" spans="4:7" x14ac:dyDescent="0.25">
      <c r="D69" s="376"/>
    </row>
    <row r="70" spans="4:7" x14ac:dyDescent="0.25">
      <c r="D70" s="376"/>
    </row>
    <row r="71" spans="4:7" x14ac:dyDescent="0.25">
      <c r="D71" s="374"/>
      <c r="G71" s="376"/>
    </row>
    <row r="72" spans="4:7" x14ac:dyDescent="0.25">
      <c r="D72" s="376"/>
    </row>
    <row r="73" spans="4:7" x14ac:dyDescent="0.25">
      <c r="D73" s="374"/>
      <c r="G73" s="376"/>
    </row>
    <row r="74" spans="4:7" x14ac:dyDescent="0.25">
      <c r="D74" s="376"/>
    </row>
    <row r="75" spans="4:7" x14ac:dyDescent="0.25">
      <c r="D75" s="374"/>
      <c r="G75" s="376"/>
    </row>
    <row r="76" spans="4:7" x14ac:dyDescent="0.25">
      <c r="D76" s="376"/>
    </row>
    <row r="77" spans="4:7" x14ac:dyDescent="0.25">
      <c r="D77" s="374"/>
      <c r="G77" s="376"/>
    </row>
    <row r="78" spans="4:7" x14ac:dyDescent="0.25">
      <c r="D78" s="376"/>
    </row>
    <row r="79" spans="4:7" x14ac:dyDescent="0.25">
      <c r="D79" s="374"/>
      <c r="G79" s="376"/>
    </row>
    <row r="80" spans="4:7" x14ac:dyDescent="0.25">
      <c r="D80" s="376"/>
    </row>
    <row r="81" spans="4:7" x14ac:dyDescent="0.25">
      <c r="D81" s="374"/>
      <c r="G81" s="376"/>
    </row>
    <row r="82" spans="4:7" x14ac:dyDescent="0.25">
      <c r="D82" s="376"/>
    </row>
    <row r="83" spans="4:7" x14ac:dyDescent="0.25">
      <c r="D83" s="374"/>
      <c r="G83" s="376"/>
    </row>
    <row r="84" spans="4:7" x14ac:dyDescent="0.25">
      <c r="D84" s="376"/>
    </row>
    <row r="85" spans="4:7" x14ac:dyDescent="0.25">
      <c r="D85" s="374"/>
      <c r="G85" s="376"/>
    </row>
    <row r="86" spans="4:7" x14ac:dyDescent="0.25">
      <c r="D86" s="376"/>
    </row>
    <row r="87" spans="4:7" x14ac:dyDescent="0.25">
      <c r="D87" s="374"/>
      <c r="G87" s="376"/>
    </row>
    <row r="88" spans="4:7" x14ac:dyDescent="0.25">
      <c r="D88" s="376"/>
    </row>
    <row r="89" spans="4:7" x14ac:dyDescent="0.25">
      <c r="D89" s="376"/>
    </row>
    <row r="90" spans="4:7" x14ac:dyDescent="0.25">
      <c r="D90" s="376"/>
    </row>
    <row r="91" spans="4:7" x14ac:dyDescent="0.25">
      <c r="D91" s="374"/>
      <c r="G91" s="376"/>
    </row>
    <row r="92" spans="4:7" x14ac:dyDescent="0.25">
      <c r="D92" s="376"/>
    </row>
    <row r="93" spans="4:7" x14ac:dyDescent="0.25">
      <c r="D93" s="374"/>
      <c r="G93" s="376"/>
    </row>
    <row r="94" spans="4:7" x14ac:dyDescent="0.25">
      <c r="D94" s="376"/>
    </row>
    <row r="95" spans="4:7" x14ac:dyDescent="0.25">
      <c r="D95" s="374"/>
      <c r="G95" s="376"/>
    </row>
    <row r="96" spans="4:7" x14ac:dyDescent="0.25">
      <c r="D96" s="376"/>
    </row>
    <row r="97" spans="4:7" x14ac:dyDescent="0.25">
      <c r="D97" s="374"/>
      <c r="G97" s="376"/>
    </row>
    <row r="98" spans="4:7" x14ac:dyDescent="0.25">
      <c r="D98" s="376"/>
    </row>
    <row r="99" spans="4:7" x14ac:dyDescent="0.25">
      <c r="D99" s="374"/>
      <c r="G99" s="376"/>
    </row>
    <row r="100" spans="4:7" x14ac:dyDescent="0.25">
      <c r="D100" s="376"/>
    </row>
    <row r="101" spans="4:7" x14ac:dyDescent="0.25">
      <c r="D101" s="374"/>
      <c r="G101" s="37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22</vt:i4>
      </vt:variant>
      <vt:variant>
        <vt:lpstr>Intervalli denominati</vt:lpstr>
      </vt:variant>
      <vt:variant>
        <vt:i4>5</vt:i4>
      </vt:variant>
    </vt:vector>
  </HeadingPairs>
  <TitlesOfParts>
    <vt:vector size="27" baseType="lpstr">
      <vt:lpstr>PROCEDURE</vt:lpstr>
      <vt:lpstr>Planning Roma</vt:lpstr>
      <vt:lpstr>Foglio5</vt:lpstr>
      <vt:lpstr>SPUNTA PER GIRO</vt:lpstr>
      <vt:lpstr>SPUNTA ARRIVI </vt:lpstr>
      <vt:lpstr>ANALISI</vt:lpstr>
      <vt:lpstr>TOTALI</vt:lpstr>
      <vt:lpstr>TEXILE</vt:lpstr>
      <vt:lpstr>SHOES</vt:lpstr>
      <vt:lpstr>OTHER</vt:lpstr>
      <vt:lpstr>ECOM</vt:lpstr>
      <vt:lpstr>TEXILE1</vt:lpstr>
      <vt:lpstr>SHOES1</vt:lpstr>
      <vt:lpstr>ECOM1</vt:lpstr>
      <vt:lpstr>OTHER1</vt:lpstr>
      <vt:lpstr>GESTIONE RES</vt:lpstr>
      <vt:lpstr>sga</vt:lpstr>
      <vt:lpstr>SGA_FINALE_0</vt:lpstr>
      <vt:lpstr>SGA_DEF_0</vt:lpstr>
      <vt:lpstr>sga9</vt:lpstr>
      <vt:lpstr>SGA_FINALE_9</vt:lpstr>
      <vt:lpstr>SGA_DEF_9</vt:lpstr>
      <vt:lpstr>'GESTIONE RES'!Area_stampa</vt:lpstr>
      <vt:lpstr>sga!Area_stampa</vt:lpstr>
      <vt:lpstr>'sga9'!Area_stampa</vt:lpstr>
      <vt:lpstr>'SPUNTA ARRIVI '!Area_stampa</vt:lpstr>
      <vt:lpstr>'SPUNTA PER GIRO'!Area_stampa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Bianchini Luca</dc:creator>
  <cp:lastModifiedBy>Luciano Liberati</cp:lastModifiedBy>
  <cp:lastPrinted>2025-02-11T11:48:23Z</cp:lastPrinted>
  <dcterms:created xsi:type="dcterms:W3CDTF">2006-09-16T00:00:00Z</dcterms:created>
  <dcterms:modified xsi:type="dcterms:W3CDTF">2026-10-21T10:01:51Z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