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lacchi03\Dati\scambio\ZARA - NON TOCCARE\ANALISI_ZARA_NEW\"/>
    </mc:Choice>
  </mc:AlternateContent>
  <xr:revisionPtr revIDLastSave="0" documentId="13_ncr:1_{AC4AFD74-79C5-4904-9936-8418D13103B3}" xr6:coauthVersionLast="47" xr6:coauthVersionMax="47" xr10:uidLastSave="{00000000-0000-0000-0000-000000000000}"/>
  <bookViews>
    <workbookView minimized="1" xWindow="-23136" yWindow="5040" windowWidth="23232" windowHeight="8736" xr2:uid="{00000000-000D-0000-FFFF-FFFF00000000}"/>
  </bookViews>
  <sheets>
    <sheet name="ANAGRAFICA_NEGOZI" sheetId="1" r:id="rId1"/>
  </sheets>
  <externalReferences>
    <externalReference r:id="rId2"/>
  </externalReferences>
  <definedNames>
    <definedName name="_xlnm._FilterDatabase" localSheetId="0" hidden="1">ANAGRAFICA_NEGOZI!$A$1:$K$61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5" i="1" l="1"/>
  <c r="K54" i="1"/>
  <c r="A53" i="1"/>
  <c r="K53" i="1" s="1"/>
  <c r="A54" i="1"/>
  <c r="A55" i="1"/>
  <c r="A56" i="1"/>
  <c r="K56" i="1" s="1"/>
  <c r="A57" i="1"/>
  <c r="K57" i="1" s="1"/>
  <c r="A58" i="1"/>
  <c r="K58" i="1" s="1"/>
  <c r="A59" i="1"/>
  <c r="K59" i="1" s="1"/>
  <c r="A60" i="1"/>
  <c r="K60" i="1" s="1"/>
  <c r="A61" i="1"/>
  <c r="K61" i="1" s="1"/>
  <c r="A52" i="1"/>
  <c r="K52" i="1" s="1"/>
  <c r="K3" i="1"/>
  <c r="K42" i="1"/>
  <c r="K4" i="1"/>
  <c r="K43" i="1"/>
  <c r="K5" i="1"/>
  <c r="K6" i="1"/>
  <c r="K7" i="1"/>
  <c r="K44" i="1"/>
  <c r="K8" i="1"/>
  <c r="K9" i="1"/>
  <c r="K10" i="1"/>
  <c r="K11" i="1"/>
  <c r="K12" i="1"/>
  <c r="K13" i="1"/>
  <c r="K14" i="1"/>
  <c r="K45" i="1"/>
  <c r="K15" i="1"/>
  <c r="K46" i="1"/>
  <c r="K47" i="1"/>
  <c r="K16" i="1"/>
  <c r="K17" i="1"/>
  <c r="K18" i="1"/>
  <c r="K19" i="1"/>
  <c r="K20" i="1"/>
  <c r="K21" i="1"/>
  <c r="K22" i="1"/>
  <c r="K23" i="1"/>
  <c r="K24" i="1"/>
  <c r="K25" i="1"/>
  <c r="K26" i="1"/>
  <c r="K27" i="1"/>
  <c r="K48" i="1"/>
  <c r="K28" i="1"/>
  <c r="K29" i="1"/>
  <c r="K30" i="1"/>
  <c r="K49" i="1"/>
  <c r="K31" i="1"/>
  <c r="K50" i="1"/>
  <c r="K32" i="1"/>
  <c r="K33" i="1"/>
  <c r="K51" i="1"/>
  <c r="K34" i="1"/>
  <c r="K35" i="1"/>
  <c r="K36" i="1"/>
  <c r="K37" i="1"/>
  <c r="K38" i="1"/>
  <c r="K39" i="1"/>
  <c r="K40" i="1"/>
  <c r="K41" i="1"/>
  <c r="K2" i="1"/>
</calcChain>
</file>

<file path=xl/sharedStrings.xml><?xml version="1.0" encoding="utf-8"?>
<sst xmlns="http://schemas.openxmlformats.org/spreadsheetml/2006/main" count="491" uniqueCount="94">
  <si>
    <t>STORE_ID</t>
  </si>
  <si>
    <t>STORE</t>
  </si>
  <si>
    <t>PUNTO_VENDITA</t>
  </si>
  <si>
    <t>RAGG</t>
  </si>
  <si>
    <t>codSGA</t>
  </si>
  <si>
    <t>CC</t>
  </si>
  <si>
    <t>ATTIVO</t>
  </si>
  <si>
    <t>BARRA</t>
  </si>
  <si>
    <t>STENDER</t>
  </si>
  <si>
    <t>TER-GRAN SASSO</t>
  </si>
  <si>
    <t>BERSHKA</t>
  </si>
  <si>
    <t>ZA2</t>
  </si>
  <si>
    <t>C.C. Gran sasso</t>
  </si>
  <si>
    <t>SI</t>
  </si>
  <si>
    <t>BARRA 0</t>
  </si>
  <si>
    <t>NO</t>
  </si>
  <si>
    <t>ROM-ROMA EST</t>
  </si>
  <si>
    <t>ZA14</t>
  </si>
  <si>
    <t>CC Roma EST</t>
  </si>
  <si>
    <t>ROM-P.DI ROMA</t>
  </si>
  <si>
    <t>ZA4</t>
  </si>
  <si>
    <t>C.C.La Porta di Roma</t>
  </si>
  <si>
    <t>BARRA 0 / BARRA 9</t>
  </si>
  <si>
    <t>ROM-GRAN ROMA</t>
  </si>
  <si>
    <t>ZA8</t>
  </si>
  <si>
    <t>CC GRAN ROMA</t>
  </si>
  <si>
    <t>ROM-EUROMA2</t>
  </si>
  <si>
    <t>ZA11</t>
  </si>
  <si>
    <t>CC EUROMA2 GIRO 1</t>
  </si>
  <si>
    <t>PER-COLLESTRADA</t>
  </si>
  <si>
    <t>ZA10</t>
  </si>
  <si>
    <t>C. C. Collestrada</t>
  </si>
  <si>
    <t>LATI-LATINAFIOR</t>
  </si>
  <si>
    <t>ZA6</t>
  </si>
  <si>
    <t>CC LATINA</t>
  </si>
  <si>
    <t>CITT-PESCARA NO</t>
  </si>
  <si>
    <t>ZA3</t>
  </si>
  <si>
    <t>CC Pescara Nord</t>
  </si>
  <si>
    <t>ROM-OTTAVIANO</t>
  </si>
  <si>
    <t>ZA5</t>
  </si>
  <si>
    <t>ROMA VIA OTTAVIANO</t>
  </si>
  <si>
    <t>MASSIMO DUTTI</t>
  </si>
  <si>
    <t>OYSHO</t>
  </si>
  <si>
    <t>STRADIVARIUS</t>
  </si>
  <si>
    <t>PULL&amp;BEAR</t>
  </si>
  <si>
    <t>C.C. La Porta di Roma</t>
  </si>
  <si>
    <t>ROM-EUROMA2 APT0</t>
  </si>
  <si>
    <t>PER-COLLESTRADA APT0</t>
  </si>
  <si>
    <t>ASC-AL BATTENT</t>
  </si>
  <si>
    <t>ZA9</t>
  </si>
  <si>
    <t>C.C. Al Battente</t>
  </si>
  <si>
    <t>ROM-VIA TUSCOLA</t>
  </si>
  <si>
    <t>ROMA VIA TUSCOLANA</t>
  </si>
  <si>
    <t>CC EUROMA2 GIRO 2</t>
  </si>
  <si>
    <t>PES-VITTORIO E</t>
  </si>
  <si>
    <t>Pescara</t>
  </si>
  <si>
    <t>CHIETI-MEGALO</t>
  </si>
  <si>
    <t>ZA1</t>
  </si>
  <si>
    <t>CC Chieti Megalò</t>
  </si>
  <si>
    <t>ZARA</t>
  </si>
  <si>
    <t>ZA7</t>
  </si>
  <si>
    <t>ROMA VIA APPIA</t>
  </si>
  <si>
    <t>ROM-P BOCCONI</t>
  </si>
  <si>
    <t>ZA12</t>
  </si>
  <si>
    <t>VIA DEL CORSO</t>
  </si>
  <si>
    <t>FIUM-LEONARDO</t>
  </si>
  <si>
    <t>CHIETI-MEGALO APT0</t>
  </si>
  <si>
    <t>ZARA HOME</t>
  </si>
  <si>
    <t>ROM-COLA RIENZO</t>
  </si>
  <si>
    <t>ROMA  COLA RIENZO</t>
  </si>
  <si>
    <t>CD2-IT-ROMA</t>
  </si>
  <si>
    <t>ZA13</t>
  </si>
  <si>
    <t>CASTEL GIUBILEO</t>
  </si>
  <si>
    <t>MAC-ADRIATICO</t>
  </si>
  <si>
    <t>C.C. IL CUORE ADRIATICO</t>
  </si>
  <si>
    <t>CHIETI</t>
  </si>
  <si>
    <t>ROM-PALAZZO RU</t>
  </si>
  <si>
    <t>ZA20</t>
  </si>
  <si>
    <t>FORMULA</t>
  </si>
  <si>
    <t>MC*1,5/1,8</t>
  </si>
  <si>
    <t>MC/1,9</t>
  </si>
  <si>
    <t>MC/1,5</t>
  </si>
  <si>
    <t>ff</t>
  </si>
  <si>
    <t>ZA16</t>
  </si>
  <si>
    <t>ZA17</t>
  </si>
  <si>
    <t>ZA18</t>
  </si>
  <si>
    <t>ZA19</t>
  </si>
  <si>
    <t>ZA15</t>
  </si>
  <si>
    <t>(MC*1,5/1,8)*0,7</t>
  </si>
  <si>
    <t>(MC/1,9)*0,7</t>
  </si>
  <si>
    <t>(MC/1,5 )* 0,7</t>
  </si>
  <si>
    <t>(MC*1,5/1,8)*0,3</t>
  </si>
  <si>
    <t>(MC/1,9)*0,3</t>
  </si>
  <si>
    <t>(MC/1,5 )*0,3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</si>
</sst>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0" xfId="0" applyFill="1"/>
    <xf numFmtId="0" fontId="3" fillId="5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.serafini\Desktop\Planning%20ZAR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DURE"/>
      <sheetName val="Planning Roma"/>
      <sheetName val="Foglio5"/>
      <sheetName val="SPUNTA PER GIRO"/>
      <sheetName val="SPUNTA ARRIVI "/>
      <sheetName val="ANALISI"/>
      <sheetName val="TOTALI"/>
      <sheetName val="TEXILE"/>
      <sheetName val="SHOES"/>
      <sheetName val="OTHER"/>
      <sheetName val="ECOM"/>
      <sheetName val="TEXILE1"/>
      <sheetName val="SHOES1"/>
      <sheetName val="ECOM1"/>
      <sheetName val="OTHER1"/>
      <sheetName val="GESTIONE RES"/>
      <sheetName val="sga"/>
      <sheetName val="SGA_FINALE_0"/>
      <sheetName val="SGA_DEF_0"/>
      <sheetName val="sga9"/>
      <sheetName val="SGA_FINALE_9"/>
      <sheetName val="SGA_DEF_9"/>
    </sheetNames>
    <sheetDataSet>
      <sheetData sheetId="0"/>
      <sheetData sheetId="1"/>
      <sheetData sheetId="2"/>
      <sheetData sheetId="3"/>
      <sheetData sheetId="4">
        <row r="1">
          <cell r="A1" t="str">
            <v>NEGOZIO</v>
          </cell>
          <cell r="B1" t="str">
            <v>STORE</v>
          </cell>
          <cell r="C1" t="str">
            <v>PUNTO VENDITA</v>
          </cell>
          <cell r="D1" t="str">
            <v>MC</v>
          </cell>
          <cell r="E1" t="str">
            <v>TEXTILE
ATTESI</v>
          </cell>
          <cell r="G1" t="str">
            <v>OTHER
ATTESI</v>
          </cell>
          <cell r="I1" t="str">
            <v>SHOES ATTESI</v>
          </cell>
          <cell r="K1" t="str">
            <v>ECOM ATTESI</v>
          </cell>
          <cell r="M1" t="str">
            <v>PEDANE</v>
          </cell>
          <cell r="N1" t="str">
            <v>TOTALE PEDANE</v>
          </cell>
          <cell r="O1" t="str">
            <v>VETTORE AUTISTA</v>
          </cell>
          <cell r="P1" t="str">
            <v>TIPO MEZZO</v>
          </cell>
          <cell r="Q1" t="str">
            <v>TARGA</v>
          </cell>
          <cell r="R1" t="str">
            <v>COD.MEZZO</v>
          </cell>
          <cell r="S1" t="str">
            <v xml:space="preserve"> SUPPORTO</v>
          </cell>
        </row>
        <row r="2">
          <cell r="A2">
            <v>16647</v>
          </cell>
          <cell r="B2" t="str">
            <v>CC Chieti Megalò</v>
          </cell>
          <cell r="C2" t="str">
            <v>STRADIVARIUS</v>
          </cell>
          <cell r="D2">
            <v>7.4900000691413879</v>
          </cell>
          <cell r="E2">
            <v>67</v>
          </cell>
          <cell r="G2">
            <v>0</v>
          </cell>
          <cell r="I2">
            <v>3</v>
          </cell>
          <cell r="K2">
            <v>0</v>
          </cell>
          <cell r="M2">
            <v>4</v>
          </cell>
          <cell r="N2">
            <v>59.3</v>
          </cell>
          <cell r="O2" t="str">
            <v>C. ORIENTA</v>
          </cell>
          <cell r="P2" t="str">
            <v>BILICO 33</v>
          </cell>
          <cell r="R2" t="str">
            <v>VARI</v>
          </cell>
          <cell r="T2" t="str">
            <v>=ARROTONDA.ECCESSO(D2/1,9;1)</v>
          </cell>
        </row>
        <row r="3">
          <cell r="A3">
            <v>3503</v>
          </cell>
          <cell r="B3" t="str">
            <v>CC Chieti Megalò</v>
          </cell>
          <cell r="C3" t="str">
            <v>ZARA</v>
          </cell>
          <cell r="D3">
            <v>37.821000146865842</v>
          </cell>
          <cell r="E3">
            <v>430</v>
          </cell>
          <cell r="G3">
            <v>16</v>
          </cell>
          <cell r="I3">
            <v>40</v>
          </cell>
          <cell r="K3">
            <v>0</v>
          </cell>
          <cell r="M3">
            <v>31.6</v>
          </cell>
          <cell r="T3" t="str">
            <v>=ARROTONDA.PER.ECC(D3*1,5/1,8;1)</v>
          </cell>
        </row>
        <row r="4">
          <cell r="A4">
            <v>16351</v>
          </cell>
          <cell r="B4" t="str">
            <v>CC Chieti Megalò</v>
          </cell>
          <cell r="C4" t="str">
            <v>BERSHKA</v>
          </cell>
          <cell r="D4">
            <v>14.35999958217144</v>
          </cell>
          <cell r="E4">
            <v>137</v>
          </cell>
          <cell r="G4">
            <v>0</v>
          </cell>
          <cell r="I4">
            <v>9</v>
          </cell>
          <cell r="K4">
            <v>1</v>
          </cell>
          <cell r="M4">
            <v>12</v>
          </cell>
          <cell r="T4" t="str">
            <v>=ARROTONDA.PER.ECC(D4*1,5/1,8;1)</v>
          </cell>
        </row>
        <row r="5">
          <cell r="A5">
            <v>16564</v>
          </cell>
          <cell r="B5" t="str">
            <v>CC Chieti Megalò</v>
          </cell>
          <cell r="C5" t="str">
            <v>PULL&amp;BEAR</v>
          </cell>
          <cell r="D5">
            <v>13.920000433921814</v>
          </cell>
          <cell r="E5">
            <v>148</v>
          </cell>
          <cell r="G5">
            <v>0</v>
          </cell>
          <cell r="I5">
            <v>10</v>
          </cell>
          <cell r="K5">
            <v>0</v>
          </cell>
          <cell r="M5">
            <v>11.7</v>
          </cell>
          <cell r="T5" t="str">
            <v>=ARROTONDA.PER.ECC(D5*1,5/1,8;1)</v>
          </cell>
        </row>
        <row r="7">
          <cell r="A7" t="str">
            <v>Store ID</v>
          </cell>
          <cell r="B7" t="str">
            <v>Store</v>
          </cell>
          <cell r="C7" t="str">
            <v>PUNTO VENDITA</v>
          </cell>
          <cell r="D7" t="str">
            <v>MC</v>
          </cell>
          <cell r="E7" t="str">
            <v>TEXTILE
ATTESI</v>
          </cell>
          <cell r="G7" t="str">
            <v>OTHER
ATTESI</v>
          </cell>
          <cell r="I7" t="str">
            <v>SHOES ATTESI</v>
          </cell>
          <cell r="K7" t="str">
            <v>ECOM ATTESI</v>
          </cell>
          <cell r="M7" t="str">
            <v>PEDANE</v>
          </cell>
          <cell r="O7" t="str">
            <v>VETTORE</v>
          </cell>
          <cell r="P7" t="str">
            <v>TIPO MEZZO</v>
          </cell>
          <cell r="Q7" t="str">
            <v>TARGA</v>
          </cell>
          <cell r="R7" t="str">
            <v>COD.MEZZO</v>
          </cell>
          <cell r="S7" t="str">
            <v xml:space="preserve"> SUPPORTO</v>
          </cell>
        </row>
        <row r="8">
          <cell r="A8">
            <v>5641</v>
          </cell>
          <cell r="B8" t="str">
            <v>C.C. IL CUORE ADRIATICO</v>
          </cell>
          <cell r="C8" t="str">
            <v>BERSHKA</v>
          </cell>
          <cell r="D8">
            <v>11.63999979197979</v>
          </cell>
          <cell r="E8">
            <v>111</v>
          </cell>
          <cell r="G8">
            <v>0</v>
          </cell>
          <cell r="I8">
            <v>5</v>
          </cell>
          <cell r="K8">
            <v>1</v>
          </cell>
          <cell r="M8">
            <v>9.6999999999999993</v>
          </cell>
          <cell r="N8">
            <v>53.3</v>
          </cell>
          <cell r="O8" t="str">
            <v>C. ORIENTA</v>
          </cell>
          <cell r="P8" t="str">
            <v>BILICO 33</v>
          </cell>
          <cell r="R8" t="str">
            <v>VARI</v>
          </cell>
          <cell r="T8" t="str">
            <v>=ARROTONDA.PER.ECC(D8*1,5/1,8;1)</v>
          </cell>
        </row>
        <row r="9">
          <cell r="A9">
            <v>5405</v>
          </cell>
          <cell r="B9" t="str">
            <v>C.C. IL CUORE ADRIATICO</v>
          </cell>
          <cell r="C9" t="str">
            <v>PULL&amp;BEAR</v>
          </cell>
          <cell r="D9">
            <v>11.099999964237213</v>
          </cell>
          <cell r="E9">
            <v>120</v>
          </cell>
          <cell r="G9">
            <v>0</v>
          </cell>
          <cell r="I9">
            <v>4</v>
          </cell>
          <cell r="K9">
            <v>2</v>
          </cell>
          <cell r="M9">
            <v>6</v>
          </cell>
          <cell r="T9" t="str">
            <v>=ARROTONDA.ECCESSO(D9/1,9;1)</v>
          </cell>
        </row>
        <row r="10">
          <cell r="A10">
            <v>2972</v>
          </cell>
          <cell r="B10" t="str">
            <v>C.C. IL CUORE ADRIATICO</v>
          </cell>
          <cell r="C10" t="str">
            <v>STRADIVARIUS</v>
          </cell>
          <cell r="D10">
            <v>8.2199998795986176</v>
          </cell>
          <cell r="E10">
            <v>73</v>
          </cell>
          <cell r="G10">
            <v>0</v>
          </cell>
          <cell r="I10">
            <v>4</v>
          </cell>
          <cell r="K10">
            <v>0</v>
          </cell>
          <cell r="M10">
            <v>5</v>
          </cell>
          <cell r="T10" t="str">
            <v>=ARROTONDA.ECCESSO(D10/1,9;1)</v>
          </cell>
        </row>
        <row r="11">
          <cell r="A11">
            <v>12271</v>
          </cell>
          <cell r="B11" t="str">
            <v>C.C. Gran sasso</v>
          </cell>
          <cell r="C11" t="str">
            <v>ZARA</v>
          </cell>
          <cell r="D11">
            <v>26.87999951839447</v>
          </cell>
          <cell r="E11">
            <v>220</v>
          </cell>
          <cell r="G11">
            <v>10</v>
          </cell>
          <cell r="I11">
            <v>13</v>
          </cell>
          <cell r="K11">
            <v>0</v>
          </cell>
          <cell r="M11">
            <v>22.400000000000002</v>
          </cell>
          <cell r="T11" t="str">
            <v>=ARROTONDA.PER.ECC(D11*1,5/1,8;1)</v>
          </cell>
        </row>
        <row r="12">
          <cell r="A12">
            <v>12152</v>
          </cell>
          <cell r="B12" t="str">
            <v>C.C. Gran sasso</v>
          </cell>
          <cell r="C12" t="str">
            <v>PULL&amp;BEAR</v>
          </cell>
          <cell r="D12">
            <v>5.9300000965595245</v>
          </cell>
          <cell r="E12">
            <v>63</v>
          </cell>
          <cell r="G12">
            <v>0</v>
          </cell>
          <cell r="I12">
            <v>3</v>
          </cell>
          <cell r="K12">
            <v>1</v>
          </cell>
          <cell r="M12">
            <v>4</v>
          </cell>
          <cell r="T12" t="str">
            <v>=ARROTONDA.ECCESSO(D12/1,9;1)</v>
          </cell>
        </row>
        <row r="13">
          <cell r="A13">
            <v>8601</v>
          </cell>
          <cell r="B13" t="str">
            <v>C.C. Gran sasso</v>
          </cell>
          <cell r="C13" t="str">
            <v>BERSHKA</v>
          </cell>
          <cell r="D13">
            <v>7.3299999535083771</v>
          </cell>
          <cell r="E13">
            <v>66</v>
          </cell>
          <cell r="G13">
            <v>0</v>
          </cell>
          <cell r="I13">
            <v>6</v>
          </cell>
          <cell r="K13">
            <v>2</v>
          </cell>
          <cell r="M13">
            <v>6.1999999999999993</v>
          </cell>
          <cell r="T13" t="str">
            <v>=ARROTONDA.PER.ECC(D13*1,5/1,8;1)</v>
          </cell>
        </row>
        <row r="15">
          <cell r="A15" t="str">
            <v>Store ID</v>
          </cell>
          <cell r="B15" t="str">
            <v>Store</v>
          </cell>
          <cell r="C15" t="str">
            <v>PUNTO VENDITA</v>
          </cell>
          <cell r="D15" t="str">
            <v>MC</v>
          </cell>
          <cell r="E15" t="str">
            <v>TEXTILE
ATTESI</v>
          </cell>
          <cell r="G15" t="str">
            <v>OTHER
ATTESI</v>
          </cell>
          <cell r="I15" t="str">
            <v>SHOES ATTESI</v>
          </cell>
          <cell r="K15" t="str">
            <v>ECOM ATTESI</v>
          </cell>
          <cell r="M15" t="str">
            <v>PEDANE</v>
          </cell>
          <cell r="O15" t="str">
            <v>VETTORE</v>
          </cell>
          <cell r="P15" t="str">
            <v>TIPO MEZZO</v>
          </cell>
          <cell r="Q15" t="str">
            <v>TARGA</v>
          </cell>
          <cell r="R15" t="str">
            <v>COD.MEZZO</v>
          </cell>
          <cell r="S15" t="str">
            <v xml:space="preserve"> SUPPORTO</v>
          </cell>
        </row>
        <row r="16">
          <cell r="A16">
            <v>11796</v>
          </cell>
          <cell r="B16" t="str">
            <v>CC Pescara Nord</v>
          </cell>
          <cell r="C16" t="str">
            <v>BERSHKA</v>
          </cell>
          <cell r="D16">
            <v>4.5500001311302185</v>
          </cell>
          <cell r="E16">
            <v>42</v>
          </cell>
          <cell r="G16">
            <v>0</v>
          </cell>
          <cell r="I16">
            <v>2</v>
          </cell>
          <cell r="K16">
            <v>2</v>
          </cell>
          <cell r="M16">
            <v>3.8000000000000003</v>
          </cell>
          <cell r="N16">
            <v>6.8000000000000007</v>
          </cell>
          <cell r="O16" t="str">
            <v>C. ORIENTA</v>
          </cell>
          <cell r="P16" t="str">
            <v>FURGONE 8</v>
          </cell>
          <cell r="R16" t="str">
            <v>VARI</v>
          </cell>
          <cell r="T16" t="str">
            <v>=ARROTONDA.PER.ECC(D16*1,5/1,8;1)</v>
          </cell>
        </row>
        <row r="17">
          <cell r="A17">
            <v>10265</v>
          </cell>
          <cell r="B17" t="str">
            <v>Pescara</v>
          </cell>
          <cell r="C17" t="str">
            <v>STRADIVARIUS</v>
          </cell>
          <cell r="D17">
            <v>5.0499999225139618</v>
          </cell>
          <cell r="E17">
            <v>48</v>
          </cell>
          <cell r="G17">
            <v>0</v>
          </cell>
          <cell r="I17">
            <v>2</v>
          </cell>
          <cell r="K17">
            <v>0</v>
          </cell>
          <cell r="M17">
            <v>3</v>
          </cell>
          <cell r="T17" t="str">
            <v>=ARROTONDA.ECCESSO(D17/1,9;1)</v>
          </cell>
        </row>
        <row r="19">
          <cell r="A19" t="str">
            <v>Store ID</v>
          </cell>
          <cell r="B19" t="str">
            <v>Store</v>
          </cell>
          <cell r="C19" t="str">
            <v>PUNTO VENDITA</v>
          </cell>
          <cell r="D19" t="str">
            <v>MC</v>
          </cell>
          <cell r="E19" t="str">
            <v>TEXTILE
ATTESI</v>
          </cell>
          <cell r="G19" t="str">
            <v>OTHER
ATTESI</v>
          </cell>
          <cell r="I19" t="str">
            <v>SHOES ATTESI</v>
          </cell>
          <cell r="K19" t="str">
            <v>ECOM ATTESI</v>
          </cell>
          <cell r="M19" t="str">
            <v>PEDANE</v>
          </cell>
          <cell r="O19" t="str">
            <v>VETTORE</v>
          </cell>
          <cell r="P19" t="str">
            <v>TIPO MEZZO</v>
          </cell>
          <cell r="Q19" t="str">
            <v>TARGA</v>
          </cell>
          <cell r="R19" t="str">
            <v>COD.MEZZO</v>
          </cell>
          <cell r="S19" t="str">
            <v xml:space="preserve"> SUPPORTO</v>
          </cell>
        </row>
        <row r="20">
          <cell r="A20">
            <v>5367</v>
          </cell>
          <cell r="B20" t="str">
            <v>C.C. La Porta di Roma</v>
          </cell>
          <cell r="C20" t="str">
            <v>PULL&amp;BEAR</v>
          </cell>
          <cell r="D20">
            <v>15.827000072598457</v>
          </cell>
          <cell r="E20">
            <v>241</v>
          </cell>
          <cell r="G20">
            <v>0</v>
          </cell>
          <cell r="I20">
            <v>17</v>
          </cell>
          <cell r="K20">
            <v>1</v>
          </cell>
          <cell r="M20">
            <v>9</v>
          </cell>
          <cell r="N20">
            <v>76.582399311065672</v>
          </cell>
          <cell r="O20" t="str">
            <v>LA CELESSICA</v>
          </cell>
          <cell r="P20" t="str">
            <v>BILICO 33</v>
          </cell>
          <cell r="R20" t="str">
            <v>VARI</v>
          </cell>
          <cell r="T20" t="str">
            <v>=ARROTONDA.ECCESSO(D20/1,9;1)</v>
          </cell>
        </row>
        <row r="21">
          <cell r="A21">
            <v>1971</v>
          </cell>
          <cell r="B21" t="str">
            <v>C.C.La Porta di Roma</v>
          </cell>
          <cell r="C21" t="str">
            <v>ZARA HOME</v>
          </cell>
          <cell r="D21">
            <v>13.570000171661377</v>
          </cell>
          <cell r="E21">
            <v>140</v>
          </cell>
          <cell r="G21">
            <v>0</v>
          </cell>
          <cell r="I21">
            <v>0</v>
          </cell>
          <cell r="K21">
            <v>11</v>
          </cell>
          <cell r="M21">
            <v>10</v>
          </cell>
          <cell r="T21" t="str">
            <v>=ARROTONDA.ECCESSO(D21/1,5;1)</v>
          </cell>
        </row>
        <row r="22">
          <cell r="A22">
            <v>14825</v>
          </cell>
          <cell r="B22" t="str">
            <v>C.C.La Porta di Roma</v>
          </cell>
          <cell r="C22" t="str">
            <v>BERSHKA</v>
          </cell>
          <cell r="D22">
            <v>18.160000085830688</v>
          </cell>
          <cell r="E22">
            <v>178</v>
          </cell>
          <cell r="G22">
            <v>2</v>
          </cell>
          <cell r="I22">
            <v>12</v>
          </cell>
          <cell r="K22">
            <v>0</v>
          </cell>
          <cell r="M22">
            <v>15.2</v>
          </cell>
          <cell r="T22" t="str">
            <v>=ARROTONDA.PER.ECC(D22*1,5/1,8;1)</v>
          </cell>
        </row>
        <row r="23">
          <cell r="A23">
            <v>6760</v>
          </cell>
          <cell r="B23" t="str">
            <v>C.C.La Porta di Roma</v>
          </cell>
          <cell r="C23" t="str">
            <v>STRADIVARIUS</v>
          </cell>
          <cell r="D23">
            <v>15.559999942779541</v>
          </cell>
          <cell r="E23">
            <v>137</v>
          </cell>
          <cell r="G23">
            <v>0</v>
          </cell>
          <cell r="I23">
            <v>11</v>
          </cell>
          <cell r="K23">
            <v>0</v>
          </cell>
          <cell r="M23">
            <v>9</v>
          </cell>
          <cell r="T23" t="str">
            <v>=ARROTONDA.ECCESSO(D23/1,9;1)</v>
          </cell>
        </row>
        <row r="24">
          <cell r="A24">
            <v>2435</v>
          </cell>
          <cell r="B24" t="str">
            <v>C.C.La Porta di Roma</v>
          </cell>
          <cell r="C24" t="str">
            <v>OYSHO</v>
          </cell>
          <cell r="D24">
            <v>2.5600000098347664</v>
          </cell>
          <cell r="E24">
            <v>26</v>
          </cell>
          <cell r="G24">
            <v>0</v>
          </cell>
          <cell r="I24">
            <v>2</v>
          </cell>
          <cell r="K24">
            <v>1</v>
          </cell>
          <cell r="M24">
            <v>2</v>
          </cell>
          <cell r="T24" t="str">
            <v>=ARROTONDA.ECCESSO(D24/1,9;1)</v>
          </cell>
        </row>
        <row r="25">
          <cell r="A25">
            <v>3680</v>
          </cell>
          <cell r="B25" t="str">
            <v>C.C.La Porta di Roma</v>
          </cell>
          <cell r="C25" t="str">
            <v>ZARA</v>
          </cell>
          <cell r="D25">
            <v>26.151999425888061</v>
          </cell>
          <cell r="E25">
            <v>273</v>
          </cell>
          <cell r="G25">
            <v>37</v>
          </cell>
          <cell r="I25">
            <v>48</v>
          </cell>
          <cell r="K25">
            <v>0</v>
          </cell>
          <cell r="M25" t="str">
            <v xml:space="preserve"> plt +  stdr</v>
          </cell>
          <cell r="T25" t="str">
            <v>=CONCAT(C119;" plt";" + ";B119;" stdr")</v>
          </cell>
        </row>
        <row r="27">
          <cell r="A27" t="str">
            <v>Store ID</v>
          </cell>
          <cell r="B27" t="str">
            <v>Store</v>
          </cell>
          <cell r="C27" t="str">
            <v>PUNTO VENDITA</v>
          </cell>
          <cell r="D27" t="str">
            <v>MC</v>
          </cell>
          <cell r="E27" t="str">
            <v>TEXTILE
ATTESI</v>
          </cell>
          <cell r="G27" t="str">
            <v>OTHER
ATTESI</v>
          </cell>
          <cell r="I27" t="str">
            <v>SHOES ATTESI</v>
          </cell>
          <cell r="K27" t="str">
            <v>ECOM ATTESI</v>
          </cell>
          <cell r="M27" t="str">
            <v>PEDANE</v>
          </cell>
          <cell r="O27" t="str">
            <v>VETTORE</v>
          </cell>
          <cell r="P27" t="str">
            <v>TIPO MEZZO</v>
          </cell>
          <cell r="Q27" t="str">
            <v>TARGA</v>
          </cell>
          <cell r="R27" t="str">
            <v>COD.MEZZO</v>
          </cell>
          <cell r="S27" t="str">
            <v xml:space="preserve"> SUPPORTO</v>
          </cell>
        </row>
        <row r="28">
          <cell r="A28">
            <v>1984</v>
          </cell>
          <cell r="B28" t="str">
            <v>ROMA 
COLA RIENZO</v>
          </cell>
          <cell r="C28" t="str">
            <v>ZARA HOME</v>
          </cell>
          <cell r="D28">
            <v>12.894000637531279</v>
          </cell>
          <cell r="E28">
            <v>186</v>
          </cell>
          <cell r="G28">
            <v>6</v>
          </cell>
          <cell r="I28">
            <v>0</v>
          </cell>
          <cell r="K28">
            <v>17</v>
          </cell>
          <cell r="M28">
            <v>9</v>
          </cell>
          <cell r="N28">
            <v>20</v>
          </cell>
          <cell r="O28" t="str">
            <v>ORIENTA</v>
          </cell>
          <cell r="P28" t="str">
            <v>MOTRICE EE 14</v>
          </cell>
          <cell r="R28">
            <v>3097</v>
          </cell>
          <cell r="T28" t="str">
            <v>=ARROTONDA.ECCESSO(D28/1,5;1)</v>
          </cell>
        </row>
        <row r="29">
          <cell r="A29">
            <v>14010</v>
          </cell>
          <cell r="B29" t="str">
            <v>ROMA VIA OTTAVIANO</v>
          </cell>
          <cell r="C29" t="str">
            <v>BERSHKA</v>
          </cell>
          <cell r="D29">
            <v>20.439999759197235</v>
          </cell>
          <cell r="E29">
            <v>206</v>
          </cell>
          <cell r="G29">
            <v>0</v>
          </cell>
          <cell r="I29">
            <v>7</v>
          </cell>
          <cell r="K29">
            <v>0</v>
          </cell>
          <cell r="M29">
            <v>11</v>
          </cell>
          <cell r="T29" t="str">
            <v>=ARROTONDA.ECCESSO(D29/1,9;1)</v>
          </cell>
        </row>
        <row r="31">
          <cell r="A31" t="str">
            <v>Store ID</v>
          </cell>
          <cell r="B31" t="str">
            <v>Store</v>
          </cell>
          <cell r="C31" t="str">
            <v>PUNTO VENDITA</v>
          </cell>
          <cell r="D31" t="str">
            <v>MC</v>
          </cell>
          <cell r="E31" t="str">
            <v>TEXTILE
ATTESI</v>
          </cell>
          <cell r="G31" t="str">
            <v>OTHER
ATTESI</v>
          </cell>
          <cell r="I31" t="str">
            <v>SHOES ATTESI</v>
          </cell>
          <cell r="K31" t="str">
            <v>ECOM ATTESI</v>
          </cell>
          <cell r="M31" t="str">
            <v>PEDANE</v>
          </cell>
          <cell r="O31" t="str">
            <v>VETTORE</v>
          </cell>
          <cell r="P31" t="str">
            <v>TIPO MEZZO</v>
          </cell>
          <cell r="Q31" t="str">
            <v>TARGA</v>
          </cell>
          <cell r="R31" t="str">
            <v>COD.MEZZO</v>
          </cell>
          <cell r="S31" t="str">
            <v xml:space="preserve"> SUPPORTO</v>
          </cell>
        </row>
        <row r="32">
          <cell r="A32">
            <v>16037</v>
          </cell>
          <cell r="B32" t="str">
            <v>CC LATINA</v>
          </cell>
          <cell r="C32" t="str">
            <v>BERSHKA</v>
          </cell>
          <cell r="D32">
            <v>8.629999965429306</v>
          </cell>
          <cell r="E32">
            <v>83</v>
          </cell>
          <cell r="G32">
            <v>0</v>
          </cell>
          <cell r="I32">
            <v>5</v>
          </cell>
          <cell r="K32">
            <v>3</v>
          </cell>
          <cell r="M32">
            <v>5</v>
          </cell>
          <cell r="N32">
            <v>19</v>
          </cell>
          <cell r="O32" t="str">
            <v>ORIENTA</v>
          </cell>
          <cell r="P32" t="str">
            <v>MOTRICE EE 18</v>
          </cell>
          <cell r="R32">
            <v>3117</v>
          </cell>
          <cell r="T32" t="str">
            <v>=ARROTONDA.ECCESSO(D32/1,9;1)</v>
          </cell>
        </row>
        <row r="33">
          <cell r="A33">
            <v>16060</v>
          </cell>
          <cell r="B33" t="str">
            <v>CC LATINA</v>
          </cell>
          <cell r="C33" t="str">
            <v>P&amp;B</v>
          </cell>
          <cell r="D33">
            <v>13.739999681711197</v>
          </cell>
          <cell r="E33">
            <v>145</v>
          </cell>
          <cell r="G33">
            <v>0</v>
          </cell>
          <cell r="I33">
            <v>5</v>
          </cell>
          <cell r="K33">
            <v>1</v>
          </cell>
          <cell r="M33">
            <v>8</v>
          </cell>
          <cell r="T33" t="str">
            <v>=ARROTONDA.ECCESSO(D33/1,9;1)</v>
          </cell>
        </row>
        <row r="34">
          <cell r="A34">
            <v>16269</v>
          </cell>
          <cell r="B34" t="str">
            <v>CC LATINA</v>
          </cell>
          <cell r="C34" t="str">
            <v>STRADIVARIUS</v>
          </cell>
          <cell r="D34">
            <v>10.209999859333038</v>
          </cell>
          <cell r="E34">
            <v>93</v>
          </cell>
          <cell r="G34">
            <v>0</v>
          </cell>
          <cell r="I34">
            <v>6</v>
          </cell>
          <cell r="K34">
            <v>0</v>
          </cell>
          <cell r="M34">
            <v>6</v>
          </cell>
          <cell r="T34" t="str">
            <v>=ARROTONDA.ECCESSO(D34/1,9;1)</v>
          </cell>
        </row>
        <row r="36">
          <cell r="A36" t="str">
            <v>Store ID</v>
          </cell>
          <cell r="B36" t="str">
            <v>Store</v>
          </cell>
          <cell r="C36" t="str">
            <v>PUNTO VENDITA</v>
          </cell>
          <cell r="D36" t="str">
            <v>MC</v>
          </cell>
          <cell r="E36" t="str">
            <v>TEXTILE
ATTESI</v>
          </cell>
          <cell r="G36" t="str">
            <v>OTHER
ATTESI</v>
          </cell>
          <cell r="I36" t="str">
            <v>SHOES ATTESI</v>
          </cell>
          <cell r="K36" t="str">
            <v>ECOM ATTESI</v>
          </cell>
          <cell r="M36" t="str">
            <v>PEDANE</v>
          </cell>
          <cell r="O36" t="str">
            <v>VETTORE</v>
          </cell>
          <cell r="P36" t="str">
            <v>TIPO MEZZO</v>
          </cell>
          <cell r="Q36" t="str">
            <v>TARGA</v>
          </cell>
          <cell r="R36" t="str">
            <v>COD.MEZZO</v>
          </cell>
          <cell r="S36" t="str">
            <v xml:space="preserve"> SUPPORTO</v>
          </cell>
        </row>
        <row r="37">
          <cell r="A37">
            <v>1265</v>
          </cell>
          <cell r="B37" t="str">
            <v>ROMA VIA APPIA</v>
          </cell>
          <cell r="C37" t="str">
            <v>ZARA</v>
          </cell>
          <cell r="D37">
            <v>39.96999979019165</v>
          </cell>
          <cell r="E37">
            <v>299</v>
          </cell>
          <cell r="G37">
            <v>24</v>
          </cell>
          <cell r="I37">
            <v>36</v>
          </cell>
          <cell r="K37">
            <v>0</v>
          </cell>
          <cell r="M37">
            <v>33.4</v>
          </cell>
          <cell r="O37" t="str">
            <v>ORIENTA</v>
          </cell>
          <cell r="P37" t="str">
            <v>MOTRICE EE 14</v>
          </cell>
          <cell r="R37">
            <v>3097</v>
          </cell>
          <cell r="T37" t="str">
            <v>=ARROTONDA.PER.ECC(D37*1,5/1,8;1)</v>
          </cell>
        </row>
        <row r="39">
          <cell r="A39" t="str">
            <v>Store ID</v>
          </cell>
          <cell r="B39" t="str">
            <v>Store</v>
          </cell>
          <cell r="C39" t="str">
            <v>PUNTO VENDITA</v>
          </cell>
          <cell r="D39" t="str">
            <v>MC</v>
          </cell>
          <cell r="E39" t="str">
            <v>TEXTILE
ATTESI</v>
          </cell>
          <cell r="G39" t="str">
            <v>OTHER
ATTESI</v>
          </cell>
          <cell r="I39" t="str">
            <v>SHOES ATTESI</v>
          </cell>
          <cell r="K39" t="str">
            <v>ECOM ATTESI</v>
          </cell>
          <cell r="M39" t="str">
            <v>PEDANE</v>
          </cell>
          <cell r="O39" t="str">
            <v>VETTORE</v>
          </cell>
          <cell r="P39" t="str">
            <v>TIPO MEZZO</v>
          </cell>
          <cell r="Q39" t="str">
            <v>TARGA</v>
          </cell>
          <cell r="R39" t="str">
            <v>COD.MEZZO</v>
          </cell>
          <cell r="S39" t="str">
            <v xml:space="preserve"> SUPPORTO</v>
          </cell>
        </row>
        <row r="40">
          <cell r="A40">
            <v>12059</v>
          </cell>
          <cell r="B40" t="str">
            <v xml:space="preserve">CC GRAN ROMA </v>
          </cell>
          <cell r="C40" t="str">
            <v>ZARA</v>
          </cell>
          <cell r="D40">
            <v>36.930001735687256</v>
          </cell>
          <cell r="E40">
            <v>306</v>
          </cell>
          <cell r="G40">
            <v>13</v>
          </cell>
          <cell r="I40">
            <v>20</v>
          </cell>
          <cell r="K40">
            <v>0</v>
          </cell>
          <cell r="M40">
            <v>30.8</v>
          </cell>
          <cell r="N40">
            <v>49.4</v>
          </cell>
          <cell r="O40" t="str">
            <v>GALLO LOGISTICA</v>
          </cell>
          <cell r="P40" t="str">
            <v>BILICO 33</v>
          </cell>
          <cell r="R40" t="str">
            <v>2068 - 2158</v>
          </cell>
          <cell r="T40" t="str">
            <v>=ARROTONDA.PER.ECC(D40*1,5/1,8;1)</v>
          </cell>
        </row>
        <row r="41">
          <cell r="A41">
            <v>12899</v>
          </cell>
          <cell r="B41" t="str">
            <v xml:space="preserve">CC GRAN ROMA </v>
          </cell>
          <cell r="C41" t="str">
            <v>BERSHKA</v>
          </cell>
          <cell r="D41">
            <v>5.4600001275539398</v>
          </cell>
          <cell r="E41">
            <v>54</v>
          </cell>
          <cell r="G41">
            <v>0</v>
          </cell>
          <cell r="I41">
            <v>4</v>
          </cell>
          <cell r="K41">
            <v>0</v>
          </cell>
          <cell r="M41">
            <v>4.5999999999999996</v>
          </cell>
          <cell r="T41" t="str">
            <v>=ARROTONDA.PER.ECC(D41*1,5/1,8;1)</v>
          </cell>
        </row>
        <row r="42">
          <cell r="A42">
            <v>12093</v>
          </cell>
          <cell r="B42" t="str">
            <v xml:space="preserve">CC GRAN ROMA </v>
          </cell>
          <cell r="C42" t="str">
            <v>STRADIVARIUS</v>
          </cell>
          <cell r="D42">
            <v>6.4599998593330383</v>
          </cell>
          <cell r="E42">
            <v>59</v>
          </cell>
          <cell r="G42">
            <v>0</v>
          </cell>
          <cell r="I42">
            <v>4</v>
          </cell>
          <cell r="K42">
            <v>0</v>
          </cell>
          <cell r="M42">
            <v>4</v>
          </cell>
          <cell r="T42" t="str">
            <v>=ARROTONDA.ECCESSO(D42/1,9;1)</v>
          </cell>
        </row>
        <row r="43">
          <cell r="A43">
            <v>10504</v>
          </cell>
          <cell r="B43" t="str">
            <v xml:space="preserve">CC GRAN ROMA </v>
          </cell>
          <cell r="C43" t="str">
            <v>PULL&amp;BEAR</v>
          </cell>
          <cell r="D43">
            <v>7.4499997943639755</v>
          </cell>
          <cell r="E43">
            <v>79</v>
          </cell>
          <cell r="G43">
            <v>0</v>
          </cell>
          <cell r="I43">
            <v>3</v>
          </cell>
          <cell r="K43">
            <v>3</v>
          </cell>
          <cell r="M43">
            <v>4</v>
          </cell>
          <cell r="T43" t="str">
            <v>=ARROTONDA.ECCESSO(D43/1,9;1)</v>
          </cell>
        </row>
        <row r="44">
          <cell r="A44">
            <v>7593</v>
          </cell>
          <cell r="B44" t="str">
            <v>ROMA VIA TUSCOLANA</v>
          </cell>
          <cell r="C44" t="str">
            <v>STRADIVARIUS</v>
          </cell>
          <cell r="D44">
            <v>9.8299996256828308</v>
          </cell>
          <cell r="E44">
            <v>93</v>
          </cell>
          <cell r="G44">
            <v>0</v>
          </cell>
          <cell r="I44">
            <v>4</v>
          </cell>
          <cell r="K44">
            <v>0</v>
          </cell>
          <cell r="M44">
            <v>6</v>
          </cell>
          <cell r="T44" t="str">
            <v>=ARROTONDA.ECCESSO(D44/1,9;1)</v>
          </cell>
        </row>
        <row r="46">
          <cell r="A46" t="str">
            <v>Store ID</v>
          </cell>
          <cell r="B46" t="str">
            <v>Store</v>
          </cell>
          <cell r="C46" t="str">
            <v>PUNTO VENDITA</v>
          </cell>
          <cell r="D46" t="str">
            <v>MC</v>
          </cell>
          <cell r="E46" t="str">
            <v>TEXTILE
ATTESI</v>
          </cell>
          <cell r="G46" t="str">
            <v>OTHER
ATTESI</v>
          </cell>
          <cell r="I46" t="str">
            <v>SHOES ATTESI</v>
          </cell>
          <cell r="K46" t="str">
            <v>ECOM ATTESI</v>
          </cell>
          <cell r="M46" t="str">
            <v>PEDANE</v>
          </cell>
          <cell r="O46" t="str">
            <v>VETTORE</v>
          </cell>
          <cell r="P46" t="str">
            <v>TIPO MEZZO</v>
          </cell>
          <cell r="Q46" t="str">
            <v>TARGA</v>
          </cell>
          <cell r="R46" t="str">
            <v>COD.MEZZO</v>
          </cell>
          <cell r="S46" t="str">
            <v xml:space="preserve"> SUPPORTO</v>
          </cell>
        </row>
        <row r="47">
          <cell r="A47">
            <v>11629</v>
          </cell>
          <cell r="B47" t="str">
            <v>C.C. Al Battente</v>
          </cell>
          <cell r="C47" t="str">
            <v>PULL&amp;BEAR</v>
          </cell>
          <cell r="D47">
            <v>6.4600000381469727</v>
          </cell>
          <cell r="E47">
            <v>71</v>
          </cell>
          <cell r="G47">
            <v>0</v>
          </cell>
          <cell r="I47">
            <v>4</v>
          </cell>
          <cell r="K47">
            <v>2</v>
          </cell>
          <cell r="M47">
            <v>4</v>
          </cell>
          <cell r="N47">
            <v>6</v>
          </cell>
          <cell r="O47" t="str">
            <v>FURTUNA DRAGOS</v>
          </cell>
          <cell r="P47" t="str">
            <v>FURGONE 8</v>
          </cell>
          <cell r="R47">
            <v>4202</v>
          </cell>
          <cell r="T47" t="str">
            <v>=ARROTONDA.ECCESSO(D47/1,9;1)</v>
          </cell>
        </row>
        <row r="48">
          <cell r="A48">
            <v>12154</v>
          </cell>
          <cell r="B48" t="str">
            <v>C.C. Al Battente</v>
          </cell>
          <cell r="C48" t="str">
            <v>STRADIVARIUS</v>
          </cell>
          <cell r="D48">
            <v>2.4399999380111694</v>
          </cell>
          <cell r="E48">
            <v>20</v>
          </cell>
          <cell r="G48">
            <v>0</v>
          </cell>
          <cell r="I48">
            <v>4</v>
          </cell>
          <cell r="K48">
            <v>0</v>
          </cell>
          <cell r="M48">
            <v>2</v>
          </cell>
          <cell r="T48" t="str">
            <v>=ARROTONDA.ECCESSO(D48/1,9;1)</v>
          </cell>
        </row>
        <row r="50">
          <cell r="A50" t="str">
            <v>Store ID</v>
          </cell>
          <cell r="B50" t="str">
            <v>Store</v>
          </cell>
          <cell r="C50" t="str">
            <v>PUNTO VENDITA</v>
          </cell>
          <cell r="D50" t="str">
            <v>MC</v>
          </cell>
          <cell r="E50" t="str">
            <v>TEXTILE
ATTESI</v>
          </cell>
          <cell r="G50" t="str">
            <v>OTHER
ATTESI</v>
          </cell>
          <cell r="I50" t="str">
            <v>SHOES ATTESI</v>
          </cell>
          <cell r="K50" t="str">
            <v>ECOM ATTESI</v>
          </cell>
          <cell r="M50" t="str">
            <v>PEDANE</v>
          </cell>
          <cell r="O50" t="str">
            <v>VETTORE</v>
          </cell>
          <cell r="P50" t="str">
            <v>TIPO MEZZO</v>
          </cell>
          <cell r="Q50" t="str">
            <v>TARGA</v>
          </cell>
          <cell r="R50" t="str">
            <v>COD.MEZZO</v>
          </cell>
          <cell r="S50" t="str">
            <v xml:space="preserve"> SUPPORTO</v>
          </cell>
        </row>
        <row r="51">
          <cell r="A51">
            <v>16723</v>
          </cell>
          <cell r="B51" t="str">
            <v>C. C. Collestrada</v>
          </cell>
          <cell r="C51" t="str">
            <v>ZARA</v>
          </cell>
          <cell r="D51">
            <v>42.846999359130855</v>
          </cell>
          <cell r="E51">
            <v>480</v>
          </cell>
          <cell r="G51">
            <v>24</v>
          </cell>
          <cell r="I51">
            <v>48</v>
          </cell>
          <cell r="K51">
            <v>0</v>
          </cell>
          <cell r="M51">
            <v>35.800000000000004</v>
          </cell>
          <cell r="N51">
            <v>47.400000000000006</v>
          </cell>
          <cell r="O51" t="str">
            <v>GALLO LOGISTICA</v>
          </cell>
          <cell r="P51" t="str">
            <v>MOTRICE 18</v>
          </cell>
          <cell r="R51">
            <v>3058</v>
          </cell>
          <cell r="T51" t="str">
            <v>=ARROTONDA.PER.ECC(D51*1,5/1,8;1)</v>
          </cell>
        </row>
        <row r="52">
          <cell r="A52">
            <v>8453</v>
          </cell>
          <cell r="B52" t="str">
            <v>C. C. Collestrada</v>
          </cell>
          <cell r="C52" t="str">
            <v>BERSHKA</v>
          </cell>
          <cell r="D52">
            <v>6.6600000262260437</v>
          </cell>
          <cell r="E52">
            <v>59</v>
          </cell>
          <cell r="G52">
            <v>0</v>
          </cell>
          <cell r="I52">
            <v>4</v>
          </cell>
          <cell r="K52">
            <v>3</v>
          </cell>
          <cell r="M52">
            <v>5.6</v>
          </cell>
          <cell r="T52" t="str">
            <v>=ARROTONDA.PER.ECC(D52*1,5/1,8;1)</v>
          </cell>
        </row>
        <row r="53">
          <cell r="A53">
            <v>6525</v>
          </cell>
          <cell r="B53" t="str">
            <v>C. C. Collestrada</v>
          </cell>
          <cell r="C53" t="str">
            <v>PULL&amp;BEAR</v>
          </cell>
          <cell r="D53">
            <v>10.066000142693518</v>
          </cell>
          <cell r="E53">
            <v>155</v>
          </cell>
          <cell r="G53">
            <v>0</v>
          </cell>
          <cell r="I53">
            <v>12</v>
          </cell>
          <cell r="K53">
            <v>1</v>
          </cell>
          <cell r="M53">
            <v>6</v>
          </cell>
          <cell r="T53" t="str">
            <v>=ARROTONDA.ECCESSO(D53/1,9;1)</v>
          </cell>
        </row>
        <row r="55">
          <cell r="A55" t="str">
            <v>Store ID</v>
          </cell>
          <cell r="B55" t="str">
            <v>Store</v>
          </cell>
          <cell r="C55" t="str">
            <v>PUNTO VENDITA</v>
          </cell>
          <cell r="D55" t="str">
            <v>MC</v>
          </cell>
          <cell r="E55" t="str">
            <v>TEXTILE
ATTESI</v>
          </cell>
          <cell r="G55" t="str">
            <v>OTHER
ATTESI</v>
          </cell>
          <cell r="I55" t="str">
            <v>SHOES ATTESI</v>
          </cell>
          <cell r="K55" t="str">
            <v>ECOM ATTESI</v>
          </cell>
          <cell r="M55" t="str">
            <v>PEDANE</v>
          </cell>
          <cell r="O55" t="str">
            <v>VETTORE</v>
          </cell>
          <cell r="P55" t="str">
            <v>TIPO MEZZO</v>
          </cell>
          <cell r="Q55" t="str">
            <v>TARGA</v>
          </cell>
          <cell r="R55" t="str">
            <v>COD.MEZZO</v>
          </cell>
          <cell r="S55" t="str">
            <v xml:space="preserve"> SUPPORTO</v>
          </cell>
        </row>
        <row r="56">
          <cell r="A56">
            <v>5349</v>
          </cell>
          <cell r="B56" t="str">
            <v>CC EUROMA2
GIRO 1</v>
          </cell>
          <cell r="C56" t="str">
            <v>PULL&amp;BEAR</v>
          </cell>
          <cell r="D56">
            <v>15.176000213623047</v>
          </cell>
          <cell r="E56">
            <v>246</v>
          </cell>
          <cell r="G56">
            <v>0</v>
          </cell>
          <cell r="I56">
            <v>13</v>
          </cell>
          <cell r="K56">
            <v>0</v>
          </cell>
          <cell r="M56">
            <v>8</v>
          </cell>
          <cell r="N56">
            <v>68.599999999999994</v>
          </cell>
          <cell r="O56" t="str">
            <v>LOGITALIA</v>
          </cell>
          <cell r="P56" t="str">
            <v>BILICO x 3</v>
          </cell>
          <cell r="R56" t="str">
            <v>VARI</v>
          </cell>
          <cell r="T56" t="str">
            <v>=ARROTONDA.ECCESSO(D56/1,9;1)</v>
          </cell>
        </row>
        <row r="57">
          <cell r="A57">
            <v>8428</v>
          </cell>
          <cell r="B57" t="str">
            <v>CC EUROMA2
GIRO 1</v>
          </cell>
          <cell r="C57" t="str">
            <v>BERSHKA</v>
          </cell>
          <cell r="D57">
            <v>10.604999858140944</v>
          </cell>
          <cell r="E57">
            <v>154</v>
          </cell>
          <cell r="G57">
            <v>0</v>
          </cell>
          <cell r="I57">
            <v>7</v>
          </cell>
          <cell r="K57">
            <v>0</v>
          </cell>
          <cell r="M57">
            <v>8.9</v>
          </cell>
          <cell r="T57" t="str">
            <v>=ARROTONDA.PER.ECC(D57*1,5/1,8;1)</v>
          </cell>
        </row>
        <row r="58">
          <cell r="A58">
            <v>4518</v>
          </cell>
          <cell r="B58" t="str">
            <v>CC EUROMA2
GIRO 1</v>
          </cell>
          <cell r="C58" t="str">
            <v>MASSIMO DUTTI</v>
          </cell>
          <cell r="D58">
            <v>2.9300001263618469</v>
          </cell>
          <cell r="E58">
            <v>23</v>
          </cell>
          <cell r="G58">
            <v>0</v>
          </cell>
          <cell r="I58">
            <v>5</v>
          </cell>
          <cell r="K58">
            <v>0</v>
          </cell>
          <cell r="M58">
            <v>2</v>
          </cell>
          <cell r="T58" t="str">
            <v>=ARROTONDA.ECCESSO(D58/1,9;1)</v>
          </cell>
        </row>
        <row r="59">
          <cell r="A59">
            <v>2414</v>
          </cell>
          <cell r="B59" t="str">
            <v>CC EUROMA2
GIRO 1</v>
          </cell>
          <cell r="C59" t="str">
            <v>OYSHO</v>
          </cell>
          <cell r="D59">
            <v>2.6499999240040779</v>
          </cell>
          <cell r="E59">
            <v>27</v>
          </cell>
          <cell r="G59">
            <v>0</v>
          </cell>
          <cell r="I59">
            <v>2</v>
          </cell>
          <cell r="K59">
            <v>1</v>
          </cell>
          <cell r="M59">
            <v>2</v>
          </cell>
          <cell r="T59" t="str">
            <v>=ARROTONDA.ECCESSO(D59/1,9;1)</v>
          </cell>
        </row>
        <row r="60">
          <cell r="A60">
            <v>3591</v>
          </cell>
          <cell r="B60" t="str">
            <v>CC EUROMA2
GIRO 2</v>
          </cell>
          <cell r="C60" t="str">
            <v>ZARA</v>
          </cell>
          <cell r="D60">
            <v>41.56000018119812</v>
          </cell>
          <cell r="E60">
            <v>332</v>
          </cell>
          <cell r="G60">
            <v>36</v>
          </cell>
          <cell r="I60">
            <v>41</v>
          </cell>
          <cell r="K60">
            <v>0</v>
          </cell>
          <cell r="M60">
            <v>34.700000000000003</v>
          </cell>
          <cell r="T60" t="str">
            <v>=ARROTONDA.PER.ECC(D60*1,5/1,8;1)</v>
          </cell>
        </row>
        <row r="61">
          <cell r="A61">
            <v>1755</v>
          </cell>
          <cell r="B61" t="str">
            <v>CC EUROMA2
GIRO 2</v>
          </cell>
          <cell r="C61" t="str">
            <v>ZARA HOME</v>
          </cell>
          <cell r="D61">
            <v>8.970000147819519</v>
          </cell>
          <cell r="G61">
            <v>88</v>
          </cell>
          <cell r="I61">
            <v>0</v>
          </cell>
          <cell r="K61">
            <v>14</v>
          </cell>
          <cell r="M61">
            <v>6</v>
          </cell>
          <cell r="T61" t="str">
            <v>=ARROTONDA.ECCESSO(D61/1,5;1)</v>
          </cell>
        </row>
        <row r="62">
          <cell r="A62">
            <v>2917</v>
          </cell>
          <cell r="B62" t="str">
            <v>CC EUROMA2
GIRO 2</v>
          </cell>
          <cell r="C62" t="str">
            <v>STRADIVARIUS</v>
          </cell>
          <cell r="D62">
            <v>13.289999783039093</v>
          </cell>
          <cell r="E62">
            <v>119</v>
          </cell>
          <cell r="G62">
            <v>0</v>
          </cell>
          <cell r="I62">
            <v>6</v>
          </cell>
          <cell r="K62">
            <v>0</v>
          </cell>
          <cell r="M62">
            <v>7</v>
          </cell>
          <cell r="T62" t="str">
            <v>=ARROTONDA.ECCESSO(D62/1,9;1)</v>
          </cell>
        </row>
        <row r="64">
          <cell r="A64" t="str">
            <v>Store ID</v>
          </cell>
          <cell r="B64" t="str">
            <v>Store</v>
          </cell>
          <cell r="C64" t="str">
            <v>PUNTO VENDITA</v>
          </cell>
          <cell r="D64" t="str">
            <v>MC</v>
          </cell>
          <cell r="E64" t="str">
            <v>TEXTILE
ATTESI</v>
          </cell>
          <cell r="G64" t="str">
            <v>OTHER
ATTESI</v>
          </cell>
          <cell r="I64" t="str">
            <v>SHOES ATTESI</v>
          </cell>
          <cell r="K64" t="str">
            <v>ECOM ATTESI</v>
          </cell>
          <cell r="M64" t="str">
            <v>PEDANE</v>
          </cell>
          <cell r="O64" t="str">
            <v>VETTORE</v>
          </cell>
          <cell r="P64" t="str">
            <v>TIPO MEZZO</v>
          </cell>
          <cell r="Q64" t="str">
            <v>TARGA</v>
          </cell>
          <cell r="R64" t="str">
            <v>COD.MEZZO</v>
          </cell>
          <cell r="S64" t="str">
            <v xml:space="preserve"> SUPPORTO</v>
          </cell>
        </row>
        <row r="65">
          <cell r="A65">
            <v>9226</v>
          </cell>
          <cell r="B65" t="str">
            <v>VIA DEL CORSO</v>
          </cell>
          <cell r="C65" t="str">
            <v>ZARA</v>
          </cell>
          <cell r="D65">
            <v>42.70999813079834</v>
          </cell>
          <cell r="E65">
            <v>280</v>
          </cell>
          <cell r="G65">
            <v>61</v>
          </cell>
          <cell r="I65">
            <v>74</v>
          </cell>
          <cell r="K65">
            <v>0</v>
          </cell>
          <cell r="M65">
            <v>35.6</v>
          </cell>
          <cell r="N65">
            <v>35.6</v>
          </cell>
          <cell r="O65" t="str">
            <v>LOGITALIA</v>
          </cell>
          <cell r="P65" t="str">
            <v>MOTRICE 14x3</v>
          </cell>
          <cell r="R65" t="str">
            <v>VARI</v>
          </cell>
          <cell r="T65" t="str">
            <v>=ARROTONDA.PER.ECC(D65*1,5/1,8;1)</v>
          </cell>
        </row>
        <row r="67">
          <cell r="A67" t="str">
            <v>Store ID</v>
          </cell>
          <cell r="B67" t="str">
            <v>Store</v>
          </cell>
          <cell r="C67" t="str">
            <v>PUNTO VENDITA</v>
          </cell>
          <cell r="D67" t="str">
            <v>MC</v>
          </cell>
          <cell r="E67" t="str">
            <v>TEXTILE
ATTESI</v>
          </cell>
          <cell r="G67" t="str">
            <v>OTHER
ATTESI</v>
          </cell>
          <cell r="I67" t="str">
            <v>SHOES ATTESI</v>
          </cell>
          <cell r="K67" t="str">
            <v>ECOM ATTESI</v>
          </cell>
          <cell r="M67" t="str">
            <v>PEDANE</v>
          </cell>
          <cell r="O67" t="str">
            <v>VETTORE</v>
          </cell>
          <cell r="P67" t="str">
            <v>TIPO MEZZO</v>
          </cell>
          <cell r="Q67" t="str">
            <v>TARGA</v>
          </cell>
          <cell r="R67" t="str">
            <v>COD.MEZZO</v>
          </cell>
          <cell r="S67" t="str">
            <v xml:space="preserve"> SUPPORTO</v>
          </cell>
        </row>
        <row r="68">
          <cell r="A68">
            <v>15733</v>
          </cell>
          <cell r="B68" t="str">
            <v>CASTEL GIUBILEO</v>
          </cell>
          <cell r="C68" t="str">
            <v>PRIMA USCITA</v>
          </cell>
          <cell r="D68">
            <v>81.693332036336258</v>
          </cell>
          <cell r="E68">
            <v>653</v>
          </cell>
          <cell r="G68">
            <v>11.333333333333334</v>
          </cell>
          <cell r="I68">
            <v>54</v>
          </cell>
          <cell r="K68">
            <v>0</v>
          </cell>
          <cell r="M68">
            <v>43</v>
          </cell>
          <cell r="N68">
            <v>129</v>
          </cell>
          <cell r="O68" t="str">
            <v>VARI</v>
          </cell>
          <cell r="P68" t="str">
            <v>MOTRICE 18</v>
          </cell>
          <cell r="R68" t="str">
            <v>VARI</v>
          </cell>
          <cell r="T68" t="str">
            <v>=ARROTONDA.ECCESSO(D68/1,9;1)</v>
          </cell>
        </row>
        <row r="69">
          <cell r="A69">
            <v>15733</v>
          </cell>
          <cell r="B69" t="str">
            <v>CASTEL GIUBILEO</v>
          </cell>
          <cell r="C69" t="str">
            <v>SECONDA USCITA</v>
          </cell>
          <cell r="D69">
            <v>81.693332036336258</v>
          </cell>
          <cell r="E69">
            <v>653</v>
          </cell>
          <cell r="G69">
            <v>11.333333333333334</v>
          </cell>
          <cell r="I69">
            <v>54</v>
          </cell>
          <cell r="K69">
            <v>0</v>
          </cell>
          <cell r="M69">
            <v>43</v>
          </cell>
          <cell r="T69" t="str">
            <v>=ARROTONDA.ECCESSO(D69/1,9;1)</v>
          </cell>
        </row>
        <row r="70">
          <cell r="A70">
            <v>15733</v>
          </cell>
          <cell r="B70" t="str">
            <v>CASTEL GIUBILEO</v>
          </cell>
          <cell r="C70" t="str">
            <v>TERZA USCITA</v>
          </cell>
          <cell r="D70">
            <v>81.693332036336258</v>
          </cell>
          <cell r="E70">
            <v>653</v>
          </cell>
          <cell r="G70">
            <v>11.333333333333334</v>
          </cell>
          <cell r="I70">
            <v>54</v>
          </cell>
          <cell r="K70">
            <v>0</v>
          </cell>
          <cell r="M70">
            <v>43</v>
          </cell>
          <cell r="T70" t="str">
            <v>=ARROTONDA.ECCESSO(D70/1,9;1)</v>
          </cell>
        </row>
        <row r="72">
          <cell r="A72" t="str">
            <v>Store ID</v>
          </cell>
          <cell r="B72" t="str">
            <v>Store</v>
          </cell>
          <cell r="C72" t="str">
            <v>PUNTO VENDITA</v>
          </cell>
          <cell r="D72" t="str">
            <v>MC</v>
          </cell>
          <cell r="E72" t="str">
            <v>TEXTILE
ATTESI</v>
          </cell>
          <cell r="G72" t="str">
            <v>OTHER
ATTESI</v>
          </cell>
          <cell r="I72" t="str">
            <v>SHOES ATTESI</v>
          </cell>
          <cell r="K72" t="str">
            <v>ECOM ATTESI</v>
          </cell>
          <cell r="M72" t="str">
            <v>PEDANE</v>
          </cell>
          <cell r="O72" t="str">
            <v>VETTORE</v>
          </cell>
          <cell r="P72" t="str">
            <v>TIPO MEZZO</v>
          </cell>
          <cell r="Q72" t="str">
            <v>TARGA</v>
          </cell>
          <cell r="R72" t="str">
            <v>COD.MEZZO</v>
          </cell>
          <cell r="S72" t="str">
            <v xml:space="preserve"> SUPPORTO</v>
          </cell>
        </row>
        <row r="73">
          <cell r="A73">
            <v>3534</v>
          </cell>
          <cell r="B73" t="str">
            <v xml:space="preserve">CC Roma EST </v>
          </cell>
          <cell r="C73" t="str">
            <v>ZARA</v>
          </cell>
          <cell r="D73">
            <v>46.270001411437988</v>
          </cell>
          <cell r="E73">
            <v>370</v>
          </cell>
          <cell r="G73">
            <v>28</v>
          </cell>
          <cell r="I73">
            <v>31</v>
          </cell>
          <cell r="K73">
            <v>0</v>
          </cell>
          <cell r="M73">
            <v>38.6</v>
          </cell>
          <cell r="N73">
            <v>65.5</v>
          </cell>
          <cell r="O73" t="str">
            <v>MDL</v>
          </cell>
          <cell r="P73" t="str">
            <v>BILICO 33</v>
          </cell>
          <cell r="R73">
            <v>2154</v>
          </cell>
          <cell r="T73" t="str">
            <v>=ARROTONDA.PER.ECC(D73*1,5/1,8;1)</v>
          </cell>
        </row>
        <row r="74">
          <cell r="A74">
            <v>5306</v>
          </cell>
          <cell r="B74" t="str">
            <v xml:space="preserve">CC Roma EST </v>
          </cell>
          <cell r="C74" t="str">
            <v>PULL&amp;BEAR</v>
          </cell>
          <cell r="D74">
            <v>12.979999631643295</v>
          </cell>
          <cell r="E74">
            <v>139</v>
          </cell>
          <cell r="G74">
            <v>0</v>
          </cell>
          <cell r="I74">
            <v>7</v>
          </cell>
          <cell r="K74">
            <v>1</v>
          </cell>
          <cell r="M74">
            <v>7</v>
          </cell>
          <cell r="T74" t="str">
            <v>=ARROTONDA.ECCESSO(D74/1,9;1)</v>
          </cell>
        </row>
        <row r="75">
          <cell r="A75">
            <v>8364</v>
          </cell>
          <cell r="B75" t="str">
            <v xml:space="preserve">CC Roma EST </v>
          </cell>
          <cell r="C75" t="str">
            <v>BERSHKA</v>
          </cell>
          <cell r="D75">
            <v>14.239999711513519</v>
          </cell>
          <cell r="E75">
            <v>136</v>
          </cell>
          <cell r="G75">
            <v>2</v>
          </cell>
          <cell r="I75">
            <v>11</v>
          </cell>
          <cell r="K75">
            <v>0</v>
          </cell>
          <cell r="M75">
            <v>11.9</v>
          </cell>
          <cell r="T75" t="str">
            <v>=ARROTONDA.PER.ECC(D75*1,5/1,8;1)</v>
          </cell>
        </row>
        <row r="76">
          <cell r="A76">
            <v>2898</v>
          </cell>
          <cell r="B76" t="str">
            <v xml:space="preserve">CC Roma EST </v>
          </cell>
          <cell r="C76" t="str">
            <v>STRADIVARIUS</v>
          </cell>
          <cell r="D76">
            <v>13.560000121593475</v>
          </cell>
          <cell r="E76">
            <v>126</v>
          </cell>
          <cell r="G76">
            <v>0</v>
          </cell>
          <cell r="I76">
            <v>4</v>
          </cell>
          <cell r="K76">
            <v>0</v>
          </cell>
          <cell r="M76">
            <v>8</v>
          </cell>
          <cell r="T76" t="str">
            <v>=ARROTONDA.ECCESSO(D76/1,9;1)</v>
          </cell>
        </row>
        <row r="77">
          <cell r="A77" t="str">
            <v>Store ID</v>
          </cell>
          <cell r="B77" t="str">
            <v>Store</v>
          </cell>
          <cell r="C77" t="str">
            <v>PUNTO VENDITA</v>
          </cell>
          <cell r="D77" t="str">
            <v>MC</v>
          </cell>
          <cell r="E77" t="str">
            <v>TEXTILE
ATTESI</v>
          </cell>
          <cell r="G77" t="str">
            <v>OTHER
ATTESI</v>
          </cell>
          <cell r="I77" t="str">
            <v>SHOES ATTESI</v>
          </cell>
          <cell r="K77" t="str">
            <v>ECOM ATTESI</v>
          </cell>
          <cell r="M77" t="str">
            <v>PEDANE</v>
          </cell>
          <cell r="O77" t="str">
            <v>VETTORE</v>
          </cell>
          <cell r="P77" t="str">
            <v>TIPO MEZZO</v>
          </cell>
          <cell r="Q77" t="str">
            <v>TARGA</v>
          </cell>
          <cell r="R77" t="str">
            <v>COD.MEZZO</v>
          </cell>
          <cell r="S77" t="str">
            <v xml:space="preserve"> SUPPORTO</v>
          </cell>
        </row>
        <row r="78">
          <cell r="A78">
            <v>17019</v>
          </cell>
          <cell r="B78" t="str">
            <v>ROM-PALAZZO RU</v>
          </cell>
          <cell r="C78" t="str">
            <v>MASSIMO DUTTI</v>
          </cell>
          <cell r="D78">
            <v>9.2600002288818359</v>
          </cell>
          <cell r="E78">
            <v>45</v>
          </cell>
          <cell r="G78">
            <v>3</v>
          </cell>
          <cell r="I78">
            <v>17</v>
          </cell>
          <cell r="K78">
            <v>0</v>
          </cell>
          <cell r="M78">
            <v>5</v>
          </cell>
          <cell r="N78">
            <v>5</v>
          </cell>
          <cell r="T78" t="str">
            <v>=ARROTONDA.ECCESSO(D78/1,9;1)</v>
          </cell>
        </row>
        <row r="80">
          <cell r="A80" t="str">
            <v>NEGOZIO</v>
          </cell>
          <cell r="B80" t="str">
            <v>STORE</v>
          </cell>
          <cell r="C80" t="str">
            <v>PUNTO VENDITA</v>
          </cell>
          <cell r="D80" t="str">
            <v>MC</v>
          </cell>
          <cell r="E80" t="str">
            <v>TEXTILE
ATTESI</v>
          </cell>
          <cell r="G80" t="str">
            <v>OTHER
ATTESI</v>
          </cell>
          <cell r="I80" t="str">
            <v>SHOES ATTESI</v>
          </cell>
          <cell r="K80" t="str">
            <v>ECOM ATTESI</v>
          </cell>
          <cell r="L80" t="str">
            <v>COLLI</v>
          </cell>
          <cell r="M80" t="str">
            <v>PEDANE</v>
          </cell>
          <cell r="O80" t="str">
            <v>VETTORE</v>
          </cell>
          <cell r="P80" t="str">
            <v>TIPO MEZZO</v>
          </cell>
          <cell r="Q80" t="str">
            <v>TARGA</v>
          </cell>
          <cell r="R80" t="str">
            <v>COD.MEZZO</v>
          </cell>
          <cell r="S80" t="str">
            <v xml:space="preserve"> SUPPORTO</v>
          </cell>
        </row>
        <row r="81">
          <cell r="A81" t="str">
            <v>5349B</v>
          </cell>
          <cell r="B81" t="str">
            <v>CC EUROMA 2 B9</v>
          </cell>
          <cell r="C81" t="str">
            <v>PULL&amp;BEAR</v>
          </cell>
          <cell r="D81">
            <v>6.5040000915527338</v>
          </cell>
          <cell r="M81">
            <v>5.5</v>
          </cell>
          <cell r="N81">
            <v>9.3000000000000007</v>
          </cell>
          <cell r="O81" t="str">
            <v>LOGITALIA</v>
          </cell>
          <cell r="P81" t="str">
            <v>FURGONE 8</v>
          </cell>
          <cell r="T81" t="str">
            <v>=ARROTONDA.PER.ECC(D81*1,5/1,8;1)</v>
          </cell>
        </row>
        <row r="82">
          <cell r="A82" t="str">
            <v>8428B</v>
          </cell>
          <cell r="B82" t="str">
            <v>CC EUROMA2
GIRO 1</v>
          </cell>
          <cell r="C82" t="str">
            <v>BERSHKA</v>
          </cell>
          <cell r="D82">
            <v>4.5449999392032625</v>
          </cell>
          <cell r="M82">
            <v>3.8000000000000003</v>
          </cell>
          <cell r="O82" t="str">
            <v>LOGITALIA</v>
          </cell>
          <cell r="T82" t="str">
            <v>=ARROTONDA.PER.ECC(D82*1,5/1,8;1)</v>
          </cell>
        </row>
        <row r="83">
          <cell r="A83" t="str">
            <v>NEGOZIO</v>
          </cell>
          <cell r="B83" t="str">
            <v>STORE</v>
          </cell>
          <cell r="C83" t="str">
            <v>PUNTO VENDITA</v>
          </cell>
          <cell r="D83" t="str">
            <v>MC</v>
          </cell>
          <cell r="E83" t="str">
            <v>TEXTILE
ATTESI</v>
          </cell>
          <cell r="G83" t="str">
            <v>OTHER
ATTESI</v>
          </cell>
          <cell r="I83" t="str">
            <v>SHOES ATTESI</v>
          </cell>
          <cell r="K83" t="str">
            <v>ECOM ATTESI</v>
          </cell>
          <cell r="L83" t="str">
            <v>COLLI</v>
          </cell>
          <cell r="M83" t="str">
            <v>PEDANE</v>
          </cell>
          <cell r="O83" t="str">
            <v>VETTORE</v>
          </cell>
          <cell r="P83" t="str">
            <v>TIPO MEZZO</v>
          </cell>
          <cell r="Q83" t="str">
            <v>TARGA</v>
          </cell>
          <cell r="R83" t="str">
            <v>COD.MEZZO</v>
          </cell>
          <cell r="S83" t="str">
            <v xml:space="preserve"> SUPPORTO</v>
          </cell>
        </row>
        <row r="84">
          <cell r="A84" t="str">
            <v>3503B</v>
          </cell>
          <cell r="B84" t="str">
            <v>CHIETI MEGALO</v>
          </cell>
          <cell r="C84" t="str">
            <v>ZARA</v>
          </cell>
          <cell r="D84">
            <v>16.209000062942504</v>
          </cell>
          <cell r="M84">
            <v>13.6</v>
          </cell>
          <cell r="N84">
            <v>13.6</v>
          </cell>
          <cell r="O84" t="str">
            <v>C. ORIENTA</v>
          </cell>
          <cell r="P84" t="str">
            <v>MOTRICE 14</v>
          </cell>
          <cell r="T84" t="str">
            <v>=ARROTONDA.PER.ECC(D84*1,5/1,8;1)</v>
          </cell>
        </row>
        <row r="85">
          <cell r="A85" t="str">
            <v>NEGOZIO</v>
          </cell>
          <cell r="B85" t="str">
            <v>STORE</v>
          </cell>
          <cell r="C85" t="str">
            <v>PUNTO VENDITA</v>
          </cell>
          <cell r="D85" t="str">
            <v>MC</v>
          </cell>
          <cell r="E85" t="str">
            <v>TEXTILE
ATTESI</v>
          </cell>
          <cell r="G85" t="str">
            <v>OTHER
ATTESI</v>
          </cell>
          <cell r="I85" t="str">
            <v>SHOES ATTESI</v>
          </cell>
          <cell r="K85" t="str">
            <v>ECOM ATTESI</v>
          </cell>
          <cell r="L85" t="str">
            <v>COLLI</v>
          </cell>
          <cell r="M85" t="str">
            <v>PEDANE</v>
          </cell>
          <cell r="O85" t="str">
            <v>VETTORE</v>
          </cell>
          <cell r="P85" t="str">
            <v>TIPO MEZZO</v>
          </cell>
          <cell r="Q85" t="str">
            <v>TARGA</v>
          </cell>
          <cell r="R85" t="str">
            <v>COD.MEZZO</v>
          </cell>
          <cell r="S85" t="str">
            <v xml:space="preserve"> SUPPORTO</v>
          </cell>
        </row>
        <row r="86">
          <cell r="A86" t="str">
            <v>6525B</v>
          </cell>
          <cell r="B86" t="str">
            <v>C. C. Collestrada B9</v>
          </cell>
          <cell r="C86" t="str">
            <v>PULL&amp;BEAR</v>
          </cell>
          <cell r="D86">
            <v>4.3140000611543652</v>
          </cell>
          <cell r="M86">
            <v>3.6</v>
          </cell>
          <cell r="N86">
            <v>3.6</v>
          </cell>
          <cell r="O86" t="str">
            <v>GALLO LOGISTICA</v>
          </cell>
          <cell r="P86" t="str">
            <v>FURGONE 8</v>
          </cell>
          <cell r="T86" t="str">
            <v>=ARROTONDA.PER.ECC(D86*1,5/1,8;1)</v>
          </cell>
        </row>
        <row r="87">
          <cell r="A87" t="str">
            <v>16723B</v>
          </cell>
          <cell r="B87" t="str">
            <v>C. C. Collestrada</v>
          </cell>
          <cell r="C87" t="str">
            <v>ZARA</v>
          </cell>
          <cell r="D87">
            <v>18.362999725341798</v>
          </cell>
          <cell r="M87">
            <v>15.4</v>
          </cell>
          <cell r="N87">
            <v>15.4</v>
          </cell>
          <cell r="O87" t="str">
            <v>GALLO LOGISTICA</v>
          </cell>
          <cell r="T87" t="str">
            <v>=ARROTONDA.PER.ECC(D87*1,5/1,8;1)</v>
          </cell>
        </row>
        <row r="88">
          <cell r="A88" t="str">
            <v>NEGOZIO</v>
          </cell>
          <cell r="B88" t="str">
            <v>STORE</v>
          </cell>
          <cell r="C88" t="str">
            <v>PUNTO VENDITA</v>
          </cell>
          <cell r="D88" t="str">
            <v>MC</v>
          </cell>
          <cell r="E88" t="str">
            <v>TEXTILE
ATTESI</v>
          </cell>
          <cell r="G88" t="str">
            <v>OTHER
ATTESI</v>
          </cell>
          <cell r="I88" t="str">
            <v>SHOES ATTESI</v>
          </cell>
          <cell r="K88" t="str">
            <v>ECOM ATTESI</v>
          </cell>
          <cell r="L88" t="str">
            <v>COLLI</v>
          </cell>
          <cell r="M88" t="str">
            <v>PEDANE</v>
          </cell>
          <cell r="O88" t="str">
            <v>VETTORE</v>
          </cell>
          <cell r="P88" t="str">
            <v>TIPO MEZZO</v>
          </cell>
          <cell r="Q88" t="str">
            <v>TARGA</v>
          </cell>
          <cell r="R88" t="str">
            <v>COD.MEZZO</v>
          </cell>
          <cell r="S88" t="str">
            <v xml:space="preserve"> SUPPORTO</v>
          </cell>
        </row>
        <row r="89">
          <cell r="A89" t="str">
            <v>14010B</v>
          </cell>
          <cell r="B89" t="str">
            <v>ROMA VIA OTTAVIANO</v>
          </cell>
          <cell r="C89" t="str">
            <v>BERSHKA</v>
          </cell>
          <cell r="D89">
            <v>6.1319999277591704</v>
          </cell>
          <cell r="M89">
            <v>5.1999999999999993</v>
          </cell>
          <cell r="N89">
            <v>5.1999999999999993</v>
          </cell>
          <cell r="O89" t="str">
            <v>FURTUNA DRAGOS</v>
          </cell>
          <cell r="P89" t="str">
            <v>FURGONE 8</v>
          </cell>
          <cell r="T89" t="str">
            <v>=ARROTONDA.PER.ECC(D89*1,5/1,8;1)</v>
          </cell>
        </row>
        <row r="90">
          <cell r="A90" t="str">
            <v>1984B</v>
          </cell>
          <cell r="B90" t="str">
            <v>ROMA 
COLA RIENZO</v>
          </cell>
          <cell r="C90" t="str">
            <v>ZARA HOME</v>
          </cell>
          <cell r="D90">
            <v>5.5260002732276918</v>
          </cell>
          <cell r="M90">
            <v>4.6999999999999993</v>
          </cell>
          <cell r="N90">
            <v>4.6999999999999993</v>
          </cell>
          <cell r="O90" t="str">
            <v>FURTUNA DRAGOS</v>
          </cell>
          <cell r="P90" t="str">
            <v>FURGONE 8</v>
          </cell>
          <cell r="T90" t="str">
            <v>=ARROTONDA.PER.ECC(D90*1,5/1,8;1)</v>
          </cell>
        </row>
        <row r="91">
          <cell r="A91" t="str">
            <v>NEGOZIO</v>
          </cell>
          <cell r="B91" t="str">
            <v>STORE</v>
          </cell>
          <cell r="C91" t="str">
            <v>PUNTO VENDITA</v>
          </cell>
          <cell r="D91" t="str">
            <v>MC</v>
          </cell>
          <cell r="E91" t="str">
            <v>TEXTILE
ATTESI</v>
          </cell>
          <cell r="G91" t="str">
            <v>OTHER
ATTESI</v>
          </cell>
          <cell r="I91" t="str">
            <v>SHOES ATTESI</v>
          </cell>
          <cell r="K91" t="str">
            <v>ECOM ATTESI</v>
          </cell>
          <cell r="L91" t="str">
            <v>COLLI</v>
          </cell>
          <cell r="M91" t="str">
            <v>PEDANE</v>
          </cell>
          <cell r="O91" t="str">
            <v>VETTORE</v>
          </cell>
          <cell r="P91" t="str">
            <v>TIPO MEZZO</v>
          </cell>
          <cell r="Q91" t="str">
            <v>TARGA</v>
          </cell>
          <cell r="R91" t="str">
            <v>COD.MEZZO</v>
          </cell>
          <cell r="S91" t="str">
            <v xml:space="preserve"> SUPPORTO</v>
          </cell>
        </row>
        <row r="92">
          <cell r="A92" t="str">
            <v>3680B</v>
          </cell>
          <cell r="B92" t="str">
            <v>C.C.La Porta di Roma</v>
          </cell>
          <cell r="C92" t="str">
            <v>ZARA</v>
          </cell>
          <cell r="D92">
            <v>11.207999753952025</v>
          </cell>
          <cell r="M92">
            <v>9.4</v>
          </cell>
          <cell r="N92">
            <v>19.7</v>
          </cell>
          <cell r="O92" t="str">
            <v>LA CELESSICA</v>
          </cell>
          <cell r="P92" t="str">
            <v>BILICO 33</v>
          </cell>
          <cell r="T92" t="str">
            <v>=ARROTONDA.PER.ECC(D92*1,5/1,8;1)</v>
          </cell>
        </row>
        <row r="93">
          <cell r="A93" t="str">
            <v>5367B</v>
          </cell>
          <cell r="B93" t="str">
            <v>C.C. La Porta di Roma</v>
          </cell>
          <cell r="C93" t="str">
            <v>PULL&amp;BEAR</v>
          </cell>
          <cell r="D93">
            <v>6.783000031113624</v>
          </cell>
          <cell r="M93">
            <v>5.6999999999999993</v>
          </cell>
          <cell r="T93" t="str">
            <v>=ARROTONDA.PER.ECC(D93*1,5/1,8;1)</v>
          </cell>
        </row>
        <row r="94">
          <cell r="A94" t="str">
            <v>14825B</v>
          </cell>
          <cell r="B94" t="str">
            <v>C.C.La Porta di Roma</v>
          </cell>
          <cell r="C94" t="str">
            <v>BERSHKA</v>
          </cell>
          <cell r="D94">
            <v>5.4480000257492067</v>
          </cell>
          <cell r="M94">
            <v>4.5999999999999996</v>
          </cell>
          <cell r="T94" t="str">
            <v>=ARROTONDA.PER.ECC(D94*1,5/1,8;1)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1"/>
  <sheetViews>
    <sheetView tabSelected="1" workbookViewId="0">
      <pane ySplit="1" topLeftCell="A2" activePane="bottomLeft" state="frozen"/>
      <selection pane="bottomLeft" sqref="A1:K1048576"/>
    </sheetView>
  </sheetViews>
  <sheetFormatPr defaultRowHeight="15" x14ac:dyDescent="0.25"/>
  <cols>
    <col min="1" max="1" width="12" customWidth="1"/>
    <col min="2" max="2" width="24" customWidth="1"/>
    <col min="3" max="3" width="17" customWidth="1"/>
    <col min="4" max="5" width="12" customWidth="1"/>
    <col min="6" max="6" width="27" customWidth="1"/>
    <col min="7" max="7" width="12" customWidth="1"/>
    <col min="8" max="8" width="21" customWidth="1"/>
    <col min="10" max="10" width="16" bestFit="1" customWidth="1"/>
    <col min="11" max="11" width="36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78</v>
      </c>
      <c r="K1" s="1" t="s">
        <v>82</v>
      </c>
    </row>
    <row r="2" spans="1:11" hidden="1" x14ac:dyDescent="0.25">
      <c r="A2" s="2">
        <v>8601</v>
      </c>
      <c r="B2" s="3" t="s">
        <v>9</v>
      </c>
      <c r="C2" s="3" t="s">
        <v>10</v>
      </c>
      <c r="D2" s="2" t="s">
        <v>11</v>
      </c>
      <c r="E2" s="2">
        <v>10</v>
      </c>
      <c r="F2" s="3" t="s">
        <v>12</v>
      </c>
      <c r="G2" s="4" t="s">
        <v>13</v>
      </c>
      <c r="H2" s="2" t="s">
        <v>14</v>
      </c>
      <c r="I2" t="s">
        <v>15</v>
      </c>
      <c r="J2" t="s">
        <v>79</v>
      </c>
      <c r="K2" t="str">
        <f>VLOOKUP(A2,'[1]SPUNTA ARRIVI '!$A$1:$T$94,20,FALSE)</f>
        <v>=ARROTONDA.PER.ECC(D13*1,5/1,8;1)</v>
      </c>
    </row>
    <row r="3" spans="1:11" hidden="1" x14ac:dyDescent="0.25">
      <c r="A3" s="2">
        <v>8364</v>
      </c>
      <c r="B3" s="3" t="s">
        <v>16</v>
      </c>
      <c r="C3" s="3" t="s">
        <v>10</v>
      </c>
      <c r="D3" s="2" t="s">
        <v>17</v>
      </c>
      <c r="E3" s="2">
        <v>17</v>
      </c>
      <c r="F3" s="3" t="s">
        <v>18</v>
      </c>
      <c r="G3" s="4" t="s">
        <v>13</v>
      </c>
      <c r="H3" s="2" t="s">
        <v>14</v>
      </c>
      <c r="I3" t="s">
        <v>15</v>
      </c>
      <c r="J3" t="s">
        <v>79</v>
      </c>
      <c r="K3" t="str">
        <f>VLOOKUP(A3,'[1]SPUNTA ARRIVI '!$A$1:$T$94,20,FALSE)</f>
        <v>=ARROTONDA.PER.ECC(D75*1,5/1,8;1)</v>
      </c>
    </row>
    <row r="4" spans="1:11" hidden="1" x14ac:dyDescent="0.25">
      <c r="A4" s="2">
        <v>12899</v>
      </c>
      <c r="B4" s="3" t="s">
        <v>23</v>
      </c>
      <c r="C4" s="3" t="s">
        <v>10</v>
      </c>
      <c r="D4" s="2" t="s">
        <v>24</v>
      </c>
      <c r="E4" s="2">
        <v>9</v>
      </c>
      <c r="F4" s="3" t="s">
        <v>25</v>
      </c>
      <c r="G4" s="4" t="s">
        <v>13</v>
      </c>
      <c r="H4" s="2" t="s">
        <v>14</v>
      </c>
      <c r="I4" t="s">
        <v>15</v>
      </c>
      <c r="J4" t="s">
        <v>79</v>
      </c>
      <c r="K4" t="str">
        <f>VLOOKUP(A4,'[1]SPUNTA ARRIVI '!$A$1:$T$94,20,FALSE)</f>
        <v>=ARROTONDA.PER.ECC(D41*1,5/1,8;1)</v>
      </c>
    </row>
    <row r="5" spans="1:11" hidden="1" x14ac:dyDescent="0.25">
      <c r="A5" s="2">
        <v>8453</v>
      </c>
      <c r="B5" s="3" t="s">
        <v>29</v>
      </c>
      <c r="C5" s="3" t="s">
        <v>10</v>
      </c>
      <c r="D5" s="2" t="s">
        <v>30</v>
      </c>
      <c r="E5" s="2">
        <v>6</v>
      </c>
      <c r="F5" s="3" t="s">
        <v>31</v>
      </c>
      <c r="G5" s="4" t="s">
        <v>13</v>
      </c>
      <c r="H5" s="2" t="s">
        <v>14</v>
      </c>
      <c r="I5" t="s">
        <v>15</v>
      </c>
      <c r="J5" t="s">
        <v>79</v>
      </c>
      <c r="K5" t="str">
        <f>VLOOKUP(A5,'[1]SPUNTA ARRIVI '!$A$1:$T$94,20,FALSE)</f>
        <v>=ARROTONDA.PER.ECC(D52*1,5/1,8;1)</v>
      </c>
    </row>
    <row r="6" spans="1:11" hidden="1" x14ac:dyDescent="0.25">
      <c r="A6" s="2">
        <v>16037</v>
      </c>
      <c r="B6" s="3" t="s">
        <v>32</v>
      </c>
      <c r="C6" s="3" t="s">
        <v>10</v>
      </c>
      <c r="D6" s="2" t="s">
        <v>33</v>
      </c>
      <c r="E6" s="2">
        <v>11</v>
      </c>
      <c r="F6" s="3" t="s">
        <v>34</v>
      </c>
      <c r="G6" s="4" t="s">
        <v>13</v>
      </c>
      <c r="H6" s="2" t="s">
        <v>14</v>
      </c>
      <c r="I6" t="s">
        <v>15</v>
      </c>
      <c r="J6" t="s">
        <v>80</v>
      </c>
      <c r="K6" t="str">
        <f>VLOOKUP(A6,'[1]SPUNTA ARRIVI '!$A$1:$T$94,20,FALSE)</f>
        <v>=ARROTONDA.ECCESSO(D32/1,9;1)</v>
      </c>
    </row>
    <row r="7" spans="1:11" hidden="1" x14ac:dyDescent="0.25">
      <c r="A7" s="2">
        <v>11796</v>
      </c>
      <c r="B7" s="3" t="s">
        <v>35</v>
      </c>
      <c r="C7" s="3" t="s">
        <v>10</v>
      </c>
      <c r="D7" s="2" t="s">
        <v>36</v>
      </c>
      <c r="E7" s="2">
        <v>15</v>
      </c>
      <c r="F7" s="3" t="s">
        <v>37</v>
      </c>
      <c r="G7" s="4" t="s">
        <v>13</v>
      </c>
      <c r="H7" s="2" t="s">
        <v>14</v>
      </c>
      <c r="I7" t="s">
        <v>15</v>
      </c>
      <c r="J7" t="s">
        <v>79</v>
      </c>
      <c r="K7" t="str">
        <f>VLOOKUP(A7,'[1]SPUNTA ARRIVI '!$A$1:$T$94,20,FALSE)</f>
        <v>=ARROTONDA.PER.ECC(D16*1,5/1,8;1)</v>
      </c>
    </row>
    <row r="8" spans="1:11" hidden="1" x14ac:dyDescent="0.25">
      <c r="A8" s="2">
        <v>4518</v>
      </c>
      <c r="B8" s="3" t="s">
        <v>26</v>
      </c>
      <c r="C8" s="3" t="s">
        <v>41</v>
      </c>
      <c r="D8" s="2" t="s">
        <v>27</v>
      </c>
      <c r="E8" s="2">
        <v>276</v>
      </c>
      <c r="F8" s="3" t="s">
        <v>28</v>
      </c>
      <c r="G8" s="4" t="s">
        <v>13</v>
      </c>
      <c r="H8" s="2" t="s">
        <v>14</v>
      </c>
      <c r="I8" t="s">
        <v>15</v>
      </c>
      <c r="J8" t="s">
        <v>80</v>
      </c>
      <c r="K8" t="str">
        <f>VLOOKUP(A8,'[1]SPUNTA ARRIVI '!$A$1:$T$94,20,FALSE)</f>
        <v>=ARROTONDA.ECCESSO(D58/1,9;1)</v>
      </c>
    </row>
    <row r="9" spans="1:11" hidden="1" x14ac:dyDescent="0.25">
      <c r="A9" s="2">
        <v>2435</v>
      </c>
      <c r="B9" s="3" t="s">
        <v>19</v>
      </c>
      <c r="C9" s="3" t="s">
        <v>42</v>
      </c>
      <c r="D9" s="2" t="s">
        <v>20</v>
      </c>
      <c r="E9" s="2">
        <v>279</v>
      </c>
      <c r="F9" s="3" t="s">
        <v>21</v>
      </c>
      <c r="G9" s="4" t="s">
        <v>13</v>
      </c>
      <c r="H9" s="2" t="s">
        <v>14</v>
      </c>
      <c r="I9" t="s">
        <v>15</v>
      </c>
      <c r="J9" t="s">
        <v>80</v>
      </c>
      <c r="K9" t="str">
        <f>VLOOKUP(A9,'[1]SPUNTA ARRIVI '!$A$1:$T$94,20,FALSE)</f>
        <v>=ARROTONDA.ECCESSO(D24/1,9;1)</v>
      </c>
    </row>
    <row r="10" spans="1:11" hidden="1" x14ac:dyDescent="0.25">
      <c r="A10" s="2">
        <v>2414</v>
      </c>
      <c r="B10" s="3" t="s">
        <v>26</v>
      </c>
      <c r="C10" s="3" t="s">
        <v>42</v>
      </c>
      <c r="D10" s="2" t="s">
        <v>27</v>
      </c>
      <c r="E10" s="2">
        <v>277</v>
      </c>
      <c r="F10" s="3" t="s">
        <v>28</v>
      </c>
      <c r="G10" s="4" t="s">
        <v>13</v>
      </c>
      <c r="H10" s="2" t="s">
        <v>14</v>
      </c>
      <c r="I10" t="s">
        <v>15</v>
      </c>
      <c r="J10" t="s">
        <v>80</v>
      </c>
      <c r="K10" t="str">
        <f>VLOOKUP(A10,'[1]SPUNTA ARRIVI '!$A$1:$T$94,20,FALSE)</f>
        <v>=ARROTONDA.ECCESSO(D59/1,9;1)</v>
      </c>
    </row>
    <row r="11" spans="1:11" hidden="1" x14ac:dyDescent="0.25">
      <c r="A11" s="2">
        <v>16269</v>
      </c>
      <c r="B11" s="3" t="s">
        <v>32</v>
      </c>
      <c r="C11" s="3" t="s">
        <v>43</v>
      </c>
      <c r="D11" s="2" t="s">
        <v>33</v>
      </c>
      <c r="E11" s="2">
        <v>297</v>
      </c>
      <c r="F11" s="3" t="s">
        <v>34</v>
      </c>
      <c r="G11" s="4" t="s">
        <v>13</v>
      </c>
      <c r="H11" s="2" t="s">
        <v>14</v>
      </c>
      <c r="I11" t="s">
        <v>15</v>
      </c>
      <c r="J11" t="s">
        <v>80</v>
      </c>
      <c r="K11" t="str">
        <f>VLOOKUP(A11,'[1]SPUNTA ARRIVI '!$A$1:$T$94,20,FALSE)</f>
        <v>=ARROTONDA.ECCESSO(D34/1,9;1)</v>
      </c>
    </row>
    <row r="12" spans="1:11" hidden="1" x14ac:dyDescent="0.25">
      <c r="A12" s="2">
        <v>16060</v>
      </c>
      <c r="B12" s="3" t="s">
        <v>32</v>
      </c>
      <c r="C12" s="3" t="s">
        <v>44</v>
      </c>
      <c r="D12" s="2" t="s">
        <v>33</v>
      </c>
      <c r="E12" s="2">
        <v>286</v>
      </c>
      <c r="F12" s="3" t="s">
        <v>34</v>
      </c>
      <c r="G12" s="4" t="s">
        <v>13</v>
      </c>
      <c r="H12" s="2" t="s">
        <v>14</v>
      </c>
      <c r="I12" t="s">
        <v>15</v>
      </c>
      <c r="J12" t="s">
        <v>80</v>
      </c>
      <c r="K12" t="str">
        <f>VLOOKUP(A12,'[1]SPUNTA ARRIVI '!$A$1:$T$94,20,FALSE)</f>
        <v>=ARROTONDA.ECCESSO(D33/1,9;1)</v>
      </c>
    </row>
    <row r="13" spans="1:11" hidden="1" x14ac:dyDescent="0.25">
      <c r="A13" s="2">
        <v>12152</v>
      </c>
      <c r="B13" s="3" t="s">
        <v>9</v>
      </c>
      <c r="C13" s="3" t="s">
        <v>44</v>
      </c>
      <c r="D13" s="2" t="s">
        <v>11</v>
      </c>
      <c r="E13" s="2">
        <v>285</v>
      </c>
      <c r="F13" s="3" t="s">
        <v>12</v>
      </c>
      <c r="G13" s="4" t="s">
        <v>13</v>
      </c>
      <c r="H13" s="2" t="s">
        <v>14</v>
      </c>
      <c r="I13" t="s">
        <v>15</v>
      </c>
      <c r="J13" t="s">
        <v>80</v>
      </c>
      <c r="K13" t="str">
        <f>VLOOKUP(A13,'[1]SPUNTA ARRIVI '!$A$1:$T$94,20,FALSE)</f>
        <v>=ARROTONDA.ECCESSO(D12/1,9;1)</v>
      </c>
    </row>
    <row r="14" spans="1:11" hidden="1" x14ac:dyDescent="0.25">
      <c r="A14" s="2">
        <v>5306</v>
      </c>
      <c r="B14" s="3" t="s">
        <v>16</v>
      </c>
      <c r="C14" s="3" t="s">
        <v>44</v>
      </c>
      <c r="D14" s="2" t="s">
        <v>17</v>
      </c>
      <c r="E14" s="2">
        <v>290</v>
      </c>
      <c r="F14" s="3" t="s">
        <v>18</v>
      </c>
      <c r="G14" s="4" t="s">
        <v>13</v>
      </c>
      <c r="H14" s="2" t="s">
        <v>14</v>
      </c>
      <c r="I14" t="s">
        <v>15</v>
      </c>
      <c r="J14" t="s">
        <v>80</v>
      </c>
      <c r="K14" t="str">
        <f>VLOOKUP(A14,'[1]SPUNTA ARRIVI '!$A$1:$T$94,20,FALSE)</f>
        <v>=ARROTONDA.ECCESSO(D74/1,9;1)</v>
      </c>
    </row>
    <row r="15" spans="1:11" hidden="1" x14ac:dyDescent="0.25">
      <c r="A15" s="2">
        <v>10504</v>
      </c>
      <c r="B15" s="3" t="s">
        <v>23</v>
      </c>
      <c r="C15" s="3" t="s">
        <v>44</v>
      </c>
      <c r="D15" s="2" t="s">
        <v>24</v>
      </c>
      <c r="E15" s="2">
        <v>284</v>
      </c>
      <c r="F15" s="3" t="s">
        <v>25</v>
      </c>
      <c r="G15" s="4" t="s">
        <v>13</v>
      </c>
      <c r="H15" s="2" t="s">
        <v>14</v>
      </c>
      <c r="I15" t="s">
        <v>15</v>
      </c>
      <c r="J15" t="s">
        <v>80</v>
      </c>
      <c r="K15" t="str">
        <f>VLOOKUP(A15,'[1]SPUNTA ARRIVI '!$A$1:$T$94,20,FALSE)</f>
        <v>=ARROTONDA.ECCESSO(D43/1,9;1)</v>
      </c>
    </row>
    <row r="16" spans="1:11" hidden="1" x14ac:dyDescent="0.25">
      <c r="A16" s="2">
        <v>11629</v>
      </c>
      <c r="B16" s="3" t="s">
        <v>48</v>
      </c>
      <c r="C16" s="3" t="s">
        <v>44</v>
      </c>
      <c r="D16" s="2" t="s">
        <v>49</v>
      </c>
      <c r="E16" s="2">
        <v>280</v>
      </c>
      <c r="F16" s="3" t="s">
        <v>50</v>
      </c>
      <c r="G16" s="4" t="s">
        <v>13</v>
      </c>
      <c r="H16" s="2" t="s">
        <v>14</v>
      </c>
      <c r="I16" t="s">
        <v>15</v>
      </c>
      <c r="J16" t="s">
        <v>80</v>
      </c>
      <c r="K16" t="str">
        <f>VLOOKUP(A16,'[1]SPUNTA ARRIVI '!$A$1:$T$94,20,FALSE)</f>
        <v>=ARROTONDA.ECCESSO(D47/1,9;1)</v>
      </c>
    </row>
    <row r="17" spans="1:11" hidden="1" x14ac:dyDescent="0.25">
      <c r="A17" s="2">
        <v>7593</v>
      </c>
      <c r="B17" s="3" t="s">
        <v>51</v>
      </c>
      <c r="C17" s="3" t="s">
        <v>43</v>
      </c>
      <c r="D17" s="2" t="s">
        <v>24</v>
      </c>
      <c r="E17" s="2">
        <v>303</v>
      </c>
      <c r="F17" s="3" t="s">
        <v>52</v>
      </c>
      <c r="G17" s="4" t="s">
        <v>13</v>
      </c>
      <c r="H17" s="2" t="s">
        <v>14</v>
      </c>
      <c r="I17" t="s">
        <v>15</v>
      </c>
      <c r="J17" t="s">
        <v>80</v>
      </c>
      <c r="K17" t="str">
        <f>VLOOKUP(A17,'[1]SPUNTA ARRIVI '!$A$1:$T$94,20,FALSE)</f>
        <v>=ARROTONDA.ECCESSO(D44/1,9;1)</v>
      </c>
    </row>
    <row r="18" spans="1:11" hidden="1" x14ac:dyDescent="0.25">
      <c r="A18" s="2">
        <v>2898</v>
      </c>
      <c r="B18" s="3" t="s">
        <v>16</v>
      </c>
      <c r="C18" s="3" t="s">
        <v>43</v>
      </c>
      <c r="D18" s="2" t="s">
        <v>17</v>
      </c>
      <c r="E18" s="2">
        <v>302</v>
      </c>
      <c r="F18" s="3" t="s">
        <v>18</v>
      </c>
      <c r="G18" s="4" t="s">
        <v>13</v>
      </c>
      <c r="H18" s="2" t="s">
        <v>14</v>
      </c>
      <c r="I18" t="s">
        <v>15</v>
      </c>
      <c r="J18" t="s">
        <v>80</v>
      </c>
      <c r="K18" t="str">
        <f>VLOOKUP(A18,'[1]SPUNTA ARRIVI '!$A$1:$T$94,20,FALSE)</f>
        <v>=ARROTONDA.ECCESSO(D76/1,9;1)</v>
      </c>
    </row>
    <row r="19" spans="1:11" hidden="1" x14ac:dyDescent="0.25">
      <c r="A19" s="2">
        <v>12093</v>
      </c>
      <c r="B19" s="3" t="s">
        <v>23</v>
      </c>
      <c r="C19" s="3" t="s">
        <v>43</v>
      </c>
      <c r="D19" s="2" t="s">
        <v>24</v>
      </c>
      <c r="E19" s="2">
        <v>296</v>
      </c>
      <c r="F19" s="3" t="s">
        <v>25</v>
      </c>
      <c r="G19" s="4" t="s">
        <v>13</v>
      </c>
      <c r="H19" s="2" t="s">
        <v>14</v>
      </c>
      <c r="I19" t="s">
        <v>15</v>
      </c>
      <c r="J19" t="s">
        <v>80</v>
      </c>
      <c r="K19" t="str">
        <f>VLOOKUP(A19,'[1]SPUNTA ARRIVI '!$A$1:$T$94,20,FALSE)</f>
        <v>=ARROTONDA.ECCESSO(D42/1,9;1)</v>
      </c>
    </row>
    <row r="20" spans="1:11" hidden="1" x14ac:dyDescent="0.25">
      <c r="A20" s="2">
        <v>2917</v>
      </c>
      <c r="B20" s="3" t="s">
        <v>26</v>
      </c>
      <c r="C20" s="3" t="s">
        <v>43</v>
      </c>
      <c r="D20" s="2" t="s">
        <v>27</v>
      </c>
      <c r="E20" s="2">
        <v>295</v>
      </c>
      <c r="F20" s="3" t="s">
        <v>53</v>
      </c>
      <c r="G20" s="4" t="s">
        <v>13</v>
      </c>
      <c r="H20" s="2" t="s">
        <v>14</v>
      </c>
      <c r="I20" t="s">
        <v>15</v>
      </c>
      <c r="J20" t="s">
        <v>80</v>
      </c>
      <c r="K20" t="str">
        <f>VLOOKUP(A20,'[1]SPUNTA ARRIVI '!$A$1:$T$94,20,FALSE)</f>
        <v>=ARROTONDA.ECCESSO(D62/1,9;1)</v>
      </c>
    </row>
    <row r="21" spans="1:11" hidden="1" x14ac:dyDescent="0.25">
      <c r="A21" s="2">
        <v>10265</v>
      </c>
      <c r="B21" s="3" t="s">
        <v>54</v>
      </c>
      <c r="C21" s="3" t="s">
        <v>43</v>
      </c>
      <c r="D21" s="2" t="s">
        <v>36</v>
      </c>
      <c r="E21" s="2">
        <v>299</v>
      </c>
      <c r="F21" s="3" t="s">
        <v>55</v>
      </c>
      <c r="G21" s="4" t="s">
        <v>13</v>
      </c>
      <c r="H21" s="2" t="s">
        <v>14</v>
      </c>
      <c r="I21" t="s">
        <v>15</v>
      </c>
      <c r="J21" t="s">
        <v>80</v>
      </c>
      <c r="K21" t="str">
        <f>VLOOKUP(A21,'[1]SPUNTA ARRIVI '!$A$1:$T$94,20,FALSE)</f>
        <v>=ARROTONDA.ECCESSO(D17/1,9;1)</v>
      </c>
    </row>
    <row r="22" spans="1:11" hidden="1" x14ac:dyDescent="0.25">
      <c r="A22" s="2">
        <v>7672</v>
      </c>
      <c r="B22" s="3" t="s">
        <v>35</v>
      </c>
      <c r="C22" s="3" t="s">
        <v>43</v>
      </c>
      <c r="D22" s="2" t="s">
        <v>36</v>
      </c>
      <c r="E22" s="2">
        <v>0</v>
      </c>
      <c r="F22" s="3" t="s">
        <v>35</v>
      </c>
      <c r="G22" s="4" t="s">
        <v>13</v>
      </c>
      <c r="H22" s="2" t="s">
        <v>14</v>
      </c>
      <c r="I22" t="s">
        <v>15</v>
      </c>
      <c r="J22" t="s">
        <v>80</v>
      </c>
      <c r="K22" t="e">
        <f>VLOOKUP(A22,'[1]SPUNTA ARRIVI '!$A$1:$T$94,20,FALSE)</f>
        <v>#N/A</v>
      </c>
    </row>
    <row r="23" spans="1:11" x14ac:dyDescent="0.25">
      <c r="A23" s="2">
        <v>16647</v>
      </c>
      <c r="B23" s="3" t="s">
        <v>56</v>
      </c>
      <c r="C23" s="3" t="s">
        <v>43</v>
      </c>
      <c r="D23" s="2" t="s">
        <v>57</v>
      </c>
      <c r="E23" s="2">
        <v>298</v>
      </c>
      <c r="F23" s="3" t="s">
        <v>58</v>
      </c>
      <c r="G23" s="4" t="s">
        <v>13</v>
      </c>
      <c r="H23" s="2" t="s">
        <v>14</v>
      </c>
      <c r="I23" t="s">
        <v>15</v>
      </c>
      <c r="J23" t="s">
        <v>80</v>
      </c>
      <c r="K23" t="str">
        <f>VLOOKUP(A23,'[1]SPUNTA ARRIVI '!$A$1:$T$94,20,FALSE)</f>
        <v>=ARROTONDA.ECCESSO(D2/1,9;1)</v>
      </c>
    </row>
    <row r="24" spans="1:11" hidden="1" x14ac:dyDescent="0.25">
      <c r="A24" s="2">
        <v>12154</v>
      </c>
      <c r="B24" s="3" t="s">
        <v>48</v>
      </c>
      <c r="C24" s="3" t="s">
        <v>43</v>
      </c>
      <c r="D24" s="2" t="s">
        <v>49</v>
      </c>
      <c r="E24" s="2">
        <v>293</v>
      </c>
      <c r="F24" s="3" t="s">
        <v>50</v>
      </c>
      <c r="G24" s="4" t="s">
        <v>13</v>
      </c>
      <c r="H24" s="2" t="s">
        <v>14</v>
      </c>
      <c r="I24" t="s">
        <v>15</v>
      </c>
      <c r="J24" t="s">
        <v>80</v>
      </c>
      <c r="K24" t="str">
        <f>VLOOKUP(A24,'[1]SPUNTA ARRIVI '!$A$1:$T$94,20,FALSE)</f>
        <v>=ARROTONDA.ECCESSO(D48/1,9;1)</v>
      </c>
    </row>
    <row r="25" spans="1:11" hidden="1" x14ac:dyDescent="0.25">
      <c r="A25" s="2">
        <v>12271</v>
      </c>
      <c r="B25" s="3" t="s">
        <v>9</v>
      </c>
      <c r="C25" s="3" t="s">
        <v>59</v>
      </c>
      <c r="D25" s="2" t="s">
        <v>11</v>
      </c>
      <c r="E25" s="2">
        <v>313</v>
      </c>
      <c r="F25" s="3" t="s">
        <v>12</v>
      </c>
      <c r="G25" s="4" t="s">
        <v>13</v>
      </c>
      <c r="H25" s="2" t="s">
        <v>14</v>
      </c>
      <c r="I25" t="s">
        <v>15</v>
      </c>
      <c r="J25" t="s">
        <v>79</v>
      </c>
      <c r="K25" t="str">
        <f>VLOOKUP(A25,'[1]SPUNTA ARRIVI '!$A$1:$T$94,20,FALSE)</f>
        <v>=ARROTONDA.PER.ECC(D11*1,5/1,8;1)</v>
      </c>
    </row>
    <row r="26" spans="1:11" hidden="1" x14ac:dyDescent="0.25">
      <c r="A26" s="2">
        <v>1265</v>
      </c>
      <c r="B26" s="3" t="s">
        <v>9</v>
      </c>
      <c r="C26" s="3" t="s">
        <v>59</v>
      </c>
      <c r="D26" s="2" t="s">
        <v>60</v>
      </c>
      <c r="E26" s="2">
        <v>308</v>
      </c>
      <c r="F26" s="3" t="s">
        <v>61</v>
      </c>
      <c r="G26" s="4" t="s">
        <v>13</v>
      </c>
      <c r="H26" s="2" t="s">
        <v>14</v>
      </c>
      <c r="I26" t="s">
        <v>15</v>
      </c>
      <c r="J26" t="s">
        <v>79</v>
      </c>
      <c r="K26" t="str">
        <f>VLOOKUP(A26,'[1]SPUNTA ARRIVI '!$A$1:$T$94,20,FALSE)</f>
        <v>=ARROTONDA.PER.ECC(D37*1,5/1,8;1)</v>
      </c>
    </row>
    <row r="27" spans="1:11" hidden="1" x14ac:dyDescent="0.25">
      <c r="A27" s="2">
        <v>3534</v>
      </c>
      <c r="B27" s="3" t="s">
        <v>16</v>
      </c>
      <c r="C27" s="3" t="s">
        <v>59</v>
      </c>
      <c r="D27" s="2" t="s">
        <v>17</v>
      </c>
      <c r="E27" s="2">
        <v>320</v>
      </c>
      <c r="F27" s="3" t="s">
        <v>18</v>
      </c>
      <c r="G27" s="4" t="s">
        <v>13</v>
      </c>
      <c r="H27" s="2" t="s">
        <v>14</v>
      </c>
      <c r="I27" t="s">
        <v>15</v>
      </c>
      <c r="J27" t="s">
        <v>79</v>
      </c>
      <c r="K27" t="str">
        <f>VLOOKUP(A27,'[1]SPUNTA ARRIVI '!$A$1:$T$94,20,FALSE)</f>
        <v>=ARROTONDA.PER.ECC(D73*1,5/1,8;1)</v>
      </c>
    </row>
    <row r="28" spans="1:11" hidden="1" x14ac:dyDescent="0.25">
      <c r="A28" s="2">
        <v>9226</v>
      </c>
      <c r="B28" s="3" t="s">
        <v>62</v>
      </c>
      <c r="C28" s="3" t="s">
        <v>59</v>
      </c>
      <c r="D28" s="2" t="s">
        <v>63</v>
      </c>
      <c r="E28" s="2">
        <v>321</v>
      </c>
      <c r="F28" s="3" t="s">
        <v>64</v>
      </c>
      <c r="G28" s="4" t="s">
        <v>13</v>
      </c>
      <c r="H28" s="2" t="s">
        <v>14</v>
      </c>
      <c r="I28" t="s">
        <v>15</v>
      </c>
      <c r="J28" t="s">
        <v>79</v>
      </c>
      <c r="K28" t="str">
        <f>VLOOKUP(A28,'[1]SPUNTA ARRIVI '!$A$1:$T$94,20,FALSE)</f>
        <v>=ARROTONDA.PER.ECC(D65*1,5/1,8;1)</v>
      </c>
    </row>
    <row r="29" spans="1:11" hidden="1" x14ac:dyDescent="0.25">
      <c r="A29" s="2">
        <v>12059</v>
      </c>
      <c r="B29" s="3" t="s">
        <v>23</v>
      </c>
      <c r="C29" s="3" t="s">
        <v>59</v>
      </c>
      <c r="D29" s="2" t="s">
        <v>24</v>
      </c>
      <c r="E29" s="2">
        <v>312</v>
      </c>
      <c r="F29" s="3" t="s">
        <v>25</v>
      </c>
      <c r="G29" s="4" t="s">
        <v>13</v>
      </c>
      <c r="H29" s="2" t="s">
        <v>14</v>
      </c>
      <c r="I29" t="s">
        <v>15</v>
      </c>
      <c r="J29" t="s">
        <v>79</v>
      </c>
      <c r="K29" t="str">
        <f>VLOOKUP(A29,'[1]SPUNTA ARRIVI '!$A$1:$T$94,20,FALSE)</f>
        <v>=ARROTONDA.PER.ECC(D40*1,5/1,8;1)</v>
      </c>
    </row>
    <row r="30" spans="1:11" hidden="1" x14ac:dyDescent="0.25">
      <c r="A30" s="2">
        <v>3591</v>
      </c>
      <c r="B30" s="3" t="s">
        <v>26</v>
      </c>
      <c r="C30" s="3" t="s">
        <v>59</v>
      </c>
      <c r="D30" s="2" t="s">
        <v>27</v>
      </c>
      <c r="E30" s="2">
        <v>311</v>
      </c>
      <c r="F30" s="3" t="s">
        <v>53</v>
      </c>
      <c r="G30" s="4" t="s">
        <v>13</v>
      </c>
      <c r="H30" s="2" t="s">
        <v>14</v>
      </c>
      <c r="I30" t="s">
        <v>15</v>
      </c>
      <c r="J30" t="s">
        <v>79</v>
      </c>
      <c r="K30" t="str">
        <f>VLOOKUP(A30,'[1]SPUNTA ARRIVI '!$A$1:$T$94,20,FALSE)</f>
        <v>=ARROTONDA.PER.ECC(D60*1,5/1,8;1)</v>
      </c>
    </row>
    <row r="31" spans="1:11" hidden="1" x14ac:dyDescent="0.25">
      <c r="A31" s="2">
        <v>3494</v>
      </c>
      <c r="B31" s="3" t="s">
        <v>65</v>
      </c>
      <c r="C31" s="3" t="s">
        <v>59</v>
      </c>
      <c r="D31" s="2" t="s">
        <v>27</v>
      </c>
      <c r="E31" s="2">
        <v>0</v>
      </c>
      <c r="F31" s="3" t="s">
        <v>65</v>
      </c>
      <c r="G31" s="4" t="s">
        <v>13</v>
      </c>
      <c r="H31" s="2" t="s">
        <v>14</v>
      </c>
      <c r="I31" t="s">
        <v>15</v>
      </c>
      <c r="J31" t="s">
        <v>80</v>
      </c>
      <c r="K31" t="e">
        <f>VLOOKUP(A31,'[1]SPUNTA ARRIVI '!$A$1:$T$94,20,FALSE)</f>
        <v>#N/A</v>
      </c>
    </row>
    <row r="32" spans="1:11" hidden="1" x14ac:dyDescent="0.25">
      <c r="A32" s="2">
        <v>1971</v>
      </c>
      <c r="B32" s="3" t="s">
        <v>19</v>
      </c>
      <c r="C32" s="3" t="s">
        <v>67</v>
      </c>
      <c r="D32" s="2" t="s">
        <v>20</v>
      </c>
      <c r="E32" s="2">
        <v>316</v>
      </c>
      <c r="F32" s="3" t="s">
        <v>21</v>
      </c>
      <c r="G32" s="4" t="s">
        <v>13</v>
      </c>
      <c r="H32" s="2" t="s">
        <v>14</v>
      </c>
      <c r="I32" t="s">
        <v>15</v>
      </c>
      <c r="J32" t="s">
        <v>81</v>
      </c>
      <c r="K32" t="str">
        <f>VLOOKUP(A32,'[1]SPUNTA ARRIVI '!$A$1:$T$94,20,FALSE)</f>
        <v>=ARROTONDA.ECCESSO(D21/1,5;1)</v>
      </c>
    </row>
    <row r="33" spans="1:11" hidden="1" x14ac:dyDescent="0.25">
      <c r="A33" s="2">
        <v>1755</v>
      </c>
      <c r="B33" s="3" t="s">
        <v>26</v>
      </c>
      <c r="C33" s="3" t="s">
        <v>67</v>
      </c>
      <c r="D33" s="2" t="s">
        <v>27</v>
      </c>
      <c r="E33" s="2">
        <v>315</v>
      </c>
      <c r="F33" s="3" t="s">
        <v>53</v>
      </c>
      <c r="G33" s="4" t="s">
        <v>13</v>
      </c>
      <c r="H33" s="2" t="s">
        <v>14</v>
      </c>
      <c r="I33" t="s">
        <v>15</v>
      </c>
      <c r="J33" t="s">
        <v>81</v>
      </c>
      <c r="K33" t="str">
        <f>VLOOKUP(A33,'[1]SPUNTA ARRIVI '!$A$1:$T$94,20,FALSE)</f>
        <v>=ARROTONDA.ECCESSO(D61/1,5;1)</v>
      </c>
    </row>
    <row r="34" spans="1:11" hidden="1" x14ac:dyDescent="0.25">
      <c r="A34" s="2">
        <v>6760</v>
      </c>
      <c r="B34" s="3" t="s">
        <v>19</v>
      </c>
      <c r="C34" s="3" t="s">
        <v>43</v>
      </c>
      <c r="D34" s="2" t="s">
        <v>20</v>
      </c>
      <c r="E34" s="2">
        <v>301</v>
      </c>
      <c r="F34" s="3" t="s">
        <v>21</v>
      </c>
      <c r="G34" s="4" t="s">
        <v>13</v>
      </c>
      <c r="H34" s="2" t="s">
        <v>14</v>
      </c>
      <c r="I34" t="s">
        <v>15</v>
      </c>
      <c r="J34" t="s">
        <v>80</v>
      </c>
      <c r="K34" t="str">
        <f>VLOOKUP(A34,'[1]SPUNTA ARRIVI '!$A$1:$T$94,20,FALSE)</f>
        <v>=ARROTONDA.ECCESSO(D23/1,9;1)</v>
      </c>
    </row>
    <row r="35" spans="1:11" hidden="1" x14ac:dyDescent="0.25">
      <c r="A35" s="2">
        <v>15733</v>
      </c>
      <c r="B35" s="3" t="s">
        <v>70</v>
      </c>
      <c r="C35" s="3" t="s">
        <v>59</v>
      </c>
      <c r="D35" s="2" t="s">
        <v>71</v>
      </c>
      <c r="E35" s="2">
        <v>309</v>
      </c>
      <c r="F35" s="3" t="s">
        <v>72</v>
      </c>
      <c r="G35" s="4" t="s">
        <v>13</v>
      </c>
      <c r="H35" s="2" t="s">
        <v>14</v>
      </c>
      <c r="I35" t="s">
        <v>15</v>
      </c>
      <c r="J35" t="s">
        <v>80</v>
      </c>
      <c r="K35" t="str">
        <f>VLOOKUP(A35,'[1]SPUNTA ARRIVI '!$A$1:$T$94,20,FALSE)</f>
        <v>=ARROTONDA.ECCESSO(D68/1,9;1)</v>
      </c>
    </row>
    <row r="36" spans="1:11" hidden="1" x14ac:dyDescent="0.25">
      <c r="A36" s="2">
        <v>5641</v>
      </c>
      <c r="B36" s="3" t="s">
        <v>73</v>
      </c>
      <c r="C36" s="3" t="s">
        <v>10</v>
      </c>
      <c r="D36" s="2" t="s">
        <v>11</v>
      </c>
      <c r="E36" s="2">
        <v>7</v>
      </c>
      <c r="F36" s="3" t="s">
        <v>74</v>
      </c>
      <c r="G36" s="4" t="s">
        <v>13</v>
      </c>
      <c r="H36" s="2" t="s">
        <v>14</v>
      </c>
      <c r="I36" t="s">
        <v>15</v>
      </c>
      <c r="J36" t="s">
        <v>79</v>
      </c>
      <c r="K36" t="str">
        <f>VLOOKUP(A36,'[1]SPUNTA ARRIVI '!$A$1:$T$94,20,FALSE)</f>
        <v>=ARROTONDA.PER.ECC(D8*1,5/1,8;1)</v>
      </c>
    </row>
    <row r="37" spans="1:11" hidden="1" x14ac:dyDescent="0.25">
      <c r="A37" s="2">
        <v>5405</v>
      </c>
      <c r="B37" s="3" t="s">
        <v>73</v>
      </c>
      <c r="C37" s="3" t="s">
        <v>44</v>
      </c>
      <c r="D37" s="2" t="s">
        <v>11</v>
      </c>
      <c r="E37" s="2">
        <v>282</v>
      </c>
      <c r="F37" s="3" t="s">
        <v>74</v>
      </c>
      <c r="G37" s="4" t="s">
        <v>13</v>
      </c>
      <c r="H37" s="2" t="s">
        <v>14</v>
      </c>
      <c r="I37" t="s">
        <v>15</v>
      </c>
      <c r="J37" t="s">
        <v>80</v>
      </c>
      <c r="K37" t="str">
        <f>VLOOKUP(A37,'[1]SPUNTA ARRIVI '!$A$1:$T$94,20,FALSE)</f>
        <v>=ARROTONDA.ECCESSO(D9/1,9;1)</v>
      </c>
    </row>
    <row r="38" spans="1:11" hidden="1" x14ac:dyDescent="0.25">
      <c r="A38" s="2">
        <v>2972</v>
      </c>
      <c r="B38" s="3" t="s">
        <v>73</v>
      </c>
      <c r="C38" s="3" t="s">
        <v>43</v>
      </c>
      <c r="D38" s="2" t="s">
        <v>11</v>
      </c>
      <c r="E38" s="2">
        <v>294</v>
      </c>
      <c r="F38" s="3" t="s">
        <v>74</v>
      </c>
      <c r="G38" s="4" t="s">
        <v>13</v>
      </c>
      <c r="H38" s="2" t="s">
        <v>14</v>
      </c>
      <c r="I38" t="s">
        <v>15</v>
      </c>
      <c r="J38" t="s">
        <v>80</v>
      </c>
      <c r="K38" t="str">
        <f>VLOOKUP(A38,'[1]SPUNTA ARRIVI '!$A$1:$T$94,20,FALSE)</f>
        <v>=ARROTONDA.ECCESSO(D10/1,9;1)</v>
      </c>
    </row>
    <row r="39" spans="1:11" hidden="1" x14ac:dyDescent="0.25">
      <c r="A39" s="2">
        <v>16351</v>
      </c>
      <c r="B39" s="3" t="s">
        <v>75</v>
      </c>
      <c r="C39" s="3" t="s">
        <v>10</v>
      </c>
      <c r="D39" s="2" t="s">
        <v>57</v>
      </c>
      <c r="E39" s="2">
        <v>336</v>
      </c>
      <c r="F39" s="3" t="s">
        <v>58</v>
      </c>
      <c r="G39" s="4" t="s">
        <v>13</v>
      </c>
      <c r="H39" s="2" t="s">
        <v>14</v>
      </c>
      <c r="I39" t="s">
        <v>15</v>
      </c>
      <c r="J39" t="s">
        <v>79</v>
      </c>
      <c r="K39" t="str">
        <f>VLOOKUP(A39,'[1]SPUNTA ARRIVI '!$A$1:$T$94,20,FALSE)</f>
        <v>=ARROTONDA.PER.ECC(D4*1,5/1,8;1)</v>
      </c>
    </row>
    <row r="40" spans="1:11" hidden="1" x14ac:dyDescent="0.25">
      <c r="A40" s="2">
        <v>16564</v>
      </c>
      <c r="B40" s="3" t="s">
        <v>75</v>
      </c>
      <c r="C40" s="3" t="s">
        <v>44</v>
      </c>
      <c r="D40" s="2" t="s">
        <v>57</v>
      </c>
      <c r="E40" s="2">
        <v>337</v>
      </c>
      <c r="F40" s="3" t="s">
        <v>58</v>
      </c>
      <c r="G40" s="4" t="s">
        <v>13</v>
      </c>
      <c r="H40" s="2" t="s">
        <v>14</v>
      </c>
      <c r="I40" t="s">
        <v>15</v>
      </c>
      <c r="J40" t="s">
        <v>79</v>
      </c>
      <c r="K40" t="str">
        <f>VLOOKUP(A40,'[1]SPUNTA ARRIVI '!$A$1:$T$94,20,FALSE)</f>
        <v>=ARROTONDA.PER.ECC(D5*1,5/1,8;1)</v>
      </c>
    </row>
    <row r="41" spans="1:11" hidden="1" x14ac:dyDescent="0.25">
      <c r="A41" s="2">
        <v>17019</v>
      </c>
      <c r="B41" s="3" t="s">
        <v>76</v>
      </c>
      <c r="C41" s="3" t="s">
        <v>41</v>
      </c>
      <c r="D41" s="2" t="s">
        <v>77</v>
      </c>
      <c r="E41" s="2">
        <v>2358</v>
      </c>
      <c r="F41" s="3" t="s">
        <v>76</v>
      </c>
      <c r="G41" s="4" t="s">
        <v>13</v>
      </c>
      <c r="H41" s="2" t="s">
        <v>14</v>
      </c>
      <c r="I41" t="s">
        <v>15</v>
      </c>
      <c r="J41" t="s">
        <v>80</v>
      </c>
      <c r="K41" t="str">
        <f>VLOOKUP(A41,'[1]SPUNTA ARRIVI '!$A$1:$T$94,20,FALSE)</f>
        <v>=ARROTONDA.ECCESSO(D78/1,9;1)</v>
      </c>
    </row>
    <row r="42" spans="1:11" hidden="1" x14ac:dyDescent="0.25">
      <c r="A42" s="2">
        <v>14825</v>
      </c>
      <c r="B42" s="3" t="s">
        <v>19</v>
      </c>
      <c r="C42" s="3" t="s">
        <v>10</v>
      </c>
      <c r="D42" s="2" t="s">
        <v>20</v>
      </c>
      <c r="E42" s="2">
        <v>16</v>
      </c>
      <c r="F42" s="3" t="s">
        <v>21</v>
      </c>
      <c r="G42" s="4" t="s">
        <v>13</v>
      </c>
      <c r="H42" s="2" t="s">
        <v>14</v>
      </c>
      <c r="I42" t="s">
        <v>15</v>
      </c>
      <c r="J42" t="s">
        <v>88</v>
      </c>
      <c r="K42" t="str">
        <f>VLOOKUP(A42,'[1]SPUNTA ARRIVI '!$A$1:$T$94,20,FALSE)</f>
        <v>=ARROTONDA.PER.ECC(D22*1,5/1,8;1)</v>
      </c>
    </row>
    <row r="43" spans="1:11" hidden="1" x14ac:dyDescent="0.25">
      <c r="A43" s="2">
        <v>8428</v>
      </c>
      <c r="B43" s="3" t="s">
        <v>26</v>
      </c>
      <c r="C43" s="3" t="s">
        <v>10</v>
      </c>
      <c r="D43" s="2" t="s">
        <v>27</v>
      </c>
      <c r="E43" s="2">
        <v>8</v>
      </c>
      <c r="F43" s="3" t="s">
        <v>28</v>
      </c>
      <c r="G43" s="4" t="s">
        <v>13</v>
      </c>
      <c r="H43" s="2" t="s">
        <v>14</v>
      </c>
      <c r="I43" t="s">
        <v>15</v>
      </c>
      <c r="J43" t="s">
        <v>88</v>
      </c>
      <c r="K43" t="str">
        <f>VLOOKUP(A43,'[1]SPUNTA ARRIVI '!$A$1:$T$94,20,FALSE)</f>
        <v>=ARROTONDA.PER.ECC(D57*1,5/1,8;1)</v>
      </c>
    </row>
    <row r="44" spans="1:11" hidden="1" x14ac:dyDescent="0.25">
      <c r="A44" s="2">
        <v>14010</v>
      </c>
      <c r="B44" s="3" t="s">
        <v>38</v>
      </c>
      <c r="C44" s="3" t="s">
        <v>10</v>
      </c>
      <c r="D44" s="2" t="s">
        <v>39</v>
      </c>
      <c r="E44" s="2">
        <v>13</v>
      </c>
      <c r="F44" s="3" t="s">
        <v>40</v>
      </c>
      <c r="G44" s="4" t="s">
        <v>13</v>
      </c>
      <c r="H44" s="2" t="s">
        <v>14</v>
      </c>
      <c r="I44" t="s">
        <v>15</v>
      </c>
      <c r="J44" t="s">
        <v>89</v>
      </c>
      <c r="K44" t="str">
        <f>VLOOKUP(A44,'[1]SPUNTA ARRIVI '!$A$1:$T$94,20,FALSE)</f>
        <v>=ARROTONDA.ECCESSO(D29/1,9;1)</v>
      </c>
    </row>
    <row r="45" spans="1:11" hidden="1" x14ac:dyDescent="0.25">
      <c r="A45" s="2">
        <v>5367</v>
      </c>
      <c r="B45" s="3" t="s">
        <v>19</v>
      </c>
      <c r="C45" s="3" t="s">
        <v>44</v>
      </c>
      <c r="D45" s="2" t="s">
        <v>20</v>
      </c>
      <c r="E45" s="2">
        <v>289</v>
      </c>
      <c r="F45" s="3" t="s">
        <v>45</v>
      </c>
      <c r="G45" s="4" t="s">
        <v>13</v>
      </c>
      <c r="H45" s="2" t="s">
        <v>14</v>
      </c>
      <c r="I45" t="s">
        <v>15</v>
      </c>
      <c r="J45" t="s">
        <v>89</v>
      </c>
      <c r="K45" t="str">
        <f>VLOOKUP(A45,'[1]SPUNTA ARRIVI '!$A$1:$T$94,20,FALSE)</f>
        <v>=ARROTONDA.ECCESSO(D20/1,9;1)</v>
      </c>
    </row>
    <row r="46" spans="1:11" hidden="1" x14ac:dyDescent="0.25">
      <c r="A46" s="2">
        <v>5349</v>
      </c>
      <c r="B46" s="3" t="s">
        <v>46</v>
      </c>
      <c r="C46" s="3" t="s">
        <v>44</v>
      </c>
      <c r="D46" s="2" t="s">
        <v>27</v>
      </c>
      <c r="E46" s="2">
        <v>283</v>
      </c>
      <c r="F46" s="3" t="s">
        <v>28</v>
      </c>
      <c r="G46" s="4" t="s">
        <v>13</v>
      </c>
      <c r="H46" s="2" t="s">
        <v>14</v>
      </c>
      <c r="I46" t="s">
        <v>15</v>
      </c>
      <c r="J46" t="s">
        <v>89</v>
      </c>
      <c r="K46" t="str">
        <f>VLOOKUP(A46,'[1]SPUNTA ARRIVI '!$A$1:$T$94,20,FALSE)</f>
        <v>=ARROTONDA.ECCESSO(D56/1,9;1)</v>
      </c>
    </row>
    <row r="47" spans="1:11" hidden="1" x14ac:dyDescent="0.25">
      <c r="A47" s="2">
        <v>6525</v>
      </c>
      <c r="B47" s="3" t="s">
        <v>47</v>
      </c>
      <c r="C47" s="3" t="s">
        <v>44</v>
      </c>
      <c r="D47" s="2" t="s">
        <v>30</v>
      </c>
      <c r="E47" s="2">
        <v>281</v>
      </c>
      <c r="F47" s="3" t="s">
        <v>31</v>
      </c>
      <c r="G47" s="4" t="s">
        <v>13</v>
      </c>
      <c r="H47" s="2" t="s">
        <v>14</v>
      </c>
      <c r="I47" t="s">
        <v>15</v>
      </c>
      <c r="J47" t="s">
        <v>89</v>
      </c>
      <c r="K47" t="str">
        <f>VLOOKUP(A47,'[1]SPUNTA ARRIVI '!$A$1:$T$94,20,FALSE)</f>
        <v>=ARROTONDA.ECCESSO(D53/1,9;1)</v>
      </c>
    </row>
    <row r="48" spans="1:11" hidden="1" x14ac:dyDescent="0.25">
      <c r="A48" s="2">
        <v>3680</v>
      </c>
      <c r="B48" s="3" t="s">
        <v>19</v>
      </c>
      <c r="C48" s="3" t="s">
        <v>59</v>
      </c>
      <c r="D48" s="2" t="s">
        <v>20</v>
      </c>
      <c r="E48" s="2">
        <v>319</v>
      </c>
      <c r="F48" s="3" t="s">
        <v>21</v>
      </c>
      <c r="G48" s="4" t="s">
        <v>13</v>
      </c>
      <c r="H48" s="2" t="s">
        <v>14</v>
      </c>
      <c r="I48" t="s">
        <v>13</v>
      </c>
      <c r="J48" t="s">
        <v>89</v>
      </c>
      <c r="K48" t="str">
        <f>VLOOKUP(A48,'[1]SPUNTA ARRIVI '!$A$1:$T$94,20,FALSE)</f>
        <v>=CONCAT(C119;" plt";" + ";B119;" stdr")</v>
      </c>
    </row>
    <row r="49" spans="1:11" hidden="1" x14ac:dyDescent="0.25">
      <c r="A49" s="2">
        <v>16723</v>
      </c>
      <c r="B49" s="3" t="s">
        <v>29</v>
      </c>
      <c r="C49" s="3" t="s">
        <v>59</v>
      </c>
      <c r="D49" s="2" t="s">
        <v>30</v>
      </c>
      <c r="E49" s="2">
        <v>310</v>
      </c>
      <c r="F49" s="3" t="s">
        <v>31</v>
      </c>
      <c r="G49" s="4" t="s">
        <v>13</v>
      </c>
      <c r="H49" s="2" t="s">
        <v>14</v>
      </c>
      <c r="I49" t="s">
        <v>15</v>
      </c>
      <c r="J49" t="s">
        <v>88</v>
      </c>
      <c r="K49" t="str">
        <f>VLOOKUP(A49,'[1]SPUNTA ARRIVI '!$A$1:$T$94,20,FALSE)</f>
        <v>=ARROTONDA.PER.ECC(D51*1,5/1,8;1)</v>
      </c>
    </row>
    <row r="50" spans="1:11" hidden="1" x14ac:dyDescent="0.25">
      <c r="A50" s="2">
        <v>3503</v>
      </c>
      <c r="B50" s="3" t="s">
        <v>66</v>
      </c>
      <c r="C50" s="3" t="s">
        <v>59</v>
      </c>
      <c r="D50" s="2" t="s">
        <v>57</v>
      </c>
      <c r="E50" s="2">
        <v>317</v>
      </c>
      <c r="F50" s="3" t="s">
        <v>58</v>
      </c>
      <c r="G50" s="4" t="s">
        <v>13</v>
      </c>
      <c r="H50" s="2" t="s">
        <v>14</v>
      </c>
      <c r="I50" t="s">
        <v>15</v>
      </c>
      <c r="J50" t="s">
        <v>88</v>
      </c>
      <c r="K50" t="str">
        <f>VLOOKUP(A50,'[1]SPUNTA ARRIVI '!$A$1:$T$94,20,FALSE)</f>
        <v>=ARROTONDA.PER.ECC(D3*1,5/1,8;1)</v>
      </c>
    </row>
    <row r="51" spans="1:11" hidden="1" x14ac:dyDescent="0.25">
      <c r="A51" s="2">
        <v>1984</v>
      </c>
      <c r="B51" s="3" t="s">
        <v>68</v>
      </c>
      <c r="C51" s="3" t="s">
        <v>67</v>
      </c>
      <c r="D51" s="2" t="s">
        <v>39</v>
      </c>
      <c r="E51" s="2">
        <v>314</v>
      </c>
      <c r="F51" s="3" t="s">
        <v>69</v>
      </c>
      <c r="G51" s="4" t="s">
        <v>13</v>
      </c>
      <c r="H51" s="2" t="s">
        <v>14</v>
      </c>
      <c r="I51" t="s">
        <v>15</v>
      </c>
      <c r="J51" t="s">
        <v>90</v>
      </c>
      <c r="K51" t="str">
        <f>VLOOKUP(A51,'[1]SPUNTA ARRIVI '!$A$1:$T$94,20,FALSE)</f>
        <v>=ARROTONDA.ECCESSO(D28/1,5;1)</v>
      </c>
    </row>
    <row r="52" spans="1:11" hidden="1" x14ac:dyDescent="0.25">
      <c r="A52" s="6" t="str">
        <f>+A42&amp;"B"</f>
        <v>14825B</v>
      </c>
      <c r="B52" s="3" t="s">
        <v>19</v>
      </c>
      <c r="C52" s="3" t="s">
        <v>10</v>
      </c>
      <c r="D52" s="7" t="s">
        <v>87</v>
      </c>
      <c r="E52" s="2">
        <v>16</v>
      </c>
      <c r="F52" s="3" t="s">
        <v>21</v>
      </c>
      <c r="G52" s="4" t="s">
        <v>13</v>
      </c>
      <c r="H52" s="5" t="s">
        <v>22</v>
      </c>
      <c r="I52" t="s">
        <v>15</v>
      </c>
      <c r="J52" t="s">
        <v>91</v>
      </c>
      <c r="K52" t="str">
        <f>VLOOKUP(A52,'[1]SPUNTA ARRIVI '!$A$1:$T$94,20,FALSE)</f>
        <v>=ARROTONDA.PER.ECC(D94*1,5/1,8;1)</v>
      </c>
    </row>
    <row r="53" spans="1:11" hidden="1" x14ac:dyDescent="0.25">
      <c r="A53" s="6" t="str">
        <f t="shared" ref="A53:A61" si="0">+A43&amp;"B"</f>
        <v>8428B</v>
      </c>
      <c r="B53" s="3" t="s">
        <v>26</v>
      </c>
      <c r="C53" s="3" t="s">
        <v>10</v>
      </c>
      <c r="D53" s="7" t="s">
        <v>83</v>
      </c>
      <c r="E53" s="2">
        <v>8</v>
      </c>
      <c r="F53" s="3" t="s">
        <v>28</v>
      </c>
      <c r="G53" s="4" t="s">
        <v>13</v>
      </c>
      <c r="H53" s="5" t="s">
        <v>22</v>
      </c>
      <c r="I53" t="s">
        <v>15</v>
      </c>
      <c r="J53" t="s">
        <v>91</v>
      </c>
      <c r="K53" t="str">
        <f>VLOOKUP(A53,'[1]SPUNTA ARRIVI '!$A$1:$T$94,20,FALSE)</f>
        <v>=ARROTONDA.PER.ECC(D82*1,5/1,8;1)</v>
      </c>
    </row>
    <row r="54" spans="1:11" hidden="1" x14ac:dyDescent="0.25">
      <c r="A54" s="6" t="str">
        <f t="shared" si="0"/>
        <v>14010B</v>
      </c>
      <c r="B54" s="3" t="s">
        <v>38</v>
      </c>
      <c r="C54" s="3" t="s">
        <v>10</v>
      </c>
      <c r="D54" s="7" t="s">
        <v>86</v>
      </c>
      <c r="E54" s="2">
        <v>13</v>
      </c>
      <c r="F54" s="3" t="s">
        <v>40</v>
      </c>
      <c r="G54" s="4" t="s">
        <v>13</v>
      </c>
      <c r="H54" s="5" t="s">
        <v>22</v>
      </c>
      <c r="I54" t="s">
        <v>15</v>
      </c>
      <c r="J54" t="s">
        <v>92</v>
      </c>
      <c r="K54" t="str">
        <f>VLOOKUP(A54,'[1]SPUNTA ARRIVI '!$A$1:$T$94,20,FALSE)</f>
        <v>=ARROTONDA.PER.ECC(D89*1,5/1,8;1)</v>
      </c>
    </row>
    <row r="55" spans="1:11" hidden="1" x14ac:dyDescent="0.25">
      <c r="A55" s="6" t="str">
        <f t="shared" si="0"/>
        <v>5367B</v>
      </c>
      <c r="B55" s="3" t="s">
        <v>19</v>
      </c>
      <c r="C55" s="3" t="s">
        <v>44</v>
      </c>
      <c r="D55" s="7" t="s">
        <v>87</v>
      </c>
      <c r="E55" s="2">
        <v>289</v>
      </c>
      <c r="F55" s="3" t="s">
        <v>45</v>
      </c>
      <c r="G55" s="4" t="s">
        <v>13</v>
      </c>
      <c r="H55" s="5" t="s">
        <v>22</v>
      </c>
      <c r="I55" t="s">
        <v>15</v>
      </c>
      <c r="J55" t="s">
        <v>92</v>
      </c>
      <c r="K55" t="str">
        <f>VLOOKUP(A55,'[1]SPUNTA ARRIVI '!$A$1:$T$94,20,FALSE)</f>
        <v>=ARROTONDA.PER.ECC(D93*1,5/1,8;1)</v>
      </c>
    </row>
    <row r="56" spans="1:11" hidden="1" x14ac:dyDescent="0.25">
      <c r="A56" s="6" t="str">
        <f t="shared" si="0"/>
        <v>5349B</v>
      </c>
      <c r="B56" s="3" t="s">
        <v>46</v>
      </c>
      <c r="C56" s="3" t="s">
        <v>44</v>
      </c>
      <c r="D56" s="7" t="s">
        <v>83</v>
      </c>
      <c r="E56" s="2">
        <v>283</v>
      </c>
      <c r="F56" s="3" t="s">
        <v>28</v>
      </c>
      <c r="G56" s="4" t="s">
        <v>13</v>
      </c>
      <c r="H56" s="5" t="s">
        <v>22</v>
      </c>
      <c r="I56" t="s">
        <v>15</v>
      </c>
      <c r="J56" t="s">
        <v>92</v>
      </c>
      <c r="K56" t="str">
        <f>VLOOKUP(A56,'[1]SPUNTA ARRIVI '!$A$1:$T$94,20,FALSE)</f>
        <v>=ARROTONDA.PER.ECC(D81*1,5/1,8;1)</v>
      </c>
    </row>
    <row r="57" spans="1:11" hidden="1" x14ac:dyDescent="0.25">
      <c r="A57" s="6" t="str">
        <f t="shared" si="0"/>
        <v>6525B</v>
      </c>
      <c r="B57" s="3" t="s">
        <v>47</v>
      </c>
      <c r="C57" s="3" t="s">
        <v>44</v>
      </c>
      <c r="D57" s="7" t="s">
        <v>85</v>
      </c>
      <c r="E57" s="2">
        <v>281</v>
      </c>
      <c r="F57" s="3" t="s">
        <v>31</v>
      </c>
      <c r="G57" s="4" t="s">
        <v>13</v>
      </c>
      <c r="H57" s="5" t="s">
        <v>22</v>
      </c>
      <c r="I57" t="s">
        <v>15</v>
      </c>
      <c r="J57" t="s">
        <v>92</v>
      </c>
      <c r="K57" t="str">
        <f>VLOOKUP(A57,'[1]SPUNTA ARRIVI '!$A$1:$T$94,20,FALSE)</f>
        <v>=ARROTONDA.PER.ECC(D86*1,5/1,8;1)</v>
      </c>
    </row>
    <row r="58" spans="1:11" hidden="1" x14ac:dyDescent="0.25">
      <c r="A58" s="6" t="str">
        <f t="shared" si="0"/>
        <v>3680B</v>
      </c>
      <c r="B58" s="3" t="s">
        <v>19</v>
      </c>
      <c r="C58" s="3" t="s">
        <v>59</v>
      </c>
      <c r="D58" s="7" t="s">
        <v>87</v>
      </c>
      <c r="E58" s="2">
        <v>319</v>
      </c>
      <c r="F58" s="3" t="s">
        <v>21</v>
      </c>
      <c r="G58" s="4" t="s">
        <v>13</v>
      </c>
      <c r="H58" s="5" t="s">
        <v>22</v>
      </c>
      <c r="I58" t="s">
        <v>13</v>
      </c>
      <c r="J58" t="s">
        <v>92</v>
      </c>
      <c r="K58" t="str">
        <f>VLOOKUP(A58,'[1]SPUNTA ARRIVI '!$A$1:$T$94,20,FALSE)</f>
        <v>=ARROTONDA.PER.ECC(D92*1,5/1,8;1)</v>
      </c>
    </row>
    <row r="59" spans="1:11" hidden="1" x14ac:dyDescent="0.25">
      <c r="A59" s="6" t="str">
        <f t="shared" si="0"/>
        <v>16723B</v>
      </c>
      <c r="B59" s="3" t="s">
        <v>29</v>
      </c>
      <c r="C59" s="3" t="s">
        <v>59</v>
      </c>
      <c r="D59" s="7" t="s">
        <v>85</v>
      </c>
      <c r="E59" s="2">
        <v>310</v>
      </c>
      <c r="F59" s="3" t="s">
        <v>31</v>
      </c>
      <c r="G59" s="4" t="s">
        <v>13</v>
      </c>
      <c r="H59" s="5" t="s">
        <v>22</v>
      </c>
      <c r="I59" t="s">
        <v>15</v>
      </c>
      <c r="J59" t="s">
        <v>91</v>
      </c>
      <c r="K59" t="str">
        <f>VLOOKUP(A59,'[1]SPUNTA ARRIVI '!$A$1:$T$94,20,FALSE)</f>
        <v>=ARROTONDA.PER.ECC(D87*1,5/1,8;1)</v>
      </c>
    </row>
    <row r="60" spans="1:11" hidden="1" x14ac:dyDescent="0.25">
      <c r="A60" s="6" t="str">
        <f t="shared" si="0"/>
        <v>3503B</v>
      </c>
      <c r="B60" s="3" t="s">
        <v>66</v>
      </c>
      <c r="C60" s="3" t="s">
        <v>59</v>
      </c>
      <c r="D60" s="7" t="s">
        <v>84</v>
      </c>
      <c r="E60" s="2">
        <v>317</v>
      </c>
      <c r="F60" s="3" t="s">
        <v>58</v>
      </c>
      <c r="G60" s="4" t="s">
        <v>13</v>
      </c>
      <c r="H60" s="5" t="s">
        <v>22</v>
      </c>
      <c r="I60" t="s">
        <v>15</v>
      </c>
      <c r="J60" t="s">
        <v>91</v>
      </c>
      <c r="K60" t="str">
        <f>VLOOKUP(A60,'[1]SPUNTA ARRIVI '!$A$1:$T$94,20,FALSE)</f>
        <v>=ARROTONDA.PER.ECC(D84*1,5/1,8;1)</v>
      </c>
    </row>
    <row r="61" spans="1:11" hidden="1" x14ac:dyDescent="0.25">
      <c r="A61" s="6" t="str">
        <f t="shared" si="0"/>
        <v>1984B</v>
      </c>
      <c r="B61" s="3" t="s">
        <v>68</v>
      </c>
      <c r="C61" s="3" t="s">
        <v>67</v>
      </c>
      <c r="D61" s="7" t="s">
        <v>86</v>
      </c>
      <c r="E61" s="2">
        <v>314</v>
      </c>
      <c r="F61" s="3" t="s">
        <v>69</v>
      </c>
      <c r="G61" s="4" t="s">
        <v>13</v>
      </c>
      <c r="H61" s="5" t="s">
        <v>22</v>
      </c>
      <c r="I61" t="s">
        <v>15</v>
      </c>
      <c r="J61" t="s">
        <v>93</v>
      </c>
      <c r="K61" t="str">
        <f>VLOOKUP(A61,'[1]SPUNTA ARRIVI '!$A$1:$T$94,20,FALSE)</f>
        <v>=ARROTONDA.PER.ECC(D90*1,5/1,8;1)</v>
      </c>
    </row>
  </sheetData>
  <autoFilter ref="A1:K61" xr:uid="{00000000-0001-0000-0000-000000000000}">
    <filterColumn colId="0">
      <filters>
        <filter val="16647"/>
      </filters>
    </filterColumn>
  </autoFilter>
  <sortState xmlns:xlrd2="http://schemas.microsoft.com/office/spreadsheetml/2017/richdata2" ref="A2:K51">
    <sortCondition ref="H2:H51"/>
  </sortState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ANAGRAFICA_NEGOZI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Serafini</cp:lastModifiedBy>
  <dcterms:created xsi:type="dcterms:W3CDTF">2026-10-21T07:58:06Z</dcterms:created>
  <dcterms:modified xsi:type="dcterms:W3CDTF">2026-10-21T15:24:43Z</dcterms:modified>
</cp:coreProperties>
</file>