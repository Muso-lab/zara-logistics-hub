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0.0.0.3\dati\scambio\ZARA - NON TOCCARE\Analisi_ZARA\OUTPUT\"/>
    </mc:Choice>
  </mc:AlternateContent>
  <xr:revisionPtr revIDLastSave="0" documentId="8_{1A169458-5F92-4865-A239-BACA6803C6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 Roma" sheetId="1" r:id="rId1"/>
    <sheet name="DATA ENTRY" sheetId="2" r:id="rId2"/>
  </sheets>
  <definedNames>
    <definedName name="_xlnm._FilterDatabase" localSheetId="0" hidden="1">'Planning Roma'!$A$6:$AF$72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hOYz5dr1hsMXai2mOXUvaRXMUtew=="/>
    </ext>
  </extLst>
</workbook>
</file>

<file path=xl/calcChain.xml><?xml version="1.0" encoding="utf-8"?>
<calcChain xmlns="http://schemas.openxmlformats.org/spreadsheetml/2006/main">
  <c r="AC68" i="2" l="1"/>
  <c r="AB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J68" i="2"/>
  <c r="I68" i="2"/>
  <c r="H68" i="2"/>
  <c r="G68" i="2"/>
  <c r="F68" i="2"/>
  <c r="C68" i="2"/>
  <c r="B68" i="2"/>
  <c r="A68" i="2"/>
  <c r="U73" i="1"/>
  <c r="T73" i="1"/>
  <c r="H51" i="2"/>
  <c r="AC60" i="2"/>
  <c r="AB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J60" i="2"/>
  <c r="G60" i="2"/>
  <c r="F60" i="2"/>
  <c r="C60" i="2"/>
  <c r="B60" i="2"/>
  <c r="A60" i="2"/>
  <c r="I60" i="2"/>
  <c r="H60" i="2"/>
  <c r="AC51" i="2"/>
  <c r="AB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J51" i="2"/>
  <c r="G51" i="2"/>
  <c r="F51" i="2"/>
  <c r="C51" i="2"/>
  <c r="B51" i="2"/>
  <c r="A5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2" i="2"/>
  <c r="F53" i="2"/>
  <c r="F54" i="2"/>
  <c r="F55" i="2"/>
  <c r="F56" i="2"/>
  <c r="F57" i="2"/>
  <c r="F58" i="2"/>
  <c r="F59" i="2"/>
  <c r="F61" i="2"/>
  <c r="F62" i="2"/>
  <c r="F63" i="2"/>
  <c r="F64" i="2"/>
  <c r="F65" i="2"/>
  <c r="F66" i="2"/>
  <c r="F67" i="2"/>
  <c r="A3" i="2"/>
  <c r="B3" i="2"/>
  <c r="C3" i="2"/>
  <c r="F3" i="2"/>
  <c r="G3" i="2"/>
  <c r="H3" i="2"/>
  <c r="I3" i="2"/>
  <c r="J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B3" i="2"/>
  <c r="AC3" i="2"/>
  <c r="A4" i="2"/>
  <c r="B4" i="2"/>
  <c r="C4" i="2"/>
  <c r="F4" i="2"/>
  <c r="G4" i="2"/>
  <c r="H4" i="2"/>
  <c r="I4" i="2"/>
  <c r="J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B4" i="2"/>
  <c r="AC4" i="2"/>
  <c r="A5" i="2"/>
  <c r="B5" i="2"/>
  <c r="C5" i="2"/>
  <c r="F5" i="2"/>
  <c r="G5" i="2"/>
  <c r="H5" i="2"/>
  <c r="I5" i="2"/>
  <c r="J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B5" i="2"/>
  <c r="AC5" i="2"/>
  <c r="A6" i="2"/>
  <c r="B6" i="2"/>
  <c r="C6" i="2"/>
  <c r="F6" i="2"/>
  <c r="G6" i="2"/>
  <c r="H6" i="2"/>
  <c r="I6" i="2"/>
  <c r="J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B6" i="2"/>
  <c r="AC6" i="2"/>
  <c r="A7" i="2"/>
  <c r="B7" i="2"/>
  <c r="C7" i="2"/>
  <c r="F7" i="2"/>
  <c r="G7" i="2"/>
  <c r="H7" i="2"/>
  <c r="I7" i="2"/>
  <c r="J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B7" i="2"/>
  <c r="AC7" i="2"/>
  <c r="A8" i="2"/>
  <c r="B8" i="2"/>
  <c r="C8" i="2"/>
  <c r="F8" i="2"/>
  <c r="G8" i="2"/>
  <c r="H8" i="2"/>
  <c r="I8" i="2"/>
  <c r="J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B8" i="2"/>
  <c r="AC8" i="2"/>
  <c r="A9" i="2"/>
  <c r="B9" i="2"/>
  <c r="C9" i="2"/>
  <c r="F9" i="2"/>
  <c r="G9" i="2"/>
  <c r="H9" i="2"/>
  <c r="I9" i="2"/>
  <c r="J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B9" i="2"/>
  <c r="AC9" i="2"/>
  <c r="A10" i="2"/>
  <c r="B10" i="2"/>
  <c r="C10" i="2"/>
  <c r="F10" i="2"/>
  <c r="G10" i="2"/>
  <c r="H10" i="2"/>
  <c r="I10" i="2"/>
  <c r="J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B10" i="2"/>
  <c r="AC10" i="2"/>
  <c r="A11" i="2"/>
  <c r="B11" i="2"/>
  <c r="C11" i="2"/>
  <c r="F11" i="2"/>
  <c r="G11" i="2"/>
  <c r="H11" i="2"/>
  <c r="I11" i="2"/>
  <c r="J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B11" i="2"/>
  <c r="AC11" i="2"/>
  <c r="A12" i="2"/>
  <c r="B12" i="2"/>
  <c r="C12" i="2"/>
  <c r="F12" i="2"/>
  <c r="G12" i="2"/>
  <c r="H12" i="2"/>
  <c r="I12" i="2"/>
  <c r="J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B12" i="2"/>
  <c r="AC12" i="2"/>
  <c r="A13" i="2"/>
  <c r="B13" i="2"/>
  <c r="C13" i="2"/>
  <c r="F13" i="2"/>
  <c r="G13" i="2"/>
  <c r="H13" i="2"/>
  <c r="I13" i="2"/>
  <c r="J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B13" i="2"/>
  <c r="AC13" i="2"/>
  <c r="A14" i="2"/>
  <c r="B14" i="2"/>
  <c r="C14" i="2"/>
  <c r="F14" i="2"/>
  <c r="G14" i="2"/>
  <c r="H14" i="2"/>
  <c r="I14" i="2"/>
  <c r="J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B14" i="2"/>
  <c r="AC14" i="2"/>
  <c r="A15" i="2"/>
  <c r="B15" i="2"/>
  <c r="C15" i="2"/>
  <c r="F15" i="2"/>
  <c r="G15" i="2"/>
  <c r="H15" i="2"/>
  <c r="I15" i="2"/>
  <c r="J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B15" i="2"/>
  <c r="AC15" i="2"/>
  <c r="A16" i="2"/>
  <c r="B16" i="2"/>
  <c r="C16" i="2"/>
  <c r="F16" i="2"/>
  <c r="G16" i="2"/>
  <c r="H16" i="2"/>
  <c r="I16" i="2"/>
  <c r="J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B16" i="2"/>
  <c r="AC16" i="2"/>
  <c r="A17" i="2"/>
  <c r="B17" i="2"/>
  <c r="C17" i="2"/>
  <c r="F17" i="2"/>
  <c r="G17" i="2"/>
  <c r="H17" i="2"/>
  <c r="I17" i="2"/>
  <c r="J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B17" i="2"/>
  <c r="AC17" i="2"/>
  <c r="A18" i="2"/>
  <c r="B18" i="2"/>
  <c r="C18" i="2"/>
  <c r="F18" i="2"/>
  <c r="G18" i="2"/>
  <c r="H18" i="2"/>
  <c r="I18" i="2"/>
  <c r="J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B18" i="2"/>
  <c r="AC18" i="2"/>
  <c r="A19" i="2"/>
  <c r="B19" i="2"/>
  <c r="C19" i="2"/>
  <c r="F19" i="2"/>
  <c r="G19" i="2"/>
  <c r="H19" i="2"/>
  <c r="I19" i="2"/>
  <c r="J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B19" i="2"/>
  <c r="AC19" i="2"/>
  <c r="A20" i="2"/>
  <c r="B20" i="2"/>
  <c r="C20" i="2"/>
  <c r="F20" i="2"/>
  <c r="G20" i="2"/>
  <c r="H20" i="2"/>
  <c r="I20" i="2"/>
  <c r="J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B20" i="2"/>
  <c r="AC20" i="2"/>
  <c r="A21" i="2"/>
  <c r="B21" i="2"/>
  <c r="C21" i="2"/>
  <c r="F21" i="2"/>
  <c r="G21" i="2"/>
  <c r="H21" i="2"/>
  <c r="I21" i="2"/>
  <c r="J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B21" i="2"/>
  <c r="AC21" i="2"/>
  <c r="A22" i="2"/>
  <c r="B22" i="2"/>
  <c r="C22" i="2"/>
  <c r="G22" i="2"/>
  <c r="H22" i="2"/>
  <c r="I22" i="2"/>
  <c r="J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B22" i="2"/>
  <c r="AC22" i="2"/>
  <c r="A23" i="2"/>
  <c r="B23" i="2"/>
  <c r="C23" i="2"/>
  <c r="G23" i="2"/>
  <c r="H23" i="2"/>
  <c r="I23" i="2"/>
  <c r="J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B23" i="2"/>
  <c r="AC23" i="2"/>
  <c r="A24" i="2"/>
  <c r="B24" i="2"/>
  <c r="C24" i="2"/>
  <c r="G24" i="2"/>
  <c r="H24" i="2"/>
  <c r="I24" i="2"/>
  <c r="J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B24" i="2"/>
  <c r="AC24" i="2"/>
  <c r="A25" i="2"/>
  <c r="B25" i="2"/>
  <c r="C25" i="2"/>
  <c r="G25" i="2"/>
  <c r="H25" i="2"/>
  <c r="I25" i="2"/>
  <c r="J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B25" i="2"/>
  <c r="AC25" i="2"/>
  <c r="A26" i="2"/>
  <c r="B26" i="2"/>
  <c r="C26" i="2"/>
  <c r="G26" i="2"/>
  <c r="H26" i="2"/>
  <c r="I26" i="2"/>
  <c r="J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B26" i="2"/>
  <c r="AC26" i="2"/>
  <c r="A27" i="2"/>
  <c r="B27" i="2"/>
  <c r="C27" i="2"/>
  <c r="G27" i="2"/>
  <c r="H27" i="2"/>
  <c r="I27" i="2"/>
  <c r="J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B27" i="2"/>
  <c r="AC27" i="2"/>
  <c r="A28" i="2"/>
  <c r="B28" i="2"/>
  <c r="C28" i="2"/>
  <c r="G28" i="2"/>
  <c r="H28" i="2"/>
  <c r="I28" i="2"/>
  <c r="J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B28" i="2"/>
  <c r="AC28" i="2"/>
  <c r="A29" i="2"/>
  <c r="B29" i="2"/>
  <c r="C29" i="2"/>
  <c r="G29" i="2"/>
  <c r="H29" i="2"/>
  <c r="I29" i="2"/>
  <c r="J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B29" i="2"/>
  <c r="AC29" i="2"/>
  <c r="A30" i="2"/>
  <c r="B30" i="2"/>
  <c r="C30" i="2"/>
  <c r="G30" i="2"/>
  <c r="H30" i="2"/>
  <c r="I30" i="2"/>
  <c r="J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B30" i="2"/>
  <c r="AC30" i="2"/>
  <c r="A31" i="2"/>
  <c r="B31" i="2"/>
  <c r="C31" i="2"/>
  <c r="G31" i="2"/>
  <c r="H31" i="2"/>
  <c r="I31" i="2"/>
  <c r="J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B31" i="2"/>
  <c r="AC31" i="2"/>
  <c r="A32" i="2"/>
  <c r="B32" i="2"/>
  <c r="C32" i="2"/>
  <c r="G32" i="2"/>
  <c r="H32" i="2"/>
  <c r="I32" i="2"/>
  <c r="J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B32" i="2"/>
  <c r="AC32" i="2"/>
  <c r="A33" i="2"/>
  <c r="B33" i="2"/>
  <c r="C33" i="2"/>
  <c r="G33" i="2"/>
  <c r="H33" i="2"/>
  <c r="I33" i="2"/>
  <c r="J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B33" i="2"/>
  <c r="AC33" i="2"/>
  <c r="A34" i="2"/>
  <c r="B34" i="2"/>
  <c r="C34" i="2"/>
  <c r="G34" i="2"/>
  <c r="H34" i="2"/>
  <c r="I34" i="2"/>
  <c r="J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B34" i="2"/>
  <c r="AC34" i="2"/>
  <c r="A35" i="2"/>
  <c r="B35" i="2"/>
  <c r="C35" i="2"/>
  <c r="G35" i="2"/>
  <c r="H35" i="2"/>
  <c r="I35" i="2"/>
  <c r="J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B35" i="2"/>
  <c r="AC35" i="2"/>
  <c r="A36" i="2"/>
  <c r="B36" i="2"/>
  <c r="C36" i="2"/>
  <c r="G36" i="2"/>
  <c r="H36" i="2"/>
  <c r="I36" i="2"/>
  <c r="J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B36" i="2"/>
  <c r="AC36" i="2"/>
  <c r="A37" i="2"/>
  <c r="B37" i="2"/>
  <c r="C37" i="2"/>
  <c r="G37" i="2"/>
  <c r="H37" i="2"/>
  <c r="I37" i="2"/>
  <c r="J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B37" i="2"/>
  <c r="AC37" i="2"/>
  <c r="A38" i="2"/>
  <c r="B38" i="2"/>
  <c r="C38" i="2"/>
  <c r="G38" i="2"/>
  <c r="H38" i="2"/>
  <c r="I38" i="2"/>
  <c r="J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B38" i="2"/>
  <c r="AC38" i="2"/>
  <c r="A39" i="2"/>
  <c r="B39" i="2"/>
  <c r="C39" i="2"/>
  <c r="G39" i="2"/>
  <c r="H39" i="2"/>
  <c r="I39" i="2"/>
  <c r="J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B39" i="2"/>
  <c r="AC39" i="2"/>
  <c r="A40" i="2"/>
  <c r="B40" i="2"/>
  <c r="C40" i="2"/>
  <c r="G40" i="2"/>
  <c r="H40" i="2"/>
  <c r="I40" i="2"/>
  <c r="J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B40" i="2"/>
  <c r="AC40" i="2"/>
  <c r="A41" i="2"/>
  <c r="B41" i="2"/>
  <c r="C41" i="2"/>
  <c r="G41" i="2"/>
  <c r="H41" i="2"/>
  <c r="I41" i="2"/>
  <c r="J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B41" i="2"/>
  <c r="AC41" i="2"/>
  <c r="A42" i="2"/>
  <c r="B42" i="2"/>
  <c r="C42" i="2"/>
  <c r="G42" i="2"/>
  <c r="J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B42" i="2"/>
  <c r="AC42" i="2"/>
  <c r="A43" i="2"/>
  <c r="B43" i="2"/>
  <c r="C43" i="2"/>
  <c r="G43" i="2"/>
  <c r="J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B43" i="2"/>
  <c r="AC43" i="2"/>
  <c r="A44" i="2"/>
  <c r="B44" i="2"/>
  <c r="C44" i="2"/>
  <c r="G44" i="2"/>
  <c r="H44" i="2"/>
  <c r="I44" i="2"/>
  <c r="J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B44" i="2"/>
  <c r="AC44" i="2"/>
  <c r="A45" i="2"/>
  <c r="B45" i="2"/>
  <c r="C45" i="2"/>
  <c r="G45" i="2"/>
  <c r="H45" i="2"/>
  <c r="I45" i="2"/>
  <c r="J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B45" i="2"/>
  <c r="AC45" i="2"/>
  <c r="A46" i="2"/>
  <c r="B46" i="2"/>
  <c r="C46" i="2"/>
  <c r="G46" i="2"/>
  <c r="J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B46" i="2"/>
  <c r="AC46" i="2"/>
  <c r="A47" i="2"/>
  <c r="B47" i="2"/>
  <c r="C47" i="2"/>
  <c r="G47" i="2"/>
  <c r="H47" i="2"/>
  <c r="I47" i="2"/>
  <c r="J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B47" i="2"/>
  <c r="AC47" i="2"/>
  <c r="A48" i="2"/>
  <c r="B48" i="2"/>
  <c r="C48" i="2"/>
  <c r="G48" i="2"/>
  <c r="H48" i="2"/>
  <c r="I48" i="2"/>
  <c r="J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B48" i="2"/>
  <c r="AC48" i="2"/>
  <c r="A49" i="2"/>
  <c r="B49" i="2"/>
  <c r="C49" i="2"/>
  <c r="G49" i="2"/>
  <c r="H49" i="2"/>
  <c r="I49" i="2"/>
  <c r="J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B49" i="2"/>
  <c r="AC49" i="2"/>
  <c r="A50" i="2"/>
  <c r="B50" i="2"/>
  <c r="C50" i="2"/>
  <c r="G50" i="2"/>
  <c r="H50" i="2"/>
  <c r="I50" i="2"/>
  <c r="J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B50" i="2"/>
  <c r="AC50" i="2"/>
  <c r="A52" i="2"/>
  <c r="B52" i="2"/>
  <c r="C52" i="2"/>
  <c r="G52" i="2"/>
  <c r="H52" i="2"/>
  <c r="I52" i="2"/>
  <c r="J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B52" i="2"/>
  <c r="AC52" i="2"/>
  <c r="A53" i="2"/>
  <c r="B53" i="2"/>
  <c r="C53" i="2"/>
  <c r="G53" i="2"/>
  <c r="H53" i="2"/>
  <c r="I53" i="2"/>
  <c r="J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B53" i="2"/>
  <c r="AC53" i="2"/>
  <c r="A54" i="2"/>
  <c r="B54" i="2"/>
  <c r="C54" i="2"/>
  <c r="G54" i="2"/>
  <c r="H54" i="2"/>
  <c r="I54" i="2"/>
  <c r="J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B54" i="2"/>
  <c r="AC54" i="2"/>
  <c r="A55" i="2"/>
  <c r="B55" i="2"/>
  <c r="C55" i="2"/>
  <c r="G55" i="2"/>
  <c r="H55" i="2"/>
  <c r="I55" i="2"/>
  <c r="J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B55" i="2"/>
  <c r="AC55" i="2"/>
  <c r="A56" i="2"/>
  <c r="B56" i="2"/>
  <c r="C56" i="2"/>
  <c r="G56" i="2"/>
  <c r="H56" i="2"/>
  <c r="I56" i="2"/>
  <c r="J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B56" i="2"/>
  <c r="AC56" i="2"/>
  <c r="A57" i="2"/>
  <c r="B57" i="2"/>
  <c r="C57" i="2"/>
  <c r="G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B57" i="2"/>
  <c r="AC57" i="2"/>
  <c r="A58" i="2"/>
  <c r="B58" i="2"/>
  <c r="C58" i="2"/>
  <c r="G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B58" i="2"/>
  <c r="AC58" i="2"/>
  <c r="A59" i="2"/>
  <c r="B59" i="2"/>
  <c r="C59" i="2"/>
  <c r="G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B59" i="2"/>
  <c r="AC59" i="2"/>
  <c r="A61" i="2"/>
  <c r="B61" i="2"/>
  <c r="C61" i="2"/>
  <c r="G61" i="2"/>
  <c r="J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B61" i="2"/>
  <c r="AC61" i="2"/>
  <c r="A62" i="2"/>
  <c r="B62" i="2"/>
  <c r="C62" i="2"/>
  <c r="G62" i="2"/>
  <c r="H62" i="2"/>
  <c r="I62" i="2"/>
  <c r="J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B62" i="2"/>
  <c r="AC62" i="2"/>
  <c r="A63" i="2"/>
  <c r="B63" i="2"/>
  <c r="C63" i="2"/>
  <c r="G63" i="2"/>
  <c r="H63" i="2"/>
  <c r="I63" i="2"/>
  <c r="J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B63" i="2"/>
  <c r="AC63" i="2"/>
  <c r="A64" i="2"/>
  <c r="B64" i="2"/>
  <c r="C64" i="2"/>
  <c r="G64" i="2"/>
  <c r="H64" i="2"/>
  <c r="I64" i="2"/>
  <c r="J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B64" i="2"/>
  <c r="AC64" i="2"/>
  <c r="A65" i="2"/>
  <c r="B65" i="2"/>
  <c r="C65" i="2"/>
  <c r="G65" i="2"/>
  <c r="H65" i="2"/>
  <c r="I65" i="2"/>
  <c r="J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B65" i="2"/>
  <c r="AC65" i="2"/>
  <c r="A66" i="2"/>
  <c r="B66" i="2"/>
  <c r="C66" i="2"/>
  <c r="G66" i="2"/>
  <c r="H66" i="2"/>
  <c r="I66" i="2"/>
  <c r="J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B66" i="2"/>
  <c r="AC66" i="2"/>
  <c r="A67" i="2"/>
  <c r="B67" i="2"/>
  <c r="C67" i="2"/>
  <c r="G67" i="2"/>
  <c r="H67" i="2"/>
  <c r="I67" i="2"/>
  <c r="J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B67" i="2"/>
  <c r="AC67" i="2"/>
  <c r="I51" i="2"/>
  <c r="AI68" i="2" l="1"/>
  <c r="AI60" i="2"/>
  <c r="AI58" i="2"/>
  <c r="AI51" i="2"/>
  <c r="AI44" i="2"/>
  <c r="AI53" i="2"/>
  <c r="AI3" i="2"/>
  <c r="AI11" i="2"/>
  <c r="AI9" i="2"/>
  <c r="AI20" i="2"/>
  <c r="AI19" i="2"/>
  <c r="AI16" i="2"/>
  <c r="AI22" i="2"/>
  <c r="AI56" i="2"/>
  <c r="AI24" i="2"/>
  <c r="AI31" i="2"/>
  <c r="AI66" i="2"/>
  <c r="AI4" i="2"/>
  <c r="AI59" i="2"/>
  <c r="AI50" i="2"/>
  <c r="AI29" i="2"/>
  <c r="AI28" i="2"/>
  <c r="AI25" i="2"/>
  <c r="AI21" i="2"/>
  <c r="AI8" i="2"/>
  <c r="AI6" i="2"/>
  <c r="AI5" i="2"/>
  <c r="AI62" i="2"/>
  <c r="AI49" i="2"/>
  <c r="AI40" i="2"/>
  <c r="AI15" i="2"/>
  <c r="AI13" i="2"/>
  <c r="AI41" i="2"/>
  <c r="AI36" i="2"/>
  <c r="AI33" i="2"/>
  <c r="AI39" i="2"/>
  <c r="AI7" i="2"/>
  <c r="AI55" i="2"/>
  <c r="AI54" i="2"/>
  <c r="AI45" i="2"/>
  <c r="I43" i="2"/>
  <c r="AI34" i="2"/>
  <c r="AI26" i="2"/>
  <c r="AI17" i="2"/>
  <c r="AI35" i="2"/>
  <c r="AI32" i="2"/>
  <c r="H43" i="2"/>
  <c r="AI27" i="2"/>
  <c r="AI23" i="2"/>
  <c r="AI67" i="2"/>
  <c r="AI64" i="2"/>
  <c r="AI57" i="2"/>
  <c r="AI37" i="2"/>
  <c r="AI63" i="2"/>
  <c r="AI12" i="2"/>
  <c r="AI65" i="2"/>
  <c r="AI52" i="2"/>
  <c r="AI48" i="2"/>
  <c r="AI47" i="2"/>
  <c r="AI38" i="2"/>
  <c r="AI30" i="2"/>
  <c r="AI18" i="2"/>
  <c r="AI14" i="2"/>
  <c r="AI10" i="2"/>
  <c r="AI43" i="2" l="1"/>
  <c r="I61" i="2"/>
  <c r="H61" i="2"/>
  <c r="AI61" i="2" l="1"/>
  <c r="U20" i="1"/>
  <c r="T20" i="1"/>
  <c r="T7" i="1" l="1"/>
  <c r="I46" i="2" l="1"/>
  <c r="H46" i="2"/>
  <c r="AI46" i="2" l="1"/>
  <c r="U16" i="1"/>
  <c r="T16" i="1"/>
  <c r="I42" i="2" l="1"/>
  <c r="H42" i="2"/>
  <c r="AI42" i="2" l="1"/>
  <c r="C2" i="2"/>
  <c r="B2" i="2"/>
  <c r="A2" i="2"/>
  <c r="U72" i="1" l="1"/>
  <c r="T72" i="1"/>
  <c r="U71" i="1"/>
  <c r="T71" i="1"/>
  <c r="U70" i="1"/>
  <c r="T70" i="1"/>
  <c r="U69" i="1"/>
  <c r="T69" i="1"/>
  <c r="U68" i="1"/>
  <c r="T68" i="1"/>
  <c r="U67" i="1"/>
  <c r="T67" i="1"/>
  <c r="U64" i="1"/>
  <c r="T64" i="1"/>
  <c r="U63" i="1"/>
  <c r="T63" i="1"/>
  <c r="U62" i="1"/>
  <c r="T62" i="1"/>
  <c r="U60" i="1"/>
  <c r="T60" i="1"/>
  <c r="U59" i="1"/>
  <c r="T59" i="1"/>
  <c r="U58" i="1"/>
  <c r="T58" i="1"/>
  <c r="U57" i="1"/>
  <c r="T57" i="1"/>
  <c r="U55" i="1"/>
  <c r="T55" i="1"/>
  <c r="U54" i="1"/>
  <c r="T54" i="1"/>
  <c r="U53" i="1"/>
  <c r="T53" i="1"/>
  <c r="U52" i="1"/>
  <c r="T52" i="1"/>
  <c r="U50" i="1"/>
  <c r="T50" i="1"/>
  <c r="U49" i="1"/>
  <c r="T49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8" i="1"/>
  <c r="T28" i="1"/>
  <c r="U26" i="1"/>
  <c r="T26" i="1"/>
  <c r="U25" i="1"/>
  <c r="T25" i="1"/>
  <c r="U24" i="1"/>
  <c r="T24" i="1"/>
  <c r="U23" i="1"/>
  <c r="T23" i="1"/>
  <c r="U22" i="1"/>
  <c r="T22" i="1"/>
  <c r="U21" i="1"/>
  <c r="T21" i="1"/>
  <c r="U19" i="1"/>
  <c r="T19" i="1"/>
  <c r="U18" i="1"/>
  <c r="T18" i="1"/>
  <c r="U17" i="1"/>
  <c r="T17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AC2" i="2" l="1"/>
  <c r="AB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J2" i="2"/>
  <c r="I2" i="2"/>
  <c r="H2" i="2"/>
  <c r="G2" i="2"/>
  <c r="F2" i="2"/>
  <c r="AI2" i="2" l="1"/>
</calcChain>
</file>

<file path=xl/sharedStrings.xml><?xml version="1.0" encoding="utf-8"?>
<sst xmlns="http://schemas.openxmlformats.org/spreadsheetml/2006/main" count="417" uniqueCount="119">
  <si>
    <t>PLATFORM</t>
  </si>
  <si>
    <t>RM</t>
  </si>
  <si>
    <t>DATE</t>
  </si>
  <si>
    <t xml:space="preserve">WEEK NR. </t>
  </si>
  <si>
    <t>C1</t>
  </si>
  <si>
    <t>TEXTILE/OTHERS</t>
  </si>
  <si>
    <t>SHOES (TEMPE)</t>
  </si>
  <si>
    <t>ECOM</t>
  </si>
  <si>
    <t xml:space="preserve">TOTAL </t>
  </si>
  <si>
    <t>INTERSHOPS</t>
  </si>
  <si>
    <t>TEXTILE</t>
  </si>
  <si>
    <t>TIPOLOGIA MEZZO</t>
  </si>
  <si>
    <t>CODICE VETTORE</t>
  </si>
  <si>
    <t>TARGA</t>
  </si>
  <si>
    <t>AUTISTA</t>
  </si>
  <si>
    <t>ROUTE ID</t>
  </si>
  <si>
    <t>STORE
CODE</t>
  </si>
  <si>
    <t>BRAND</t>
  </si>
  <si>
    <t>STORE</t>
  </si>
  <si>
    <t>DELIVERY
DAY</t>
  </si>
  <si>
    <t>PLANNED
CRTS TEXTILE</t>
  </si>
  <si>
    <t>RECEIVED
CRTS TEXTILE</t>
  </si>
  <si>
    <t>PLANNED
CRTS OTHERS</t>
  </si>
  <si>
    <t>RECEIVED
CRTS OTHERS</t>
  </si>
  <si>
    <t>VOLUME</t>
  </si>
  <si>
    <t>WEIGHT</t>
  </si>
  <si>
    <t xml:space="preserve">PLANNED
CRTS </t>
  </si>
  <si>
    <t>RECEIVED
CRTS</t>
  </si>
  <si>
    <t>PLANNED
CRTS</t>
  </si>
  <si>
    <t>TOTAL
VOLUME</t>
  </si>
  <si>
    <t>TOTAL
WEIGHT</t>
  </si>
  <si>
    <t>ID STORE
SENDER</t>
  </si>
  <si>
    <t>TOTAL
CRTS</t>
  </si>
  <si>
    <t>TOTAL 
UNITS</t>
  </si>
  <si>
    <t>BERSHKA</t>
  </si>
  <si>
    <t xml:space="preserve">TER-GRAN SASSO </t>
  </si>
  <si>
    <t>GIOVEDI'</t>
  </si>
  <si>
    <t xml:space="preserve">ROM-ROMA EST   </t>
  </si>
  <si>
    <t xml:space="preserve">ROM-P.DI ROMA  </t>
  </si>
  <si>
    <t xml:space="preserve">ROM-GRAN ROMA  </t>
  </si>
  <si>
    <t>MERCOLEDI'</t>
  </si>
  <si>
    <t xml:space="preserve">ROM-EUROMA2    </t>
  </si>
  <si>
    <t>PER-COLLESTRADA</t>
  </si>
  <si>
    <t>LATI-LATINAFIOR</t>
  </si>
  <si>
    <t>CITT-PESCARA NO</t>
  </si>
  <si>
    <t xml:space="preserve">CHIETI-MEGALO  </t>
  </si>
  <si>
    <t>MASSIMO DUTTI</t>
  </si>
  <si>
    <t xml:space="preserve">OYSHO  </t>
  </si>
  <si>
    <t>ROM-OTTAVIANO</t>
  </si>
  <si>
    <t>PULL&amp;BEAR</t>
  </si>
  <si>
    <t>ROM-EUROMA2 APT0</t>
  </si>
  <si>
    <t>5349B</t>
  </si>
  <si>
    <t>ROM-EUROMA2 APT9</t>
  </si>
  <si>
    <t>PER-COLLESTRADA APT0</t>
  </si>
  <si>
    <t>6525B</t>
  </si>
  <si>
    <t xml:space="preserve">PULL&amp;BEAR </t>
  </si>
  <si>
    <t>PER-COLLESTRADA APT9</t>
  </si>
  <si>
    <t xml:space="preserve">ASC-AL BATTENT </t>
  </si>
  <si>
    <t>STRADIVARIUS</t>
  </si>
  <si>
    <t>ROM-VIA TUSCOLA</t>
  </si>
  <si>
    <t xml:space="preserve">PES-VITTORIO E </t>
  </si>
  <si>
    <t xml:space="preserve">ZARA   </t>
  </si>
  <si>
    <t>ZARA SHOES</t>
  </si>
  <si>
    <t xml:space="preserve">ROM-VIA APPIA  </t>
  </si>
  <si>
    <t>ZARA</t>
  </si>
  <si>
    <t>ROM-P.DI ROMA  APT 0</t>
  </si>
  <si>
    <t>ROM-P.DI ROMA  APT0</t>
  </si>
  <si>
    <t>3680B</t>
  </si>
  <si>
    <t>ROM-P.DI ROMA  APT9</t>
  </si>
  <si>
    <t xml:space="preserve">ROM-P BOCCONI  </t>
  </si>
  <si>
    <t xml:space="preserve">CHIETI-MEGALO APT0  </t>
  </si>
  <si>
    <t>3503B</t>
  </si>
  <si>
    <t>CHIETI-MEGALO APT9</t>
  </si>
  <si>
    <t>ZARA HOME</t>
  </si>
  <si>
    <t>ROM-COLA RIENZO</t>
  </si>
  <si>
    <t xml:space="preserve">MAC-ADRIATICO  </t>
  </si>
  <si>
    <t>HUB</t>
  </si>
  <si>
    <t>ROUTE DATE</t>
  </si>
  <si>
    <t>ROUTE NR</t>
  </si>
  <si>
    <t>STOP NR</t>
  </si>
  <si>
    <t>SERVICE TYPE</t>
  </si>
  <si>
    <t>BRAND CODE/NAME</t>
  </si>
  <si>
    <t>SHOP CODE</t>
  </si>
  <si>
    <t>TEX VOLUME MC</t>
  </si>
  <si>
    <t>TEX GROSS WEIGHT  KG</t>
  </si>
  <si>
    <t>TEX CRTS</t>
  </si>
  <si>
    <t>OTHER VOLUME MC</t>
  </si>
  <si>
    <t>OTHER GROSS WEIGHT KG</t>
  </si>
  <si>
    <t xml:space="preserve">OTHER CRTS </t>
  </si>
  <si>
    <t>SHOE VOLUME</t>
  </si>
  <si>
    <t>SHOE GROSS WEIGHT KG</t>
  </si>
  <si>
    <t xml:space="preserve">SHOE CRTS </t>
  </si>
  <si>
    <t>ECO VOLUME MC</t>
  </si>
  <si>
    <t>ECO GROSS WEIGHT KG</t>
  </si>
  <si>
    <t>ECO CRTS</t>
  </si>
  <si>
    <t>INTERSHOP CODE 1</t>
  </si>
  <si>
    <t>INTERSHOP CRT 1</t>
  </si>
  <si>
    <t>INTERSHOP CODE 2</t>
  </si>
  <si>
    <t>INTERSHOP CRT 2</t>
  </si>
  <si>
    <t>INTERSHOP CODE 3</t>
  </si>
  <si>
    <t>INTERSHOP CRT 3</t>
  </si>
  <si>
    <t>PIECES HAN</t>
  </si>
  <si>
    <t>HAULIER</t>
  </si>
  <si>
    <t>REG. VEHICLE</t>
  </si>
  <si>
    <t>DRIVER</t>
  </si>
  <si>
    <t>MATE</t>
  </si>
  <si>
    <t>START TIME</t>
  </si>
  <si>
    <t>NOTE LINE 1</t>
  </si>
  <si>
    <t>CS</t>
  </si>
  <si>
    <t xml:space="preserve"> </t>
  </si>
  <si>
    <t>CD2-IT-ROMA</t>
  </si>
  <si>
    <t>ZARA HOME APP</t>
  </si>
  <si>
    <t>RUSPOLI</t>
  </si>
  <si>
    <t/>
  </si>
  <si>
    <t xml:space="preserve">1C  da </t>
  </si>
  <si>
    <t xml:space="preserve">17C  da 215C  da 2C  da </t>
  </si>
  <si>
    <t xml:space="preserve">17C  da 280C  da </t>
  </si>
  <si>
    <t xml:space="preserve">3C  da 169C  da </t>
  </si>
  <si>
    <t xml:space="preserve">186C  da 3C  da 1C  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</si>
</sst>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 x14ac:knownFonts="1">
    <font>
      <sz val="11"/>
      <color theme="1"/>
      <name val="Calibri"/>
    </font>
    <font>
      <b/>
      <sz val="10"/>
      <color theme="1"/>
      <name val="Calibri"/>
      <family val="2"/>
    </font>
    <font>
      <sz val="1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sz val="8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201">
    <xf numFmtId="0" fontId="0" fillId="0" borderId="0" xfId="0"/>
    <xf numFmtId="0" fontId="8" fillId="0" borderId="4" xfId="0" applyFont="1" applyBorder="1" applyAlignment="1">
      <alignment horizontal="center"/>
    </xf>
    <xf numFmtId="0" fontId="9" fillId="0" borderId="0" xfId="0" applyFont="1"/>
    <xf numFmtId="2" fontId="0" fillId="0" borderId="0" xfId="0" applyNumberFormat="1"/>
    <xf numFmtId="0" fontId="10" fillId="0" borderId="0" xfId="0" applyFont="1" applyAlignment="1">
      <alignment vertical="top" wrapText="1"/>
    </xf>
    <xf numFmtId="0" fontId="11" fillId="0" borderId="39" xfId="0" applyFont="1" applyBorder="1" applyAlignment="1">
      <alignment horizontal="right" wrapText="1"/>
    </xf>
    <xf numFmtId="0" fontId="11" fillId="0" borderId="40" xfId="0" applyFont="1" applyBorder="1" applyAlignment="1">
      <alignment horizontal="right" wrapText="1"/>
    </xf>
    <xf numFmtId="0" fontId="1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left" vertical="center" wrapText="1"/>
      <protection locked="0"/>
    </xf>
    <xf numFmtId="0" fontId="4" fillId="2" borderId="13" xfId="0" applyFont="1" applyFill="1" applyBorder="1" applyAlignment="1" applyProtection="1">
      <alignment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vertical="center"/>
      <protection locked="0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0" fontId="3" fillId="0" borderId="20" xfId="0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3" fillId="0" borderId="27" xfId="0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2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vertical="center"/>
    </xf>
    <xf numFmtId="0" fontId="12" fillId="0" borderId="0" xfId="0" applyFont="1" applyProtection="1">
      <protection locked="0"/>
    </xf>
    <xf numFmtId="0" fontId="13" fillId="2" borderId="12" xfId="0" applyFont="1" applyFill="1" applyBorder="1" applyAlignment="1" applyProtection="1">
      <alignment horizontal="center" vertical="center" wrapText="1"/>
      <protection locked="0"/>
    </xf>
    <xf numFmtId="0" fontId="14" fillId="0" borderId="20" xfId="0" applyFont="1" applyBorder="1" applyAlignment="1" applyProtection="1">
      <alignment vertical="center"/>
      <protection locked="0"/>
    </xf>
    <xf numFmtId="0" fontId="14" fillId="0" borderId="27" xfId="0" applyFont="1" applyBorder="1" applyProtection="1">
      <protection locked="0"/>
    </xf>
    <xf numFmtId="0" fontId="14" fillId="0" borderId="27" xfId="0" applyFont="1" applyBorder="1" applyAlignment="1" applyProtection="1">
      <alignment vertical="center"/>
      <protection locked="0"/>
    </xf>
    <xf numFmtId="0" fontId="14" fillId="0" borderId="33" xfId="0" applyFont="1" applyBorder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 wrapText="1"/>
      <protection locked="0"/>
    </xf>
    <xf numFmtId="0" fontId="13" fillId="2" borderId="17" xfId="0" applyFont="1" applyFill="1" applyBorder="1" applyAlignment="1" applyProtection="1">
      <alignment horizontal="center" vertical="center" wrapText="1"/>
      <protection locked="0"/>
    </xf>
    <xf numFmtId="164" fontId="14" fillId="0" borderId="20" xfId="1" applyFont="1" applyBorder="1" applyAlignment="1" applyProtection="1">
      <alignment vertical="center"/>
    </xf>
    <xf numFmtId="0" fontId="14" fillId="3" borderId="24" xfId="0" applyFont="1" applyFill="1" applyBorder="1"/>
    <xf numFmtId="0" fontId="14" fillId="0" borderId="25" xfId="0" applyFont="1" applyBorder="1" applyAlignment="1" applyProtection="1">
      <alignment vertical="center"/>
      <protection locked="0"/>
    </xf>
    <xf numFmtId="0" fontId="12" fillId="0" borderId="39" xfId="0" applyFont="1" applyBorder="1" applyAlignment="1">
      <alignment horizontal="right" wrapText="1"/>
    </xf>
    <xf numFmtId="0" fontId="14" fillId="4" borderId="26" xfId="0" applyFont="1" applyFill="1" applyBorder="1" applyAlignment="1" applyProtection="1">
      <alignment horizontal="center" vertical="center"/>
      <protection locked="0"/>
    </xf>
    <xf numFmtId="164" fontId="14" fillId="0" borderId="27" xfId="1" applyFont="1" applyBorder="1" applyProtection="1"/>
    <xf numFmtId="164" fontId="14" fillId="0" borderId="28" xfId="1" applyFont="1" applyBorder="1" applyProtection="1"/>
    <xf numFmtId="0" fontId="14" fillId="0" borderId="1" xfId="0" applyFont="1" applyBorder="1" applyProtection="1">
      <protection locked="0"/>
    </xf>
    <xf numFmtId="0" fontId="14" fillId="3" borderId="29" xfId="0" applyFont="1" applyFill="1" applyBorder="1"/>
    <xf numFmtId="0" fontId="14" fillId="0" borderId="1" xfId="0" applyFont="1" applyBorder="1" applyAlignment="1" applyProtection="1">
      <alignment vertical="center"/>
      <protection locked="0"/>
    </xf>
    <xf numFmtId="0" fontId="12" fillId="0" borderId="40" xfId="0" applyFont="1" applyBorder="1" applyAlignment="1">
      <alignment horizontal="right" wrapText="1"/>
    </xf>
    <xf numFmtId="0" fontId="14" fillId="4" borderId="30" xfId="0" applyFont="1" applyFill="1" applyBorder="1" applyAlignment="1" applyProtection="1">
      <alignment horizontal="center" vertical="center"/>
      <protection locked="0"/>
    </xf>
    <xf numFmtId="164" fontId="14" fillId="0" borderId="27" xfId="1" applyFont="1" applyBorder="1" applyAlignment="1" applyProtection="1">
      <alignment vertical="center"/>
    </xf>
    <xf numFmtId="164" fontId="14" fillId="0" borderId="28" xfId="1" applyFont="1" applyBorder="1" applyAlignment="1" applyProtection="1">
      <alignment vertical="center"/>
    </xf>
    <xf numFmtId="0" fontId="14" fillId="4" borderId="31" xfId="0" applyFont="1" applyFill="1" applyBorder="1" applyProtection="1">
      <protection locked="0"/>
    </xf>
    <xf numFmtId="0" fontId="14" fillId="0" borderId="30" xfId="0" applyFont="1" applyBorder="1" applyProtection="1">
      <protection locked="0"/>
    </xf>
    <xf numFmtId="0" fontId="14" fillId="0" borderId="32" xfId="0" applyFont="1" applyBorder="1" applyProtection="1">
      <protection locked="0"/>
    </xf>
    <xf numFmtId="164" fontId="14" fillId="0" borderId="33" xfId="1" applyFont="1" applyBorder="1" applyProtection="1"/>
    <xf numFmtId="164" fontId="14" fillId="0" borderId="36" xfId="1" applyFont="1" applyBorder="1" applyProtection="1"/>
    <xf numFmtId="0" fontId="14" fillId="3" borderId="37" xfId="0" applyFont="1" applyFill="1" applyBorder="1"/>
    <xf numFmtId="0" fontId="14" fillId="4" borderId="36" xfId="0" applyFont="1" applyFill="1" applyBorder="1" applyProtection="1">
      <protection locked="0"/>
    </xf>
    <xf numFmtId="0" fontId="14" fillId="4" borderId="38" xfId="0" applyFont="1" applyFill="1" applyBorder="1" applyAlignment="1" applyProtection="1">
      <alignment horizontal="center" vertical="center"/>
      <protection locked="0"/>
    </xf>
    <xf numFmtId="0" fontId="1" fillId="5" borderId="4" xfId="0" applyFont="1" applyFill="1" applyBorder="1" applyProtection="1">
      <protection locked="0"/>
    </xf>
    <xf numFmtId="0" fontId="3" fillId="6" borderId="4" xfId="0" applyFont="1" applyFill="1" applyBorder="1" applyAlignment="1">
      <alignment horizontal="center"/>
    </xf>
    <xf numFmtId="164" fontId="12" fillId="0" borderId="0" xfId="1" applyFont="1" applyAlignment="1" applyProtection="1">
      <protection locked="0"/>
    </xf>
    <xf numFmtId="164" fontId="13" fillId="2" borderId="13" xfId="1" applyFont="1" applyFill="1" applyBorder="1" applyAlignment="1" applyProtection="1">
      <alignment horizontal="center" vertical="center" wrapText="1"/>
      <protection locked="0"/>
    </xf>
    <xf numFmtId="164" fontId="14" fillId="0" borderId="21" xfId="1" applyFont="1" applyBorder="1" applyAlignment="1" applyProtection="1">
      <alignment horizontal="center"/>
      <protection locked="0"/>
    </xf>
    <xf numFmtId="164" fontId="14" fillId="0" borderId="4" xfId="1" applyFont="1" applyBorder="1" applyAlignment="1" applyProtection="1">
      <alignment horizontal="center"/>
      <protection locked="0"/>
    </xf>
    <xf numFmtId="164" fontId="14" fillId="3" borderId="4" xfId="1" applyFont="1" applyFill="1" applyBorder="1" applyAlignment="1" applyProtection="1">
      <alignment horizontal="center"/>
    </xf>
    <xf numFmtId="164" fontId="14" fillId="0" borderId="4" xfId="1" applyFont="1" applyBorder="1" applyProtection="1">
      <protection locked="0"/>
    </xf>
    <xf numFmtId="164" fontId="14" fillId="3" borderId="4" xfId="1" applyFont="1" applyFill="1" applyBorder="1" applyProtection="1"/>
    <xf numFmtId="165" fontId="12" fillId="0" borderId="0" xfId="1" applyNumberFormat="1" applyFont="1" applyProtection="1">
      <protection locked="0"/>
    </xf>
    <xf numFmtId="165" fontId="12" fillId="0" borderId="0" xfId="1" applyNumberFormat="1" applyFont="1" applyAlignment="1" applyProtection="1">
      <protection locked="0"/>
    </xf>
    <xf numFmtId="165" fontId="13" fillId="2" borderId="12" xfId="1" applyNumberFormat="1" applyFont="1" applyFill="1" applyBorder="1" applyAlignment="1" applyProtection="1">
      <alignment horizontal="center" vertical="center" wrapText="1"/>
      <protection locked="0"/>
    </xf>
    <xf numFmtId="165" fontId="13" fillId="2" borderId="13" xfId="1" applyNumberFormat="1" applyFont="1" applyFill="1" applyBorder="1" applyAlignment="1" applyProtection="1">
      <alignment horizontal="center" vertical="center" wrapText="1"/>
      <protection locked="0"/>
    </xf>
    <xf numFmtId="165" fontId="14" fillId="0" borderId="20" xfId="1" applyNumberFormat="1" applyFont="1" applyBorder="1" applyAlignment="1" applyProtection="1">
      <alignment horizontal="center"/>
      <protection locked="0"/>
    </xf>
    <xf numFmtId="165" fontId="14" fillId="0" borderId="21" xfId="1" applyNumberFormat="1" applyFont="1" applyBorder="1" applyAlignment="1" applyProtection="1">
      <alignment horizontal="center"/>
      <protection locked="0"/>
    </xf>
    <xf numFmtId="165" fontId="14" fillId="0" borderId="27" xfId="1" applyNumberFormat="1" applyFont="1" applyBorder="1" applyAlignment="1" applyProtection="1">
      <alignment horizontal="center"/>
      <protection locked="0"/>
    </xf>
    <xf numFmtId="165" fontId="14" fillId="0" borderId="4" xfId="1" applyNumberFormat="1" applyFont="1" applyBorder="1" applyAlignment="1" applyProtection="1">
      <alignment horizontal="center"/>
      <protection locked="0"/>
    </xf>
    <xf numFmtId="165" fontId="14" fillId="3" borderId="27" xfId="1" applyNumberFormat="1" applyFont="1" applyFill="1" applyBorder="1" applyAlignment="1" applyProtection="1">
      <alignment horizontal="center"/>
    </xf>
    <xf numFmtId="165" fontId="14" fillId="3" borderId="4" xfId="1" applyNumberFormat="1" applyFont="1" applyFill="1" applyBorder="1" applyAlignment="1" applyProtection="1">
      <alignment horizontal="center"/>
    </xf>
    <xf numFmtId="165" fontId="14" fillId="0" borderId="27" xfId="1" applyNumberFormat="1" applyFont="1" applyBorder="1" applyProtection="1">
      <protection locked="0"/>
    </xf>
    <xf numFmtId="165" fontId="14" fillId="0" borderId="4" xfId="1" applyNumberFormat="1" applyFont="1" applyBorder="1" applyProtection="1">
      <protection locked="0"/>
    </xf>
    <xf numFmtId="165" fontId="14" fillId="3" borderId="27" xfId="1" applyNumberFormat="1" applyFont="1" applyFill="1" applyBorder="1" applyProtection="1"/>
    <xf numFmtId="165" fontId="14" fillId="3" borderId="4" xfId="1" applyNumberFormat="1" applyFont="1" applyFill="1" applyBorder="1" applyProtection="1"/>
    <xf numFmtId="164" fontId="13" fillId="2" borderId="15" xfId="1" applyFont="1" applyFill="1" applyBorder="1" applyAlignment="1" applyProtection="1">
      <alignment horizontal="center" vertical="center" wrapText="1"/>
      <protection locked="0"/>
    </xf>
    <xf numFmtId="164" fontId="14" fillId="0" borderId="23" xfId="1" applyFont="1" applyBorder="1" applyAlignment="1" applyProtection="1">
      <alignment horizontal="center"/>
      <protection locked="0"/>
    </xf>
    <xf numFmtId="164" fontId="14" fillId="0" borderId="28" xfId="1" applyFont="1" applyBorder="1" applyAlignment="1" applyProtection="1">
      <alignment horizontal="center" vertical="center"/>
      <protection locked="0"/>
    </xf>
    <xf numFmtId="164" fontId="14" fillId="0" borderId="28" xfId="1" applyFont="1" applyBorder="1" applyAlignment="1" applyProtection="1">
      <alignment vertical="center"/>
      <protection locked="0"/>
    </xf>
    <xf numFmtId="164" fontId="14" fillId="0" borderId="28" xfId="1" applyFont="1" applyBorder="1" applyAlignment="1" applyProtection="1">
      <alignment horizontal="center"/>
      <protection locked="0"/>
    </xf>
    <xf numFmtId="164" fontId="14" fillId="3" borderId="28" xfId="1" applyFont="1" applyFill="1" applyBorder="1" applyAlignment="1" applyProtection="1">
      <alignment vertical="center"/>
    </xf>
    <xf numFmtId="164" fontId="14" fillId="0" borderId="28" xfId="1" applyFont="1" applyBorder="1" applyProtection="1">
      <protection locked="0"/>
    </xf>
    <xf numFmtId="164" fontId="14" fillId="3" borderId="28" xfId="1" applyFont="1" applyFill="1" applyBorder="1" applyProtection="1"/>
    <xf numFmtId="164" fontId="14" fillId="0" borderId="4" xfId="1" applyFont="1" applyBorder="1" applyAlignment="1" applyProtection="1">
      <alignment horizontal="center" vertical="center"/>
      <protection locked="0"/>
    </xf>
    <xf numFmtId="164" fontId="14" fillId="0" borderId="4" xfId="1" applyFont="1" applyBorder="1" applyAlignment="1" applyProtection="1">
      <alignment vertical="center"/>
      <protection locked="0"/>
    </xf>
    <xf numFmtId="165" fontId="14" fillId="0" borderId="27" xfId="1" applyNumberFormat="1" applyFont="1" applyBorder="1" applyAlignment="1" applyProtection="1">
      <alignment horizontal="center" vertical="center"/>
      <protection locked="0"/>
    </xf>
    <xf numFmtId="165" fontId="14" fillId="0" borderId="27" xfId="1" applyNumberFormat="1" applyFont="1" applyBorder="1" applyAlignment="1" applyProtection="1">
      <alignment vertical="center"/>
      <protection locked="0"/>
    </xf>
    <xf numFmtId="164" fontId="14" fillId="0" borderId="21" xfId="1" applyFont="1" applyBorder="1" applyAlignment="1" applyProtection="1">
      <alignment horizontal="center" vertical="center"/>
      <protection locked="0"/>
    </xf>
    <xf numFmtId="164" fontId="14" fillId="0" borderId="23" xfId="1" applyFont="1" applyBorder="1" applyAlignment="1" applyProtection="1">
      <alignment horizontal="center" vertical="center"/>
      <protection locked="0"/>
    </xf>
    <xf numFmtId="165" fontId="14" fillId="0" borderId="23" xfId="1" applyNumberFormat="1" applyFont="1" applyBorder="1" applyAlignment="1" applyProtection="1">
      <alignment vertical="center"/>
      <protection locked="0"/>
    </xf>
    <xf numFmtId="165" fontId="14" fillId="0" borderId="28" xfId="1" applyNumberFormat="1" applyFont="1" applyBorder="1" applyProtection="1">
      <protection locked="0"/>
    </xf>
    <xf numFmtId="165" fontId="14" fillId="0" borderId="28" xfId="1" applyNumberFormat="1" applyFont="1" applyBorder="1" applyAlignment="1" applyProtection="1">
      <alignment vertical="center"/>
      <protection locked="0"/>
    </xf>
    <xf numFmtId="165" fontId="14" fillId="0" borderId="36" xfId="1" applyNumberFormat="1" applyFont="1" applyBorder="1" applyProtection="1">
      <protection locked="0"/>
    </xf>
    <xf numFmtId="165" fontId="13" fillId="2" borderId="16" xfId="1" applyNumberFormat="1" applyFont="1" applyFill="1" applyBorder="1" applyAlignment="1" applyProtection="1">
      <alignment horizontal="center" vertical="center" wrapText="1"/>
      <protection locked="0"/>
    </xf>
    <xf numFmtId="165" fontId="14" fillId="0" borderId="22" xfId="1" applyNumberFormat="1" applyFont="1" applyBorder="1" applyAlignment="1" applyProtection="1">
      <alignment vertical="center"/>
      <protection locked="0"/>
    </xf>
    <xf numFmtId="165" fontId="14" fillId="0" borderId="1" xfId="1" applyNumberFormat="1" applyFont="1" applyBorder="1" applyProtection="1">
      <protection locked="0"/>
    </xf>
    <xf numFmtId="165" fontId="14" fillId="0" borderId="1" xfId="1" applyNumberFormat="1" applyFont="1" applyBorder="1" applyAlignment="1" applyProtection="1">
      <alignment vertical="center"/>
      <protection locked="0"/>
    </xf>
    <xf numFmtId="165" fontId="14" fillId="0" borderId="35" xfId="1" applyNumberFormat="1" applyFont="1" applyBorder="1" applyProtection="1">
      <protection locked="0"/>
    </xf>
    <xf numFmtId="165" fontId="7" fillId="0" borderId="27" xfId="1" applyNumberFormat="1" applyFont="1" applyBorder="1" applyAlignment="1" applyProtection="1">
      <alignment horizontal="center"/>
      <protection locked="0"/>
    </xf>
    <xf numFmtId="165" fontId="2" fillId="0" borderId="0" xfId="1" applyNumberFormat="1" applyFont="1" applyAlignment="1" applyProtection="1">
      <protection locked="0"/>
    </xf>
    <xf numFmtId="165" fontId="13" fillId="8" borderId="13" xfId="1" applyNumberFormat="1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165" fontId="14" fillId="9" borderId="27" xfId="1" applyNumberFormat="1" applyFont="1" applyFill="1" applyBorder="1" applyProtection="1"/>
    <xf numFmtId="165" fontId="14" fillId="9" borderId="4" xfId="1" applyNumberFormat="1" applyFont="1" applyFill="1" applyBorder="1" applyProtection="1"/>
    <xf numFmtId="2" fontId="0" fillId="10" borderId="0" xfId="0" applyNumberFormat="1" applyFill="1"/>
    <xf numFmtId="165" fontId="3" fillId="0" borderId="4" xfId="1" applyNumberFormat="1" applyFont="1" applyBorder="1" applyAlignment="1" applyProtection="1">
      <alignment vertical="center"/>
      <protection locked="0"/>
    </xf>
    <xf numFmtId="165" fontId="3" fillId="0" borderId="41" xfId="1" applyNumberFormat="1" applyFont="1" applyBorder="1" applyAlignment="1" applyProtection="1">
      <alignment vertical="center"/>
      <protection locked="0"/>
    </xf>
    <xf numFmtId="165" fontId="14" fillId="3" borderId="45" xfId="1" applyNumberFormat="1" applyFont="1" applyFill="1" applyBorder="1" applyProtection="1"/>
    <xf numFmtId="165" fontId="15" fillId="7" borderId="46" xfId="1" applyNumberFormat="1" applyFont="1" applyFill="1" applyBorder="1" applyAlignment="1" applyProtection="1">
      <alignment horizontal="center"/>
    </xf>
    <xf numFmtId="164" fontId="15" fillId="7" borderId="46" xfId="1" applyFont="1" applyFill="1" applyBorder="1" applyAlignment="1" applyProtection="1">
      <alignment horizontal="center"/>
    </xf>
    <xf numFmtId="165" fontId="14" fillId="3" borderId="47" xfId="1" applyNumberFormat="1" applyFont="1" applyFill="1" applyBorder="1" applyProtection="1"/>
    <xf numFmtId="164" fontId="14" fillId="3" borderId="47" xfId="1" applyFont="1" applyFill="1" applyBorder="1" applyProtection="1"/>
    <xf numFmtId="164" fontId="14" fillId="3" borderId="48" xfId="1" applyFont="1" applyFill="1" applyBorder="1" applyProtection="1"/>
    <xf numFmtId="0" fontId="15" fillId="7" borderId="46" xfId="0" applyFont="1" applyFill="1" applyBorder="1" applyAlignment="1">
      <alignment vertical="center"/>
    </xf>
    <xf numFmtId="0" fontId="15" fillId="7" borderId="49" xfId="0" applyFont="1" applyFill="1" applyBorder="1"/>
    <xf numFmtId="165" fontId="7" fillId="0" borderId="4" xfId="1" applyNumberFormat="1" applyFont="1" applyBorder="1" applyAlignment="1" applyProtection="1">
      <alignment horizontal="center"/>
      <protection locked="0"/>
    </xf>
    <xf numFmtId="0" fontId="3" fillId="11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/>
    </xf>
    <xf numFmtId="0" fontId="9" fillId="6" borderId="0" xfId="0" applyFont="1" applyFill="1"/>
    <xf numFmtId="0" fontId="3" fillId="12" borderId="4" xfId="0" applyFont="1" applyFill="1" applyBorder="1" applyAlignment="1">
      <alignment horizontal="center"/>
    </xf>
    <xf numFmtId="165" fontId="7" fillId="0" borderId="27" xfId="1" applyNumberFormat="1" applyFont="1" applyBorder="1" applyProtection="1">
      <protection locked="0"/>
    </xf>
    <xf numFmtId="165" fontId="7" fillId="0" borderId="4" xfId="1" applyNumberFormat="1" applyFont="1" applyBorder="1" applyProtection="1">
      <protection locked="0"/>
    </xf>
    <xf numFmtId="164" fontId="7" fillId="0" borderId="4" xfId="1" applyFont="1" applyBorder="1" applyProtection="1">
      <protection locked="0"/>
    </xf>
    <xf numFmtId="164" fontId="7" fillId="0" borderId="28" xfId="1" applyFont="1" applyBorder="1" applyProtection="1">
      <protection locked="0"/>
    </xf>
    <xf numFmtId="165" fontId="7" fillId="3" borderId="27" xfId="1" applyNumberFormat="1" applyFont="1" applyFill="1" applyBorder="1" applyProtection="1"/>
    <xf numFmtId="165" fontId="7" fillId="3" borderId="4" xfId="1" applyNumberFormat="1" applyFont="1" applyFill="1" applyBorder="1" applyProtection="1"/>
    <xf numFmtId="164" fontId="7" fillId="3" borderId="4" xfId="1" applyFont="1" applyFill="1" applyBorder="1" applyProtection="1"/>
    <xf numFmtId="164" fontId="7" fillId="3" borderId="28" xfId="1" applyFont="1" applyFill="1" applyBorder="1" applyProtection="1"/>
    <xf numFmtId="165" fontId="7" fillId="0" borderId="33" xfId="1" applyNumberFormat="1" applyFont="1" applyBorder="1" applyProtection="1">
      <protection locked="0"/>
    </xf>
    <xf numFmtId="165" fontId="7" fillId="0" borderId="34" xfId="1" applyNumberFormat="1" applyFont="1" applyBorder="1" applyProtection="1">
      <protection locked="0"/>
    </xf>
    <xf numFmtId="164" fontId="7" fillId="0" borderId="34" xfId="1" applyFont="1" applyBorder="1" applyProtection="1">
      <protection locked="0"/>
    </xf>
    <xf numFmtId="164" fontId="7" fillId="0" borderId="36" xfId="1" applyFont="1" applyBorder="1" applyProtection="1">
      <protection locked="0"/>
    </xf>
    <xf numFmtId="164" fontId="14" fillId="13" borderId="27" xfId="1" applyFont="1" applyFill="1" applyBorder="1" applyProtection="1"/>
    <xf numFmtId="164" fontId="14" fillId="13" borderId="28" xfId="1" applyFont="1" applyFill="1" applyBorder="1" applyProtection="1"/>
    <xf numFmtId="164" fontId="14" fillId="13" borderId="42" xfId="1" applyFont="1" applyFill="1" applyBorder="1" applyProtection="1"/>
    <xf numFmtId="164" fontId="14" fillId="13" borderId="44" xfId="1" applyFont="1" applyFill="1" applyBorder="1" applyProtection="1"/>
    <xf numFmtId="0" fontId="3" fillId="14" borderId="4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 vertical="center" wrapText="1"/>
    </xf>
    <xf numFmtId="0" fontId="3" fillId="14" borderId="1" xfId="0" applyFont="1" applyFill="1" applyBorder="1"/>
    <xf numFmtId="0" fontId="5" fillId="6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6" fillId="0" borderId="27" xfId="0" applyFont="1" applyBorder="1" applyProtection="1">
      <protection locked="0"/>
    </xf>
    <xf numFmtId="165" fontId="14" fillId="0" borderId="27" xfId="1" applyNumberFormat="1" applyFont="1" applyFill="1" applyBorder="1" applyAlignment="1" applyProtection="1">
      <alignment horizontal="center"/>
      <protection locked="0"/>
    </xf>
    <xf numFmtId="165" fontId="14" fillId="0" borderId="4" xfId="1" applyNumberFormat="1" applyFont="1" applyFill="1" applyBorder="1" applyAlignment="1" applyProtection="1">
      <alignment horizontal="center"/>
      <protection locked="0"/>
    </xf>
    <xf numFmtId="164" fontId="14" fillId="0" borderId="4" xfId="1" applyFont="1" applyFill="1" applyBorder="1" applyAlignment="1" applyProtection="1">
      <alignment horizontal="center"/>
      <protection locked="0"/>
    </xf>
    <xf numFmtId="165" fontId="14" fillId="0" borderId="27" xfId="1" applyNumberFormat="1" applyFont="1" applyFill="1" applyBorder="1" applyAlignment="1" applyProtection="1">
      <alignment vertical="center"/>
      <protection locked="0"/>
    </xf>
    <xf numFmtId="165" fontId="3" fillId="0" borderId="4" xfId="1" applyNumberFormat="1" applyFont="1" applyFill="1" applyBorder="1" applyAlignment="1" applyProtection="1">
      <alignment vertical="center"/>
      <protection locked="0"/>
    </xf>
    <xf numFmtId="164" fontId="14" fillId="0" borderId="4" xfId="1" applyFont="1" applyFill="1" applyBorder="1" applyAlignment="1" applyProtection="1">
      <alignment vertical="center"/>
      <protection locked="0"/>
    </xf>
    <xf numFmtId="164" fontId="14" fillId="0" borderId="28" xfId="1" applyFont="1" applyFill="1" applyBorder="1" applyProtection="1">
      <protection locked="0"/>
    </xf>
    <xf numFmtId="165" fontId="14" fillId="0" borderId="27" xfId="1" applyNumberFormat="1" applyFont="1" applyFill="1" applyBorder="1" applyProtection="1">
      <protection locked="0"/>
    </xf>
    <xf numFmtId="164" fontId="14" fillId="0" borderId="4" xfId="1" applyFont="1" applyFill="1" applyBorder="1" applyProtection="1">
      <protection locked="0"/>
    </xf>
    <xf numFmtId="164" fontId="14" fillId="0" borderId="28" xfId="1" applyFont="1" applyFill="1" applyBorder="1" applyAlignment="1" applyProtection="1">
      <alignment vertical="center"/>
      <protection locked="0"/>
    </xf>
    <xf numFmtId="165" fontId="14" fillId="0" borderId="42" xfId="1" applyNumberFormat="1" applyFont="1" applyFill="1" applyBorder="1" applyProtection="1">
      <protection locked="0"/>
    </xf>
    <xf numFmtId="165" fontId="14" fillId="0" borderId="43" xfId="1" applyNumberFormat="1" applyFont="1" applyFill="1" applyBorder="1" applyProtection="1">
      <protection locked="0"/>
    </xf>
    <xf numFmtId="165" fontId="14" fillId="0" borderId="42" xfId="1" applyNumberFormat="1" applyFont="1" applyFill="1" applyBorder="1" applyProtection="1"/>
    <xf numFmtId="165" fontId="14" fillId="0" borderId="43" xfId="1" applyNumberFormat="1" applyFont="1" applyFill="1" applyBorder="1" applyProtection="1"/>
    <xf numFmtId="164" fontId="14" fillId="0" borderId="43" xfId="1" applyFont="1" applyFill="1" applyBorder="1" applyProtection="1"/>
    <xf numFmtId="164" fontId="14" fillId="0" borderId="44" xfId="1" applyFont="1" applyFill="1" applyBorder="1" applyProtection="1"/>
    <xf numFmtId="164" fontId="14" fillId="0" borderId="43" xfId="1" applyFont="1" applyFill="1" applyBorder="1" applyProtection="1">
      <protection locked="0"/>
    </xf>
    <xf numFmtId="164" fontId="14" fillId="0" borderId="44" xfId="1" applyFont="1" applyFill="1" applyBorder="1" applyProtection="1">
      <protection locked="0"/>
    </xf>
    <xf numFmtId="165" fontId="14" fillId="0" borderId="4" xfId="1" applyNumberFormat="1" applyFont="1" applyFill="1" applyBorder="1" applyProtection="1">
      <protection locked="0"/>
    </xf>
    <xf numFmtId="165" fontId="14" fillId="0" borderId="27" xfId="1" applyNumberFormat="1" applyFont="1" applyFill="1" applyBorder="1" applyProtection="1"/>
    <xf numFmtId="165" fontId="14" fillId="0" borderId="4" xfId="1" applyNumberFormat="1" applyFont="1" applyFill="1" applyBorder="1" applyProtection="1"/>
    <xf numFmtId="164" fontId="14" fillId="0" borderId="4" xfId="1" applyFont="1" applyFill="1" applyBorder="1" applyProtection="1"/>
    <xf numFmtId="164" fontId="14" fillId="0" borderId="28" xfId="1" applyFont="1" applyFill="1" applyBorder="1" applyProtection="1"/>
    <xf numFmtId="0" fontId="3" fillId="15" borderId="4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 vertical="center"/>
    </xf>
    <xf numFmtId="0" fontId="3" fillId="6" borderId="1" xfId="0" applyFont="1" applyFill="1" applyBorder="1"/>
    <xf numFmtId="0" fontId="3" fillId="14" borderId="4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vertical="center"/>
    </xf>
    <xf numFmtId="0" fontId="13" fillId="2" borderId="11" xfId="0" applyFont="1" applyFill="1" applyBorder="1" applyAlignment="1" applyProtection="1">
      <alignment horizontal="center" vertical="center" wrapText="1"/>
      <protection locked="0"/>
    </xf>
    <xf numFmtId="0" fontId="12" fillId="0" borderId="19" xfId="0" applyFont="1" applyBorder="1" applyProtection="1"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2" fillId="0" borderId="6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13" fillId="2" borderId="5" xfId="0" applyFont="1" applyFill="1" applyBorder="1" applyAlignment="1" applyProtection="1">
      <alignment horizontal="center" vertical="center"/>
      <protection locked="0"/>
    </xf>
    <xf numFmtId="0" fontId="12" fillId="0" borderId="6" xfId="0" applyFont="1" applyBorder="1" applyProtection="1">
      <protection locked="0"/>
    </xf>
    <xf numFmtId="0" fontId="12" fillId="0" borderId="7" xfId="0" applyFont="1" applyBorder="1" applyProtection="1">
      <protection locked="0"/>
    </xf>
    <xf numFmtId="0" fontId="12" fillId="0" borderId="9" xfId="0" applyFont="1" applyBorder="1" applyProtection="1">
      <protection locked="0"/>
    </xf>
    <xf numFmtId="0" fontId="12" fillId="0" borderId="18" xfId="0" applyFont="1" applyBorder="1" applyProtection="1">
      <protection locked="0"/>
    </xf>
  </cellXfs>
  <cellStyles count="2">
    <cellStyle name="Migliaia" xfId="1" builtinId="3"/>
    <cellStyle name="Normale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29"/>
  <sheetViews>
    <sheetView tabSelected="1" zoomScale="115" zoomScaleNormal="115" workbookViewId="0">
      <selection activeCell="V7" sqref="V7:V73"/>
    </sheetView>
  </sheetViews>
  <sheetFormatPr defaultColWidth="14.42578125" defaultRowHeight="15" customHeight="1" x14ac:dyDescent="0.25"/>
  <cols>
    <col min="1" max="1" width="5.28515625" style="8" customWidth="1"/>
    <col min="2" max="2" width="8.5703125" style="8" customWidth="1"/>
    <col min="3" max="3" width="12.140625" style="8" customWidth="1"/>
    <col min="4" max="4" width="16.5703125" style="8" bestFit="1" customWidth="1"/>
    <col min="5" max="5" width="9.5703125" style="8" customWidth="1"/>
    <col min="6" max="7" width="8.7109375" style="80" customWidth="1"/>
    <col min="8" max="9" width="8.85546875" style="80" customWidth="1"/>
    <col min="10" max="10" width="10.7109375" style="72" bestFit="1" customWidth="1"/>
    <col min="11" max="11" width="10.140625" style="72" bestFit="1" customWidth="1"/>
    <col min="12" max="13" width="8.5703125" style="80" customWidth="1"/>
    <col min="14" max="14" width="8.42578125" style="72" customWidth="1"/>
    <col min="15" max="15" width="8.5703125" style="72" customWidth="1"/>
    <col min="16" max="16" width="7.85546875" style="80" customWidth="1"/>
    <col min="17" max="17" width="8.5703125" style="80" customWidth="1"/>
    <col min="18" max="18" width="8.5703125" style="72" customWidth="1"/>
    <col min="19" max="19" width="8" style="72" customWidth="1"/>
    <col min="20" max="20" width="11.28515625" style="37" customWidth="1"/>
    <col min="21" max="21" width="11.5703125" style="37" customWidth="1"/>
    <col min="22" max="22" width="8.28515625" style="37" customWidth="1"/>
    <col min="23" max="23" width="6.42578125" style="80" customWidth="1"/>
    <col min="24" max="24" width="8" style="37" customWidth="1"/>
    <col min="25" max="25" width="6.42578125" style="80" customWidth="1"/>
    <col min="26" max="26" width="8.28515625" style="37" customWidth="1"/>
    <col min="27" max="27" width="6.42578125" style="80" customWidth="1"/>
    <col min="28" max="28" width="8.7109375" style="37" customWidth="1"/>
    <col min="29" max="29" width="12.5703125" style="37" customWidth="1"/>
    <col min="30" max="30" width="8.7109375" style="37" customWidth="1"/>
    <col min="31" max="32" width="8.85546875" style="37" customWidth="1"/>
    <col min="33" max="16384" width="14.42578125" style="8"/>
  </cols>
  <sheetData>
    <row r="1" spans="1:32" ht="14.25" customHeight="1" x14ac:dyDescent="0.25">
      <c r="A1" s="190" t="s">
        <v>0</v>
      </c>
      <c r="B1" s="191"/>
      <c r="C1" s="192"/>
      <c r="D1" s="7" t="s">
        <v>1</v>
      </c>
      <c r="F1" s="79"/>
      <c r="AC1" s="43"/>
      <c r="AD1" s="44"/>
      <c r="AE1" s="44"/>
      <c r="AF1" s="44"/>
    </row>
    <row r="2" spans="1:32" ht="14.25" customHeight="1" x14ac:dyDescent="0.25">
      <c r="A2" s="9"/>
      <c r="B2" s="9"/>
      <c r="C2" s="9"/>
      <c r="D2" s="10"/>
      <c r="F2" s="79"/>
      <c r="AC2" s="43"/>
      <c r="AD2" s="44"/>
      <c r="AE2" s="44"/>
      <c r="AF2" s="44"/>
    </row>
    <row r="3" spans="1:32" ht="14.25" customHeight="1" x14ac:dyDescent="0.25">
      <c r="A3" s="190" t="s">
        <v>2</v>
      </c>
      <c r="B3" s="191"/>
      <c r="C3" s="192"/>
      <c r="D3" s="70" t="s">
        <v>109</v>
      </c>
      <c r="F3" s="79"/>
      <c r="G3" s="117"/>
      <c r="AC3" s="43"/>
      <c r="AD3" s="44"/>
      <c r="AE3" s="44"/>
      <c r="AF3" s="44"/>
    </row>
    <row r="4" spans="1:32" ht="14.25" customHeight="1" thickBot="1" x14ac:dyDescent="0.3">
      <c r="C4" s="11"/>
      <c r="E4" s="8" t="s">
        <v>109</v>
      </c>
      <c r="F4" s="79"/>
      <c r="AC4" s="43"/>
      <c r="AD4" s="44"/>
      <c r="AE4" s="44"/>
      <c r="AF4" s="44"/>
    </row>
    <row r="5" spans="1:32" ht="14.25" customHeight="1" thickBot="1" x14ac:dyDescent="0.3">
      <c r="A5" s="193" t="s">
        <v>3</v>
      </c>
      <c r="B5" s="194"/>
      <c r="C5" s="194"/>
      <c r="D5" s="195"/>
      <c r="E5" s="119" t="s">
        <v>4</v>
      </c>
      <c r="F5" s="196" t="s">
        <v>5</v>
      </c>
      <c r="G5" s="197"/>
      <c r="H5" s="197"/>
      <c r="I5" s="197"/>
      <c r="J5" s="197"/>
      <c r="K5" s="198"/>
      <c r="L5" s="196" t="s">
        <v>6</v>
      </c>
      <c r="M5" s="197"/>
      <c r="N5" s="197"/>
      <c r="O5" s="199"/>
      <c r="P5" s="196" t="s">
        <v>7</v>
      </c>
      <c r="Q5" s="197"/>
      <c r="R5" s="197"/>
      <c r="S5" s="199"/>
      <c r="T5" s="196" t="s">
        <v>8</v>
      </c>
      <c r="U5" s="199"/>
      <c r="V5" s="196" t="s">
        <v>9</v>
      </c>
      <c r="W5" s="199"/>
      <c r="X5" s="196" t="s">
        <v>9</v>
      </c>
      <c r="Y5" s="199"/>
      <c r="Z5" s="196" t="s">
        <v>9</v>
      </c>
      <c r="AA5" s="199"/>
      <c r="AB5" s="45" t="s">
        <v>10</v>
      </c>
      <c r="AC5" s="188" t="s">
        <v>11</v>
      </c>
      <c r="AD5" s="188" t="s">
        <v>12</v>
      </c>
      <c r="AE5" s="188" t="s">
        <v>13</v>
      </c>
      <c r="AF5" s="188" t="s">
        <v>14</v>
      </c>
    </row>
    <row r="6" spans="1:32" ht="37.5" customHeight="1" thickBot="1" x14ac:dyDescent="0.3">
      <c r="A6" s="12" t="s">
        <v>15</v>
      </c>
      <c r="B6" s="13" t="s">
        <v>16</v>
      </c>
      <c r="C6" s="14" t="s">
        <v>17</v>
      </c>
      <c r="D6" s="15" t="s">
        <v>18</v>
      </c>
      <c r="E6" s="16" t="s">
        <v>19</v>
      </c>
      <c r="F6" s="81" t="s">
        <v>20</v>
      </c>
      <c r="G6" s="118" t="s">
        <v>21</v>
      </c>
      <c r="H6" s="82" t="s">
        <v>22</v>
      </c>
      <c r="I6" s="118" t="s">
        <v>23</v>
      </c>
      <c r="J6" s="73" t="s">
        <v>24</v>
      </c>
      <c r="K6" s="93" t="s">
        <v>25</v>
      </c>
      <c r="L6" s="81" t="s">
        <v>26</v>
      </c>
      <c r="M6" s="118" t="s">
        <v>27</v>
      </c>
      <c r="N6" s="73" t="s">
        <v>24</v>
      </c>
      <c r="O6" s="93" t="s">
        <v>25</v>
      </c>
      <c r="P6" s="81" t="s">
        <v>28</v>
      </c>
      <c r="Q6" s="118" t="s">
        <v>27</v>
      </c>
      <c r="R6" s="73" t="s">
        <v>24</v>
      </c>
      <c r="S6" s="93" t="s">
        <v>25</v>
      </c>
      <c r="T6" s="38" t="s">
        <v>29</v>
      </c>
      <c r="U6" s="46" t="s">
        <v>30</v>
      </c>
      <c r="V6" s="38" t="s">
        <v>31</v>
      </c>
      <c r="W6" s="81" t="s">
        <v>32</v>
      </c>
      <c r="X6" s="38" t="s">
        <v>31</v>
      </c>
      <c r="Y6" s="81" t="s">
        <v>32</v>
      </c>
      <c r="Z6" s="38" t="s">
        <v>31</v>
      </c>
      <c r="AA6" s="111" t="s">
        <v>32</v>
      </c>
      <c r="AB6" s="47" t="s">
        <v>33</v>
      </c>
      <c r="AC6" s="200"/>
      <c r="AD6" s="189"/>
      <c r="AE6" s="189"/>
      <c r="AF6" s="189"/>
    </row>
    <row r="7" spans="1:32" ht="14.25" customHeight="1" thickBot="1" x14ac:dyDescent="0.3">
      <c r="A7" s="21">
        <v>1</v>
      </c>
      <c r="B7" s="22">
        <v>8601</v>
      </c>
      <c r="C7" s="23" t="s">
        <v>34</v>
      </c>
      <c r="D7" s="24" t="s">
        <v>35</v>
      </c>
      <c r="E7" s="17" t="s">
        <v>36</v>
      </c>
      <c r="F7" s="83">
        <v>49</v>
      </c>
      <c r="G7" s="84">
        <v>50</v>
      </c>
      <c r="H7" s="84">
        <v>8</v>
      </c>
      <c r="I7" s="84">
        <v>8</v>
      </c>
      <c r="J7" s="74">
        <v>5.22</v>
      </c>
      <c r="K7" s="94">
        <v>908</v>
      </c>
      <c r="L7" s="83">
        <v>6</v>
      </c>
      <c r="M7" s="123">
        <v>6</v>
      </c>
      <c r="N7" s="74">
        <v>0.65</v>
      </c>
      <c r="O7" s="94">
        <v>83</v>
      </c>
      <c r="P7" s="83">
        <v>3</v>
      </c>
      <c r="Q7" s="123">
        <v>3</v>
      </c>
      <c r="R7" s="105">
        <v>0.33</v>
      </c>
      <c r="S7" s="106">
        <v>18</v>
      </c>
      <c r="T7" s="48">
        <f>+J7+N7+R7</f>
        <v>6.2</v>
      </c>
      <c r="U7" s="48">
        <f>+K7+O7+S7</f>
        <v>1009</v>
      </c>
      <c r="V7" s="39" t="s">
        <v>113</v>
      </c>
      <c r="W7" s="107"/>
      <c r="X7" s="39"/>
      <c r="Y7" s="107"/>
      <c r="Z7" s="39"/>
      <c r="AA7" s="112"/>
      <c r="AB7" s="49"/>
      <c r="AC7" s="50"/>
      <c r="AD7" s="51">
        <v>1805282</v>
      </c>
      <c r="AE7" s="52"/>
      <c r="AF7" s="52"/>
    </row>
    <row r="8" spans="1:32" ht="14.25" customHeight="1" thickBot="1" x14ac:dyDescent="0.3">
      <c r="A8" s="25">
        <v>1</v>
      </c>
      <c r="B8" s="26">
        <v>8364</v>
      </c>
      <c r="C8" s="27" t="s">
        <v>34</v>
      </c>
      <c r="D8" s="28" t="s">
        <v>37</v>
      </c>
      <c r="E8" s="18" t="s">
        <v>36</v>
      </c>
      <c r="F8" s="85">
        <v>94</v>
      </c>
      <c r="G8" s="86">
        <v>94</v>
      </c>
      <c r="H8" s="86">
        <v>6</v>
      </c>
      <c r="I8" s="86">
        <v>6</v>
      </c>
      <c r="J8" s="75">
        <v>9.44</v>
      </c>
      <c r="K8" s="95">
        <v>1652</v>
      </c>
      <c r="L8" s="103">
        <v>10</v>
      </c>
      <c r="M8" s="123">
        <v>10</v>
      </c>
      <c r="N8" s="101">
        <v>1.08</v>
      </c>
      <c r="O8" s="99">
        <v>149</v>
      </c>
      <c r="P8" s="89">
        <v>0</v>
      </c>
      <c r="Q8" s="123">
        <v>0</v>
      </c>
      <c r="R8" s="77">
        <v>0</v>
      </c>
      <c r="S8" s="99">
        <v>0</v>
      </c>
      <c r="T8" s="53">
        <f t="shared" ref="T8:T71" si="0">+J8+N8+R8</f>
        <v>10.52</v>
      </c>
      <c r="U8" s="54">
        <f t="shared" ref="U8:U71" si="1">+K8+O8+S8</f>
        <v>1801</v>
      </c>
      <c r="V8" s="40" t="s">
        <v>113</v>
      </c>
      <c r="W8" s="108"/>
      <c r="X8" s="40"/>
      <c r="Y8" s="108"/>
      <c r="Z8" s="40"/>
      <c r="AA8" s="113"/>
      <c r="AB8" s="56"/>
      <c r="AC8" s="57"/>
      <c r="AD8" s="58">
        <v>1805282</v>
      </c>
      <c r="AE8" s="59"/>
      <c r="AF8" s="59"/>
    </row>
    <row r="9" spans="1:32" ht="14.25" customHeight="1" thickBot="1" x14ac:dyDescent="0.3">
      <c r="A9" s="25">
        <v>1</v>
      </c>
      <c r="B9" s="135">
        <v>14825</v>
      </c>
      <c r="C9" s="27" t="s">
        <v>34</v>
      </c>
      <c r="D9" s="28" t="s">
        <v>38</v>
      </c>
      <c r="E9" s="18" t="s">
        <v>36</v>
      </c>
      <c r="F9" s="116">
        <v>172</v>
      </c>
      <c r="G9" s="86">
        <v>170</v>
      </c>
      <c r="H9" s="86">
        <v>24</v>
      </c>
      <c r="I9" s="86">
        <v>10</v>
      </c>
      <c r="J9" s="75">
        <v>17.690000000000001</v>
      </c>
      <c r="K9" s="96">
        <v>3091</v>
      </c>
      <c r="L9" s="104">
        <v>14</v>
      </c>
      <c r="M9" s="123">
        <v>14</v>
      </c>
      <c r="N9" s="102">
        <v>1.38</v>
      </c>
      <c r="O9" s="99">
        <v>179</v>
      </c>
      <c r="P9" s="89">
        <v>0</v>
      </c>
      <c r="Q9" s="123">
        <v>0</v>
      </c>
      <c r="R9" s="77">
        <v>0</v>
      </c>
      <c r="S9" s="99">
        <v>0</v>
      </c>
      <c r="T9" s="53">
        <f t="shared" si="0"/>
        <v>19.07</v>
      </c>
      <c r="U9" s="54">
        <f t="shared" si="1"/>
        <v>3270</v>
      </c>
      <c r="V9" s="40" t="s">
        <v>113</v>
      </c>
      <c r="W9" s="108"/>
      <c r="X9" s="40"/>
      <c r="Y9" s="108"/>
      <c r="Z9" s="40"/>
      <c r="AA9" s="113"/>
      <c r="AB9" s="56"/>
      <c r="AC9" s="55"/>
      <c r="AD9" s="58">
        <v>1805282</v>
      </c>
      <c r="AE9" s="59"/>
      <c r="AF9" s="59"/>
    </row>
    <row r="10" spans="1:32" ht="14.25" customHeight="1" thickBot="1" x14ac:dyDescent="0.3">
      <c r="A10" s="25">
        <v>1</v>
      </c>
      <c r="B10" s="26">
        <v>12899</v>
      </c>
      <c r="C10" s="27" t="s">
        <v>34</v>
      </c>
      <c r="D10" s="28" t="s">
        <v>39</v>
      </c>
      <c r="E10" s="18" t="s">
        <v>40</v>
      </c>
      <c r="F10" s="85">
        <v>46</v>
      </c>
      <c r="G10" s="86">
        <v>47</v>
      </c>
      <c r="H10" s="86">
        <v>3</v>
      </c>
      <c r="I10" s="86">
        <v>3</v>
      </c>
      <c r="J10" s="75">
        <v>4.3</v>
      </c>
      <c r="K10" s="96">
        <v>717</v>
      </c>
      <c r="L10" s="104">
        <v>7</v>
      </c>
      <c r="M10" s="123">
        <v>7</v>
      </c>
      <c r="N10" s="102">
        <v>0.68</v>
      </c>
      <c r="O10" s="99">
        <v>85</v>
      </c>
      <c r="P10" s="89">
        <v>0</v>
      </c>
      <c r="Q10" s="123">
        <v>0</v>
      </c>
      <c r="R10" s="77">
        <v>0</v>
      </c>
      <c r="S10" s="99">
        <v>0</v>
      </c>
      <c r="T10" s="53">
        <f t="shared" si="0"/>
        <v>4.9799999999999995</v>
      </c>
      <c r="U10" s="54">
        <f t="shared" si="1"/>
        <v>802</v>
      </c>
      <c r="V10" s="40" t="s">
        <v>113</v>
      </c>
      <c r="W10" s="108"/>
      <c r="X10" s="40"/>
      <c r="Y10" s="108"/>
      <c r="Z10" s="40"/>
      <c r="AA10" s="113"/>
      <c r="AB10" s="56"/>
      <c r="AC10" s="55"/>
      <c r="AD10" s="58">
        <v>1805282</v>
      </c>
      <c r="AE10" s="59"/>
      <c r="AF10" s="59"/>
    </row>
    <row r="11" spans="1:32" ht="14.25" customHeight="1" thickBot="1" x14ac:dyDescent="0.3">
      <c r="A11" s="25">
        <v>1</v>
      </c>
      <c r="B11" s="26">
        <v>8428</v>
      </c>
      <c r="C11" s="27" t="s">
        <v>34</v>
      </c>
      <c r="D11" s="28" t="s">
        <v>41</v>
      </c>
      <c r="E11" s="18" t="s">
        <v>36</v>
      </c>
      <c r="F11" s="85">
        <v>127</v>
      </c>
      <c r="G11" s="86">
        <v>130</v>
      </c>
      <c r="H11" s="86">
        <v>9</v>
      </c>
      <c r="I11" s="86">
        <v>2</v>
      </c>
      <c r="J11" s="75">
        <v>12.04</v>
      </c>
      <c r="K11" s="96">
        <v>2109</v>
      </c>
      <c r="L11" s="104">
        <v>14</v>
      </c>
      <c r="M11" s="123">
        <v>14</v>
      </c>
      <c r="N11" s="102">
        <v>1.51</v>
      </c>
      <c r="O11" s="99">
        <v>197</v>
      </c>
      <c r="P11" s="89">
        <v>0</v>
      </c>
      <c r="Q11" s="123">
        <v>0</v>
      </c>
      <c r="R11" s="77">
        <v>0</v>
      </c>
      <c r="S11" s="99">
        <v>0</v>
      </c>
      <c r="T11" s="53">
        <f t="shared" si="0"/>
        <v>13.549999999999999</v>
      </c>
      <c r="U11" s="54">
        <f t="shared" si="1"/>
        <v>2306</v>
      </c>
      <c r="V11" s="40" t="s">
        <v>113</v>
      </c>
      <c r="W11" s="108"/>
      <c r="X11" s="40"/>
      <c r="Y11" s="108"/>
      <c r="Z11" s="40"/>
      <c r="AA11" s="113"/>
      <c r="AB11" s="56"/>
      <c r="AC11" s="55"/>
      <c r="AD11" s="58">
        <v>1805282</v>
      </c>
      <c r="AE11" s="59"/>
      <c r="AF11" s="59"/>
    </row>
    <row r="12" spans="1:32" ht="14.25" customHeight="1" thickBot="1" x14ac:dyDescent="0.3">
      <c r="A12" s="25">
        <v>1</v>
      </c>
      <c r="B12" s="26">
        <v>8453</v>
      </c>
      <c r="C12" s="27" t="s">
        <v>34</v>
      </c>
      <c r="D12" s="28" t="s">
        <v>42</v>
      </c>
      <c r="E12" s="18" t="s">
        <v>36</v>
      </c>
      <c r="F12" s="85">
        <v>58</v>
      </c>
      <c r="G12" s="86">
        <v>58</v>
      </c>
      <c r="H12" s="86">
        <v>8</v>
      </c>
      <c r="I12" s="86">
        <v>8</v>
      </c>
      <c r="J12" s="75">
        <v>6.02</v>
      </c>
      <c r="K12" s="96">
        <v>970</v>
      </c>
      <c r="L12" s="104">
        <v>6</v>
      </c>
      <c r="M12" s="123">
        <v>6</v>
      </c>
      <c r="N12" s="102">
        <v>0.56999999999999995</v>
      </c>
      <c r="O12" s="99">
        <v>67</v>
      </c>
      <c r="P12" s="89">
        <v>3</v>
      </c>
      <c r="Q12" s="123">
        <v>3</v>
      </c>
      <c r="R12" s="77">
        <v>0.3</v>
      </c>
      <c r="S12" s="99">
        <v>17</v>
      </c>
      <c r="T12" s="53">
        <f t="shared" si="0"/>
        <v>6.89</v>
      </c>
      <c r="U12" s="54">
        <f t="shared" si="1"/>
        <v>1054</v>
      </c>
      <c r="V12" s="40" t="s">
        <v>113</v>
      </c>
      <c r="W12" s="108"/>
      <c r="X12" s="40"/>
      <c r="Y12" s="108"/>
      <c r="Z12" s="40"/>
      <c r="AA12" s="113"/>
      <c r="AB12" s="56"/>
      <c r="AC12" s="55"/>
      <c r="AD12" s="58">
        <v>1805282</v>
      </c>
      <c r="AE12" s="59"/>
      <c r="AF12" s="59"/>
    </row>
    <row r="13" spans="1:32" ht="14.25" customHeight="1" thickBot="1" x14ac:dyDescent="0.3">
      <c r="A13" s="25">
        <v>1</v>
      </c>
      <c r="B13" s="137">
        <v>16037</v>
      </c>
      <c r="C13" s="27" t="s">
        <v>34</v>
      </c>
      <c r="D13" s="28" t="s">
        <v>43</v>
      </c>
      <c r="E13" s="18" t="s">
        <v>40</v>
      </c>
      <c r="F13" s="85">
        <v>67</v>
      </c>
      <c r="G13" s="86">
        <v>70</v>
      </c>
      <c r="H13" s="86">
        <v>4</v>
      </c>
      <c r="I13" s="86">
        <v>0</v>
      </c>
      <c r="J13" s="75">
        <v>6.97</v>
      </c>
      <c r="K13" s="96">
        <v>1197</v>
      </c>
      <c r="L13" s="104">
        <v>6</v>
      </c>
      <c r="M13" s="123">
        <v>6</v>
      </c>
      <c r="N13" s="102">
        <v>0.65</v>
      </c>
      <c r="O13" s="99">
        <v>77</v>
      </c>
      <c r="P13" s="89">
        <v>3</v>
      </c>
      <c r="Q13" s="123">
        <v>3</v>
      </c>
      <c r="R13" s="77">
        <v>0.33</v>
      </c>
      <c r="S13" s="99">
        <v>16</v>
      </c>
      <c r="T13" s="53">
        <f t="shared" si="0"/>
        <v>7.95</v>
      </c>
      <c r="U13" s="54">
        <f t="shared" si="1"/>
        <v>1290</v>
      </c>
      <c r="V13" s="40" t="s">
        <v>113</v>
      </c>
      <c r="W13" s="108"/>
      <c r="X13" s="40"/>
      <c r="Y13" s="108"/>
      <c r="Z13" s="40"/>
      <c r="AA13" s="113"/>
      <c r="AB13" s="56"/>
      <c r="AC13" s="55"/>
      <c r="AD13" s="58">
        <v>1805282</v>
      </c>
      <c r="AE13" s="59"/>
      <c r="AF13" s="59"/>
    </row>
    <row r="14" spans="1:32" ht="14.25" customHeight="1" thickBot="1" x14ac:dyDescent="0.3">
      <c r="A14" s="25">
        <v>1</v>
      </c>
      <c r="B14" s="26">
        <v>11796</v>
      </c>
      <c r="C14" s="27" t="s">
        <v>34</v>
      </c>
      <c r="D14" s="28" t="s">
        <v>44</v>
      </c>
      <c r="E14" s="18" t="s">
        <v>40</v>
      </c>
      <c r="F14" s="85">
        <v>30</v>
      </c>
      <c r="G14" s="86">
        <v>29</v>
      </c>
      <c r="H14" s="133">
        <v>0</v>
      </c>
      <c r="I14" s="86">
        <v>0</v>
      </c>
      <c r="J14" s="75">
        <v>2.94</v>
      </c>
      <c r="K14" s="96">
        <v>480</v>
      </c>
      <c r="L14" s="104">
        <v>4</v>
      </c>
      <c r="M14" s="123">
        <v>4</v>
      </c>
      <c r="N14" s="102">
        <v>0.43</v>
      </c>
      <c r="O14" s="99">
        <v>55</v>
      </c>
      <c r="P14" s="89">
        <v>2</v>
      </c>
      <c r="Q14" s="123">
        <v>2</v>
      </c>
      <c r="R14" s="77">
        <v>0.22</v>
      </c>
      <c r="S14" s="99">
        <v>13</v>
      </c>
      <c r="T14" s="53">
        <f t="shared" si="0"/>
        <v>3.5900000000000003</v>
      </c>
      <c r="U14" s="54">
        <f t="shared" si="1"/>
        <v>548</v>
      </c>
      <c r="V14" s="40"/>
      <c r="W14" s="108"/>
      <c r="X14" s="40"/>
      <c r="Y14" s="108"/>
      <c r="Z14" s="40"/>
      <c r="AA14" s="113"/>
      <c r="AB14" s="56"/>
      <c r="AC14" s="55"/>
      <c r="AD14" s="58">
        <v>1805282</v>
      </c>
      <c r="AE14" s="59"/>
      <c r="AF14" s="59"/>
    </row>
    <row r="15" spans="1:32" ht="14.25" customHeight="1" thickBot="1" x14ac:dyDescent="0.3">
      <c r="A15" s="25">
        <v>1</v>
      </c>
      <c r="B15" s="154">
        <v>16351</v>
      </c>
      <c r="C15" s="155" t="s">
        <v>34</v>
      </c>
      <c r="D15" s="156" t="s">
        <v>45</v>
      </c>
      <c r="E15" s="18" t="s">
        <v>40</v>
      </c>
      <c r="F15" s="85">
        <v>91</v>
      </c>
      <c r="G15" s="86">
        <v>94</v>
      </c>
      <c r="H15" s="86">
        <v>10</v>
      </c>
      <c r="I15" s="86">
        <v>7</v>
      </c>
      <c r="J15" s="75">
        <v>9.48</v>
      </c>
      <c r="K15" s="96">
        <v>1690</v>
      </c>
      <c r="L15" s="104">
        <v>12</v>
      </c>
      <c r="M15" s="123">
        <v>12</v>
      </c>
      <c r="N15" s="102">
        <v>1.3</v>
      </c>
      <c r="O15" s="99">
        <v>162</v>
      </c>
      <c r="P15" s="89">
        <v>2</v>
      </c>
      <c r="Q15" s="123">
        <v>2</v>
      </c>
      <c r="R15" s="77">
        <v>0.22</v>
      </c>
      <c r="S15" s="99">
        <v>9</v>
      </c>
      <c r="T15" s="53">
        <f t="shared" si="0"/>
        <v>11.000000000000002</v>
      </c>
      <c r="U15" s="54">
        <f t="shared" si="1"/>
        <v>1861</v>
      </c>
      <c r="V15" s="40" t="s">
        <v>113</v>
      </c>
      <c r="W15" s="108"/>
      <c r="X15" s="40"/>
      <c r="Y15" s="108"/>
      <c r="Z15" s="40"/>
      <c r="AA15" s="113"/>
      <c r="AB15" s="56"/>
      <c r="AC15" s="55"/>
      <c r="AD15" s="58">
        <v>1805282</v>
      </c>
      <c r="AE15" s="59"/>
      <c r="AF15" s="59"/>
    </row>
    <row r="16" spans="1:32" ht="14.25" customHeight="1" thickBot="1" x14ac:dyDescent="0.3">
      <c r="A16" s="25">
        <v>1</v>
      </c>
      <c r="B16" s="26">
        <v>14010</v>
      </c>
      <c r="C16" s="27" t="s">
        <v>34</v>
      </c>
      <c r="D16" s="28" t="s">
        <v>48</v>
      </c>
      <c r="E16" s="18" t="s">
        <v>36</v>
      </c>
      <c r="F16" s="85">
        <v>141</v>
      </c>
      <c r="G16" s="86">
        <v>139</v>
      </c>
      <c r="H16" s="86">
        <v>9</v>
      </c>
      <c r="I16" s="86">
        <v>10</v>
      </c>
      <c r="J16" s="75">
        <v>13.77</v>
      </c>
      <c r="K16" s="96">
        <v>2385</v>
      </c>
      <c r="L16" s="104">
        <v>12</v>
      </c>
      <c r="M16" s="123">
        <v>12</v>
      </c>
      <c r="N16" s="102">
        <v>1.1599999999999999</v>
      </c>
      <c r="O16" s="99">
        <v>152</v>
      </c>
      <c r="P16" s="89">
        <v>0</v>
      </c>
      <c r="Q16" s="123">
        <v>0</v>
      </c>
      <c r="R16" s="77">
        <v>0</v>
      </c>
      <c r="S16" s="99">
        <v>0</v>
      </c>
      <c r="T16" s="53">
        <f t="shared" ref="T16" si="2">+J16+N16+R16</f>
        <v>14.93</v>
      </c>
      <c r="U16" s="54">
        <f t="shared" ref="U16" si="3">+K16+O16+S16</f>
        <v>2537</v>
      </c>
      <c r="V16" s="40" t="s">
        <v>113</v>
      </c>
      <c r="W16" s="108"/>
      <c r="X16" s="40"/>
      <c r="Y16" s="108"/>
      <c r="Z16" s="40"/>
      <c r="AA16" s="113"/>
      <c r="AB16" s="56"/>
      <c r="AC16" s="55"/>
      <c r="AD16" s="58">
        <v>1805282</v>
      </c>
      <c r="AE16" s="59"/>
      <c r="AF16" s="59"/>
    </row>
    <row r="17" spans="1:32" ht="14.25" customHeight="1" thickBot="1" x14ac:dyDescent="0.3">
      <c r="A17" s="25">
        <v>1</v>
      </c>
      <c r="B17" s="26">
        <v>4518</v>
      </c>
      <c r="C17" s="27" t="s">
        <v>46</v>
      </c>
      <c r="D17" s="28" t="s">
        <v>41</v>
      </c>
      <c r="E17" s="18" t="s">
        <v>36</v>
      </c>
      <c r="F17" s="85">
        <v>45</v>
      </c>
      <c r="G17" s="86">
        <v>35</v>
      </c>
      <c r="H17" s="86">
        <v>5</v>
      </c>
      <c r="I17" s="86">
        <v>14</v>
      </c>
      <c r="J17" s="75">
        <v>4.96</v>
      </c>
      <c r="K17" s="96">
        <v>710</v>
      </c>
      <c r="L17" s="104">
        <v>4</v>
      </c>
      <c r="M17" s="123">
        <v>3</v>
      </c>
      <c r="N17" s="102">
        <v>0.43</v>
      </c>
      <c r="O17" s="99">
        <v>45</v>
      </c>
      <c r="P17" s="89">
        <v>0</v>
      </c>
      <c r="Q17" s="123">
        <v>0</v>
      </c>
      <c r="R17" s="77">
        <v>0</v>
      </c>
      <c r="S17" s="99">
        <v>0</v>
      </c>
      <c r="T17" s="53">
        <f t="shared" si="0"/>
        <v>5.39</v>
      </c>
      <c r="U17" s="54">
        <f t="shared" si="1"/>
        <v>755</v>
      </c>
      <c r="V17" s="40" t="s">
        <v>113</v>
      </c>
      <c r="W17" s="108"/>
      <c r="X17" s="40"/>
      <c r="Y17" s="108"/>
      <c r="Z17" s="40"/>
      <c r="AA17" s="113"/>
      <c r="AB17" s="56"/>
      <c r="AC17" s="55"/>
      <c r="AD17" s="58">
        <v>1805282</v>
      </c>
      <c r="AE17" s="59"/>
      <c r="AF17" s="59"/>
    </row>
    <row r="18" spans="1:32" ht="14.25" customHeight="1" thickBot="1" x14ac:dyDescent="0.3">
      <c r="A18" s="25">
        <v>1</v>
      </c>
      <c r="B18" s="26">
        <v>2435</v>
      </c>
      <c r="C18" s="27" t="s">
        <v>47</v>
      </c>
      <c r="D18" s="28" t="s">
        <v>38</v>
      </c>
      <c r="E18" s="18" t="s">
        <v>36</v>
      </c>
      <c r="F18" s="85">
        <v>20</v>
      </c>
      <c r="G18" s="86">
        <v>20</v>
      </c>
      <c r="H18" s="86">
        <v>0</v>
      </c>
      <c r="I18" s="86">
        <v>0</v>
      </c>
      <c r="J18" s="75">
        <v>1.1499999999999999</v>
      </c>
      <c r="K18" s="96">
        <v>186</v>
      </c>
      <c r="L18" s="104">
        <v>0</v>
      </c>
      <c r="M18" s="123">
        <v>0</v>
      </c>
      <c r="N18" s="102">
        <v>0</v>
      </c>
      <c r="O18" s="99">
        <v>0</v>
      </c>
      <c r="P18" s="89">
        <v>1</v>
      </c>
      <c r="Q18" s="123">
        <v>1</v>
      </c>
      <c r="R18" s="77">
        <v>0.1</v>
      </c>
      <c r="S18" s="99">
        <v>3</v>
      </c>
      <c r="T18" s="53">
        <f t="shared" si="0"/>
        <v>1.25</v>
      </c>
      <c r="U18" s="54">
        <f t="shared" si="1"/>
        <v>189</v>
      </c>
      <c r="V18" s="40" t="s">
        <v>113</v>
      </c>
      <c r="W18" s="108"/>
      <c r="X18" s="40"/>
      <c r="Y18" s="108"/>
      <c r="Z18" s="40"/>
      <c r="AA18" s="113"/>
      <c r="AB18" s="56"/>
      <c r="AC18" s="55"/>
      <c r="AD18" s="58">
        <v>1805282</v>
      </c>
      <c r="AE18" s="59"/>
      <c r="AF18" s="59"/>
    </row>
    <row r="19" spans="1:32" ht="14.25" customHeight="1" thickBot="1" x14ac:dyDescent="0.3">
      <c r="A19" s="25">
        <v>1</v>
      </c>
      <c r="B19" s="26">
        <v>2414</v>
      </c>
      <c r="C19" s="27" t="s">
        <v>47</v>
      </c>
      <c r="D19" s="28" t="s">
        <v>41</v>
      </c>
      <c r="E19" s="18" t="s">
        <v>36</v>
      </c>
      <c r="F19" s="85">
        <v>16</v>
      </c>
      <c r="G19" s="86">
        <v>12</v>
      </c>
      <c r="H19" s="86">
        <v>0</v>
      </c>
      <c r="I19" s="86">
        <v>4</v>
      </c>
      <c r="J19" s="75">
        <v>1.04</v>
      </c>
      <c r="K19" s="96">
        <v>158</v>
      </c>
      <c r="L19" s="104">
        <v>0</v>
      </c>
      <c r="M19" s="123">
        <v>0</v>
      </c>
      <c r="N19" s="102">
        <v>0</v>
      </c>
      <c r="O19" s="99">
        <v>0</v>
      </c>
      <c r="P19" s="89">
        <v>1</v>
      </c>
      <c r="Q19" s="123">
        <v>1</v>
      </c>
      <c r="R19" s="77">
        <v>0.1</v>
      </c>
      <c r="S19" s="99">
        <v>3</v>
      </c>
      <c r="T19" s="53">
        <f t="shared" si="0"/>
        <v>1.1400000000000001</v>
      </c>
      <c r="U19" s="54">
        <f t="shared" si="1"/>
        <v>161</v>
      </c>
      <c r="V19" s="40" t="s">
        <v>113</v>
      </c>
      <c r="W19" s="108"/>
      <c r="X19" s="40"/>
      <c r="Y19" s="108"/>
      <c r="Z19" s="40"/>
      <c r="AA19" s="113"/>
      <c r="AB19" s="56"/>
      <c r="AC19" s="55"/>
      <c r="AD19" s="58">
        <v>1805282</v>
      </c>
      <c r="AE19" s="59"/>
      <c r="AF19" s="59"/>
    </row>
    <row r="20" spans="1:32" ht="14.25" customHeight="1" thickBot="1" x14ac:dyDescent="0.3">
      <c r="A20" s="25">
        <v>1</v>
      </c>
      <c r="B20" s="26">
        <v>16269</v>
      </c>
      <c r="C20" s="27" t="s">
        <v>58</v>
      </c>
      <c r="D20" s="28" t="s">
        <v>43</v>
      </c>
      <c r="E20" s="18" t="s">
        <v>40</v>
      </c>
      <c r="F20" s="85">
        <v>69</v>
      </c>
      <c r="G20" s="86">
        <v>69</v>
      </c>
      <c r="H20" s="86">
        <v>1</v>
      </c>
      <c r="I20" s="86">
        <v>12</v>
      </c>
      <c r="J20" s="75">
        <v>7.58</v>
      </c>
      <c r="K20" s="96">
        <v>1157</v>
      </c>
      <c r="L20" s="104">
        <v>12</v>
      </c>
      <c r="M20" s="123">
        <v>12</v>
      </c>
      <c r="N20" s="102">
        <v>1.22</v>
      </c>
      <c r="O20" s="99">
        <v>133</v>
      </c>
      <c r="P20" s="89">
        <v>0</v>
      </c>
      <c r="Q20" s="123">
        <v>0</v>
      </c>
      <c r="R20" s="77">
        <v>0</v>
      </c>
      <c r="S20" s="99">
        <v>0</v>
      </c>
      <c r="T20" s="53">
        <f t="shared" ref="T20" si="4">+J20+N20+R20</f>
        <v>8.8000000000000007</v>
      </c>
      <c r="U20" s="54">
        <f t="shared" ref="U20" si="5">+K20+O20+S20</f>
        <v>1290</v>
      </c>
      <c r="V20" s="40" t="s">
        <v>113</v>
      </c>
      <c r="W20" s="108"/>
      <c r="X20" s="40"/>
      <c r="Y20" s="108"/>
      <c r="Z20" s="40"/>
      <c r="AA20" s="113"/>
      <c r="AB20" s="56"/>
      <c r="AC20" s="55"/>
      <c r="AD20" s="58">
        <v>1805282</v>
      </c>
      <c r="AE20" s="59"/>
      <c r="AF20" s="59"/>
    </row>
    <row r="21" spans="1:32" ht="14.25" customHeight="1" thickBot="1" x14ac:dyDescent="0.3">
      <c r="A21" s="25">
        <v>1</v>
      </c>
      <c r="B21" s="26">
        <v>16060</v>
      </c>
      <c r="C21" s="27" t="s">
        <v>49</v>
      </c>
      <c r="D21" s="28" t="s">
        <v>43</v>
      </c>
      <c r="E21" s="18" t="s">
        <v>40</v>
      </c>
      <c r="F21" s="85">
        <v>114</v>
      </c>
      <c r="G21" s="86">
        <v>114</v>
      </c>
      <c r="H21" s="86">
        <v>0</v>
      </c>
      <c r="I21" s="86">
        <v>0</v>
      </c>
      <c r="J21" s="75">
        <v>10.48</v>
      </c>
      <c r="K21" s="96">
        <v>1633</v>
      </c>
      <c r="L21" s="104">
        <v>6</v>
      </c>
      <c r="M21" s="123">
        <v>6</v>
      </c>
      <c r="N21" s="102">
        <v>0.43</v>
      </c>
      <c r="O21" s="99">
        <v>39</v>
      </c>
      <c r="P21" s="89">
        <v>3</v>
      </c>
      <c r="Q21" s="123">
        <v>3</v>
      </c>
      <c r="R21" s="77">
        <v>0.26</v>
      </c>
      <c r="S21" s="99">
        <v>12</v>
      </c>
      <c r="T21" s="53">
        <f t="shared" si="0"/>
        <v>11.17</v>
      </c>
      <c r="U21" s="54">
        <f t="shared" si="1"/>
        <v>1684</v>
      </c>
      <c r="V21" s="40" t="s">
        <v>113</v>
      </c>
      <c r="W21" s="108"/>
      <c r="X21" s="40"/>
      <c r="Y21" s="108"/>
      <c r="Z21" s="40"/>
      <c r="AA21" s="113"/>
      <c r="AB21" s="56"/>
      <c r="AC21" s="55"/>
      <c r="AD21" s="58">
        <v>1805282</v>
      </c>
      <c r="AE21" s="59"/>
      <c r="AF21" s="59"/>
    </row>
    <row r="22" spans="1:32" ht="14.25" customHeight="1" thickBot="1" x14ac:dyDescent="0.3">
      <c r="A22" s="25">
        <v>1</v>
      </c>
      <c r="B22" s="26">
        <v>12152</v>
      </c>
      <c r="C22" s="27" t="s">
        <v>49</v>
      </c>
      <c r="D22" s="28" t="s">
        <v>35</v>
      </c>
      <c r="E22" s="18" t="s">
        <v>36</v>
      </c>
      <c r="F22" s="85">
        <v>48</v>
      </c>
      <c r="G22" s="86">
        <v>44</v>
      </c>
      <c r="H22" s="86">
        <v>0</v>
      </c>
      <c r="I22" s="86">
        <v>0</v>
      </c>
      <c r="J22" s="75">
        <v>4.41</v>
      </c>
      <c r="K22" s="96">
        <v>669</v>
      </c>
      <c r="L22" s="104">
        <v>6</v>
      </c>
      <c r="M22" s="123">
        <v>6</v>
      </c>
      <c r="N22" s="102">
        <v>0.46</v>
      </c>
      <c r="O22" s="99">
        <v>47</v>
      </c>
      <c r="P22" s="89">
        <v>3</v>
      </c>
      <c r="Q22" s="123">
        <v>3</v>
      </c>
      <c r="R22" s="77">
        <v>0.26</v>
      </c>
      <c r="S22" s="99">
        <v>11</v>
      </c>
      <c r="T22" s="53">
        <f t="shared" si="0"/>
        <v>5.13</v>
      </c>
      <c r="U22" s="54">
        <f t="shared" si="1"/>
        <v>727</v>
      </c>
      <c r="V22" s="40" t="s">
        <v>113</v>
      </c>
      <c r="W22" s="108"/>
      <c r="X22" s="40"/>
      <c r="Y22" s="108"/>
      <c r="Z22" s="40"/>
      <c r="AA22" s="113"/>
      <c r="AB22" s="56"/>
      <c r="AC22" s="55"/>
      <c r="AD22" s="58">
        <v>1805282</v>
      </c>
      <c r="AE22" s="59"/>
      <c r="AF22" s="59"/>
    </row>
    <row r="23" spans="1:32" ht="14.25" customHeight="1" thickBot="1" x14ac:dyDescent="0.3">
      <c r="A23" s="25">
        <v>1</v>
      </c>
      <c r="B23" s="26">
        <v>5306</v>
      </c>
      <c r="C23" s="27" t="s">
        <v>49</v>
      </c>
      <c r="D23" s="28" t="s">
        <v>37</v>
      </c>
      <c r="E23" s="18" t="s">
        <v>40</v>
      </c>
      <c r="F23" s="85">
        <v>119</v>
      </c>
      <c r="G23" s="86">
        <v>92</v>
      </c>
      <c r="H23" s="86">
        <v>0</v>
      </c>
      <c r="I23" s="86">
        <v>0</v>
      </c>
      <c r="J23" s="75">
        <v>10.86</v>
      </c>
      <c r="K23" s="96">
        <v>1771</v>
      </c>
      <c r="L23" s="104">
        <v>6</v>
      </c>
      <c r="M23" s="123">
        <v>6</v>
      </c>
      <c r="N23" s="102">
        <v>0.51</v>
      </c>
      <c r="O23" s="99">
        <v>54</v>
      </c>
      <c r="P23" s="89">
        <v>2</v>
      </c>
      <c r="Q23" s="123">
        <v>2</v>
      </c>
      <c r="R23" s="77">
        <v>0.18</v>
      </c>
      <c r="S23" s="99">
        <v>7</v>
      </c>
      <c r="T23" s="53">
        <f t="shared" si="0"/>
        <v>11.549999999999999</v>
      </c>
      <c r="U23" s="54">
        <f t="shared" si="1"/>
        <v>1832</v>
      </c>
      <c r="V23" s="40" t="s">
        <v>113</v>
      </c>
      <c r="W23" s="108"/>
      <c r="X23" s="40"/>
      <c r="Y23" s="108"/>
      <c r="Z23" s="40"/>
      <c r="AA23" s="113"/>
      <c r="AB23" s="56"/>
      <c r="AC23" s="55"/>
      <c r="AD23" s="58">
        <v>1805282</v>
      </c>
      <c r="AE23" s="59"/>
      <c r="AF23" s="59"/>
    </row>
    <row r="24" spans="1:32" ht="14.25" customHeight="1" thickBot="1" x14ac:dyDescent="0.3">
      <c r="A24" s="25">
        <v>1</v>
      </c>
      <c r="B24" s="135">
        <v>5367</v>
      </c>
      <c r="C24" s="27" t="s">
        <v>49</v>
      </c>
      <c r="D24" s="28" t="s">
        <v>38</v>
      </c>
      <c r="E24" s="18" t="s">
        <v>40</v>
      </c>
      <c r="F24" s="85">
        <v>198</v>
      </c>
      <c r="G24" s="86">
        <v>84</v>
      </c>
      <c r="H24" s="86">
        <v>2</v>
      </c>
      <c r="I24" s="86">
        <v>0</v>
      </c>
      <c r="J24" s="75">
        <v>17.61</v>
      </c>
      <c r="K24" s="97">
        <v>2911</v>
      </c>
      <c r="L24" s="85">
        <v>20</v>
      </c>
      <c r="M24" s="123">
        <v>10</v>
      </c>
      <c r="N24" s="75">
        <v>1.69</v>
      </c>
      <c r="O24" s="97">
        <v>171</v>
      </c>
      <c r="P24" s="85">
        <v>4</v>
      </c>
      <c r="Q24" s="123">
        <v>0</v>
      </c>
      <c r="R24" s="101">
        <v>0.35</v>
      </c>
      <c r="S24" s="95">
        <v>14</v>
      </c>
      <c r="T24" s="60">
        <f t="shared" si="0"/>
        <v>19.650000000000002</v>
      </c>
      <c r="U24" s="61">
        <f t="shared" si="1"/>
        <v>3096</v>
      </c>
      <c r="V24" s="41" t="s">
        <v>113</v>
      </c>
      <c r="W24" s="109"/>
      <c r="X24" s="41"/>
      <c r="Y24" s="109"/>
      <c r="Z24" s="41"/>
      <c r="AA24" s="114"/>
      <c r="AB24" s="56"/>
      <c r="AC24" s="55"/>
      <c r="AD24" s="58">
        <v>1805282</v>
      </c>
      <c r="AE24" s="59"/>
      <c r="AF24" s="59"/>
    </row>
    <row r="25" spans="1:32" ht="14.25" customHeight="1" thickBot="1" x14ac:dyDescent="0.3">
      <c r="A25" s="25">
        <v>1</v>
      </c>
      <c r="B25" s="26">
        <v>10504</v>
      </c>
      <c r="C25" s="27" t="s">
        <v>49</v>
      </c>
      <c r="D25" s="28" t="s">
        <v>39</v>
      </c>
      <c r="E25" s="18" t="s">
        <v>40</v>
      </c>
      <c r="F25" s="85">
        <v>62</v>
      </c>
      <c r="G25" s="86">
        <v>54</v>
      </c>
      <c r="H25" s="86">
        <v>2</v>
      </c>
      <c r="I25" s="86">
        <v>0</v>
      </c>
      <c r="J25" s="75">
        <v>5.72</v>
      </c>
      <c r="K25" s="95">
        <v>922</v>
      </c>
      <c r="L25" s="103">
        <v>4</v>
      </c>
      <c r="M25" s="123">
        <v>4</v>
      </c>
      <c r="N25" s="101">
        <v>0.32</v>
      </c>
      <c r="O25" s="99">
        <v>39</v>
      </c>
      <c r="P25" s="89">
        <v>4</v>
      </c>
      <c r="Q25" s="123">
        <v>4</v>
      </c>
      <c r="R25" s="77">
        <v>0.35</v>
      </c>
      <c r="S25" s="99">
        <v>20</v>
      </c>
      <c r="T25" s="53">
        <f t="shared" si="0"/>
        <v>6.39</v>
      </c>
      <c r="U25" s="54">
        <f t="shared" si="1"/>
        <v>981</v>
      </c>
      <c r="V25" s="40" t="s">
        <v>113</v>
      </c>
      <c r="W25" s="108"/>
      <c r="X25" s="40"/>
      <c r="Y25" s="108"/>
      <c r="Z25" s="40"/>
      <c r="AA25" s="113"/>
      <c r="AB25" s="56"/>
      <c r="AC25" s="55"/>
      <c r="AD25" s="58">
        <v>1805282</v>
      </c>
      <c r="AE25" s="59"/>
      <c r="AF25" s="59"/>
    </row>
    <row r="26" spans="1:32" ht="14.25" customHeight="1" thickBot="1" x14ac:dyDescent="0.3">
      <c r="A26" s="25">
        <v>1</v>
      </c>
      <c r="B26" s="26">
        <v>5349</v>
      </c>
      <c r="C26" s="29" t="s">
        <v>49</v>
      </c>
      <c r="D26" s="28" t="s">
        <v>50</v>
      </c>
      <c r="E26" s="18" t="s">
        <v>36</v>
      </c>
      <c r="F26" s="85">
        <v>167</v>
      </c>
      <c r="G26" s="86">
        <v>140</v>
      </c>
      <c r="H26" s="86">
        <v>0</v>
      </c>
      <c r="I26" s="86">
        <v>5</v>
      </c>
      <c r="J26" s="75">
        <v>14.83</v>
      </c>
      <c r="K26" s="96">
        <v>2407</v>
      </c>
      <c r="L26" s="104">
        <v>8</v>
      </c>
      <c r="M26" s="123">
        <v>8</v>
      </c>
      <c r="N26" s="102">
        <v>0.73</v>
      </c>
      <c r="O26" s="99">
        <v>71</v>
      </c>
      <c r="P26" s="89">
        <v>0</v>
      </c>
      <c r="Q26" s="123">
        <v>0</v>
      </c>
      <c r="R26" s="77">
        <v>0</v>
      </c>
      <c r="S26" s="99">
        <v>0</v>
      </c>
      <c r="T26" s="53">
        <f t="shared" si="0"/>
        <v>15.56</v>
      </c>
      <c r="U26" s="54">
        <f t="shared" si="1"/>
        <v>2478</v>
      </c>
      <c r="V26" s="40" t="s">
        <v>113</v>
      </c>
      <c r="W26" s="108"/>
      <c r="X26" s="40"/>
      <c r="Y26" s="108"/>
      <c r="Z26" s="40"/>
      <c r="AA26" s="113"/>
      <c r="AB26" s="56"/>
      <c r="AC26" s="55"/>
      <c r="AD26" s="58">
        <v>1805282</v>
      </c>
      <c r="AE26" s="59"/>
      <c r="AF26" s="59"/>
    </row>
    <row r="27" spans="1:32" ht="14.25" customHeight="1" thickBot="1" x14ac:dyDescent="0.3">
      <c r="A27" s="25">
        <v>1</v>
      </c>
      <c r="B27" s="183" t="s">
        <v>51</v>
      </c>
      <c r="C27" s="29" t="s">
        <v>49</v>
      </c>
      <c r="D27" s="28" t="s">
        <v>52</v>
      </c>
      <c r="E27" s="159" t="s">
        <v>36</v>
      </c>
      <c r="F27" s="160">
        <v>0</v>
      </c>
      <c r="G27" s="161">
        <v>0</v>
      </c>
      <c r="H27" s="161">
        <v>0</v>
      </c>
      <c r="I27" s="161">
        <v>0</v>
      </c>
      <c r="J27" s="162">
        <v>0</v>
      </c>
      <c r="K27" s="162">
        <v>0</v>
      </c>
      <c r="L27" s="163">
        <v>0</v>
      </c>
      <c r="M27" s="164">
        <v>0</v>
      </c>
      <c r="N27" s="165">
        <v>0</v>
      </c>
      <c r="O27" s="166">
        <v>0</v>
      </c>
      <c r="P27" s="167">
        <v>0</v>
      </c>
      <c r="Q27" s="164">
        <v>0</v>
      </c>
      <c r="R27" s="168">
        <v>0</v>
      </c>
      <c r="S27" s="166">
        <v>0</v>
      </c>
      <c r="T27" s="150"/>
      <c r="U27" s="151"/>
      <c r="V27" s="40" t="s">
        <v>113</v>
      </c>
      <c r="W27" s="108"/>
      <c r="X27" s="40"/>
      <c r="Y27" s="108"/>
      <c r="Z27" s="40"/>
      <c r="AA27" s="113"/>
      <c r="AB27" s="56"/>
      <c r="AC27" s="55"/>
      <c r="AD27" s="58">
        <v>1805282</v>
      </c>
      <c r="AE27" s="59"/>
      <c r="AF27" s="59"/>
    </row>
    <row r="28" spans="1:32" ht="14.25" customHeight="1" thickBot="1" x14ac:dyDescent="0.3">
      <c r="A28" s="25">
        <v>1</v>
      </c>
      <c r="B28" s="26">
        <v>6525</v>
      </c>
      <c r="C28" s="27" t="s">
        <v>49</v>
      </c>
      <c r="D28" s="28" t="s">
        <v>53</v>
      </c>
      <c r="E28" s="18" t="s">
        <v>36</v>
      </c>
      <c r="F28" s="160">
        <v>120</v>
      </c>
      <c r="G28" s="161">
        <v>100</v>
      </c>
      <c r="H28" s="161">
        <v>2</v>
      </c>
      <c r="I28" s="161">
        <v>0</v>
      </c>
      <c r="J28" s="162">
        <v>11.39</v>
      </c>
      <c r="K28" s="169">
        <v>1733</v>
      </c>
      <c r="L28" s="163">
        <v>9</v>
      </c>
      <c r="M28" s="164">
        <v>10</v>
      </c>
      <c r="N28" s="165">
        <v>0.81</v>
      </c>
      <c r="O28" s="166">
        <v>90</v>
      </c>
      <c r="P28" s="167">
        <v>2</v>
      </c>
      <c r="Q28" s="164">
        <v>2</v>
      </c>
      <c r="R28" s="168">
        <v>0.18</v>
      </c>
      <c r="S28" s="166">
        <v>8</v>
      </c>
      <c r="T28" s="53">
        <f t="shared" si="0"/>
        <v>12.38</v>
      </c>
      <c r="U28" s="54">
        <f t="shared" si="1"/>
        <v>1831</v>
      </c>
      <c r="V28" s="40" t="s">
        <v>113</v>
      </c>
      <c r="W28" s="108"/>
      <c r="X28" s="40"/>
      <c r="Y28" s="108"/>
      <c r="Z28" s="40"/>
      <c r="AA28" s="113"/>
      <c r="AB28" s="56"/>
      <c r="AC28" s="55"/>
      <c r="AD28" s="58">
        <v>1805282</v>
      </c>
      <c r="AE28" s="59"/>
      <c r="AF28" s="59"/>
    </row>
    <row r="29" spans="1:32" ht="14.25" customHeight="1" thickBot="1" x14ac:dyDescent="0.3">
      <c r="A29" s="25">
        <v>1</v>
      </c>
      <c r="B29" s="183" t="s">
        <v>54</v>
      </c>
      <c r="C29" s="29" t="s">
        <v>55</v>
      </c>
      <c r="D29" s="28" t="s">
        <v>56</v>
      </c>
      <c r="E29" s="159" t="s">
        <v>36</v>
      </c>
      <c r="F29" s="160">
        <v>0</v>
      </c>
      <c r="G29" s="161">
        <v>0</v>
      </c>
      <c r="H29" s="161">
        <v>0</v>
      </c>
      <c r="I29" s="161">
        <v>0</v>
      </c>
      <c r="J29" s="162">
        <v>0</v>
      </c>
      <c r="K29" s="162">
        <v>0</v>
      </c>
      <c r="L29" s="163">
        <v>0</v>
      </c>
      <c r="M29" s="164">
        <v>0</v>
      </c>
      <c r="N29" s="165">
        <v>0</v>
      </c>
      <c r="O29" s="166">
        <v>0</v>
      </c>
      <c r="P29" s="167">
        <v>0</v>
      </c>
      <c r="Q29" s="164">
        <v>0</v>
      </c>
      <c r="R29" s="168">
        <v>0</v>
      </c>
      <c r="S29" s="166">
        <v>0</v>
      </c>
      <c r="T29" s="150"/>
      <c r="U29" s="151"/>
      <c r="V29" s="40" t="s">
        <v>113</v>
      </c>
      <c r="W29" s="108"/>
      <c r="X29" s="40"/>
      <c r="Y29" s="108"/>
      <c r="Z29" s="40"/>
      <c r="AA29" s="113"/>
      <c r="AB29" s="56"/>
      <c r="AC29" s="55"/>
      <c r="AD29" s="58">
        <v>1805282</v>
      </c>
      <c r="AE29" s="59"/>
      <c r="AF29" s="59"/>
    </row>
    <row r="30" spans="1:32" ht="14.25" customHeight="1" thickBot="1" x14ac:dyDescent="0.3">
      <c r="A30" s="25">
        <v>1</v>
      </c>
      <c r="B30" s="154">
        <v>16564</v>
      </c>
      <c r="C30" s="155" t="s">
        <v>49</v>
      </c>
      <c r="D30" s="156" t="s">
        <v>45</v>
      </c>
      <c r="E30" s="18" t="s">
        <v>40</v>
      </c>
      <c r="F30" s="85">
        <v>107</v>
      </c>
      <c r="G30" s="86">
        <v>96</v>
      </c>
      <c r="H30" s="86">
        <v>0</v>
      </c>
      <c r="I30" s="86">
        <v>0</v>
      </c>
      <c r="J30" s="75">
        <v>9.8699999999999992</v>
      </c>
      <c r="K30" s="96">
        <v>1605</v>
      </c>
      <c r="L30" s="104">
        <v>5</v>
      </c>
      <c r="M30" s="123">
        <v>5</v>
      </c>
      <c r="N30" s="102">
        <v>0.54</v>
      </c>
      <c r="O30" s="99">
        <v>59</v>
      </c>
      <c r="P30" s="89">
        <v>0</v>
      </c>
      <c r="Q30" s="123">
        <v>0</v>
      </c>
      <c r="R30" s="77">
        <v>0</v>
      </c>
      <c r="S30" s="99">
        <v>0</v>
      </c>
      <c r="T30" s="53">
        <f t="shared" si="0"/>
        <v>10.41</v>
      </c>
      <c r="U30" s="54">
        <f t="shared" si="1"/>
        <v>1664</v>
      </c>
      <c r="V30" s="40" t="s">
        <v>113</v>
      </c>
      <c r="W30" s="108"/>
      <c r="X30" s="40"/>
      <c r="Y30" s="108"/>
      <c r="Z30" s="40"/>
      <c r="AA30" s="113"/>
      <c r="AB30" s="56"/>
      <c r="AC30" s="55"/>
      <c r="AD30" s="58">
        <v>1805282</v>
      </c>
      <c r="AE30" s="59"/>
      <c r="AF30" s="59"/>
    </row>
    <row r="31" spans="1:32" ht="14.25" customHeight="1" thickBot="1" x14ac:dyDescent="0.3">
      <c r="A31" s="25">
        <v>1</v>
      </c>
      <c r="B31" s="26">
        <v>11629</v>
      </c>
      <c r="C31" s="27" t="s">
        <v>49</v>
      </c>
      <c r="D31" s="28" t="s">
        <v>57</v>
      </c>
      <c r="E31" s="18" t="s">
        <v>36</v>
      </c>
      <c r="F31" s="85">
        <v>45</v>
      </c>
      <c r="G31" s="86">
        <v>38</v>
      </c>
      <c r="H31" s="86">
        <v>0</v>
      </c>
      <c r="I31" s="86">
        <v>0</v>
      </c>
      <c r="J31" s="75">
        <v>4</v>
      </c>
      <c r="K31" s="96">
        <v>630</v>
      </c>
      <c r="L31" s="104">
        <v>5</v>
      </c>
      <c r="M31" s="123">
        <v>5</v>
      </c>
      <c r="N31" s="102">
        <v>0.41</v>
      </c>
      <c r="O31" s="99">
        <v>40</v>
      </c>
      <c r="P31" s="89">
        <v>2</v>
      </c>
      <c r="Q31" s="123">
        <v>2</v>
      </c>
      <c r="R31" s="77">
        <v>0.18</v>
      </c>
      <c r="S31" s="99">
        <v>6</v>
      </c>
      <c r="T31" s="53">
        <f t="shared" si="0"/>
        <v>4.59</v>
      </c>
      <c r="U31" s="54">
        <f t="shared" si="1"/>
        <v>676</v>
      </c>
      <c r="V31" s="40" t="s">
        <v>113</v>
      </c>
      <c r="W31" s="108"/>
      <c r="X31" s="40"/>
      <c r="Y31" s="108"/>
      <c r="Z31" s="40"/>
      <c r="AA31" s="113"/>
      <c r="AB31" s="56"/>
      <c r="AC31" s="62"/>
      <c r="AD31" s="58">
        <v>1805282</v>
      </c>
      <c r="AE31" s="59"/>
      <c r="AF31" s="59"/>
    </row>
    <row r="32" spans="1:32" ht="14.25" customHeight="1" thickBot="1" x14ac:dyDescent="0.3">
      <c r="A32" s="25">
        <v>1</v>
      </c>
      <c r="B32" s="26">
        <v>7593</v>
      </c>
      <c r="C32" s="27" t="s">
        <v>58</v>
      </c>
      <c r="D32" s="28" t="s">
        <v>59</v>
      </c>
      <c r="E32" s="18" t="s">
        <v>40</v>
      </c>
      <c r="F32" s="85">
        <v>62</v>
      </c>
      <c r="G32" s="86">
        <v>63</v>
      </c>
      <c r="H32" s="86">
        <v>0</v>
      </c>
      <c r="I32" s="86">
        <v>0</v>
      </c>
      <c r="J32" s="75">
        <v>6.58</v>
      </c>
      <c r="K32" s="96">
        <v>1038</v>
      </c>
      <c r="L32" s="104">
        <v>11</v>
      </c>
      <c r="M32" s="123">
        <v>11</v>
      </c>
      <c r="N32" s="102">
        <v>1.19</v>
      </c>
      <c r="O32" s="99">
        <v>129</v>
      </c>
      <c r="P32" s="89">
        <v>0</v>
      </c>
      <c r="Q32" s="123">
        <v>0</v>
      </c>
      <c r="R32" s="77">
        <v>0</v>
      </c>
      <c r="S32" s="99">
        <v>0</v>
      </c>
      <c r="T32" s="53">
        <f t="shared" si="0"/>
        <v>7.77</v>
      </c>
      <c r="U32" s="54">
        <f t="shared" si="1"/>
        <v>1167</v>
      </c>
      <c r="V32" s="40" t="s">
        <v>113</v>
      </c>
      <c r="W32" s="108"/>
      <c r="X32" s="40"/>
      <c r="Y32" s="108"/>
      <c r="Z32" s="40"/>
      <c r="AA32" s="113"/>
      <c r="AB32" s="56"/>
      <c r="AC32" s="62"/>
      <c r="AD32" s="58">
        <v>1805282</v>
      </c>
      <c r="AE32" s="59"/>
      <c r="AF32" s="59"/>
    </row>
    <row r="33" spans="1:32" ht="14.25" customHeight="1" thickBot="1" x14ac:dyDescent="0.3">
      <c r="A33" s="25">
        <v>1</v>
      </c>
      <c r="B33" s="26">
        <v>2898</v>
      </c>
      <c r="C33" s="27" t="s">
        <v>58</v>
      </c>
      <c r="D33" s="28" t="s">
        <v>37</v>
      </c>
      <c r="E33" s="18" t="s">
        <v>36</v>
      </c>
      <c r="F33" s="85">
        <v>88</v>
      </c>
      <c r="G33" s="86">
        <v>90</v>
      </c>
      <c r="H33" s="86">
        <v>0</v>
      </c>
      <c r="I33" s="86">
        <v>0</v>
      </c>
      <c r="J33" s="75">
        <v>9.27</v>
      </c>
      <c r="K33" s="96">
        <v>1495</v>
      </c>
      <c r="L33" s="104">
        <v>9</v>
      </c>
      <c r="M33" s="123">
        <v>9</v>
      </c>
      <c r="N33" s="102">
        <v>0.89</v>
      </c>
      <c r="O33" s="99">
        <v>93</v>
      </c>
      <c r="P33" s="89">
        <v>0</v>
      </c>
      <c r="Q33" s="123">
        <v>0</v>
      </c>
      <c r="R33" s="77">
        <v>0</v>
      </c>
      <c r="S33" s="99">
        <v>0</v>
      </c>
      <c r="T33" s="53">
        <f t="shared" si="0"/>
        <v>10.16</v>
      </c>
      <c r="U33" s="54">
        <f t="shared" si="1"/>
        <v>1588</v>
      </c>
      <c r="V33" s="40" t="s">
        <v>113</v>
      </c>
      <c r="W33" s="108"/>
      <c r="X33" s="40"/>
      <c r="Y33" s="108"/>
      <c r="Z33" s="40"/>
      <c r="AA33" s="113"/>
      <c r="AB33" s="56"/>
      <c r="AC33" s="62"/>
      <c r="AD33" s="58">
        <v>1805282</v>
      </c>
      <c r="AE33" s="59"/>
      <c r="AF33" s="59"/>
    </row>
    <row r="34" spans="1:32" ht="14.25" customHeight="1" thickBot="1" x14ac:dyDescent="0.3">
      <c r="A34" s="25">
        <v>1</v>
      </c>
      <c r="B34" s="26">
        <v>12093</v>
      </c>
      <c r="C34" s="27" t="s">
        <v>58</v>
      </c>
      <c r="D34" s="28" t="s">
        <v>39</v>
      </c>
      <c r="E34" s="18" t="s">
        <v>40</v>
      </c>
      <c r="F34" s="85">
        <v>39</v>
      </c>
      <c r="G34" s="86">
        <v>46</v>
      </c>
      <c r="H34" s="86">
        <v>0</v>
      </c>
      <c r="I34" s="86">
        <v>0</v>
      </c>
      <c r="J34" s="75">
        <v>4.22</v>
      </c>
      <c r="K34" s="96">
        <v>660</v>
      </c>
      <c r="L34" s="104">
        <v>9</v>
      </c>
      <c r="M34" s="123">
        <v>9</v>
      </c>
      <c r="N34" s="102">
        <v>0.97</v>
      </c>
      <c r="O34" s="99">
        <v>106</v>
      </c>
      <c r="P34" s="89">
        <v>0</v>
      </c>
      <c r="Q34" s="123">
        <v>0</v>
      </c>
      <c r="R34" s="77">
        <v>0</v>
      </c>
      <c r="S34" s="99">
        <v>0</v>
      </c>
      <c r="T34" s="53">
        <f t="shared" si="0"/>
        <v>5.1899999999999995</v>
      </c>
      <c r="U34" s="54">
        <f t="shared" si="1"/>
        <v>766</v>
      </c>
      <c r="V34" s="40" t="s">
        <v>113</v>
      </c>
      <c r="W34" s="108"/>
      <c r="X34" s="40"/>
      <c r="Y34" s="108"/>
      <c r="Z34" s="40"/>
      <c r="AA34" s="113"/>
      <c r="AB34" s="56"/>
      <c r="AC34" s="55"/>
      <c r="AD34" s="58">
        <v>1805282</v>
      </c>
      <c r="AE34" s="63"/>
      <c r="AF34" s="59"/>
    </row>
    <row r="35" spans="1:32" ht="14.25" customHeight="1" thickBot="1" x14ac:dyDescent="0.3">
      <c r="A35" s="25">
        <v>1</v>
      </c>
      <c r="B35" s="26">
        <v>2917</v>
      </c>
      <c r="C35" s="27" t="s">
        <v>58</v>
      </c>
      <c r="D35" s="28" t="s">
        <v>41</v>
      </c>
      <c r="E35" s="18" t="s">
        <v>40</v>
      </c>
      <c r="F35" s="85">
        <v>96</v>
      </c>
      <c r="G35" s="86">
        <v>95</v>
      </c>
      <c r="H35" s="86">
        <v>0</v>
      </c>
      <c r="I35" s="86">
        <v>1</v>
      </c>
      <c r="J35" s="75">
        <v>10.01</v>
      </c>
      <c r="K35" s="96">
        <v>1608</v>
      </c>
      <c r="L35" s="104">
        <v>15</v>
      </c>
      <c r="M35" s="123">
        <v>15</v>
      </c>
      <c r="N35" s="102">
        <v>1.51</v>
      </c>
      <c r="O35" s="99">
        <v>164</v>
      </c>
      <c r="P35" s="89">
        <v>0</v>
      </c>
      <c r="Q35" s="123">
        <v>0</v>
      </c>
      <c r="R35" s="77">
        <v>0</v>
      </c>
      <c r="S35" s="99">
        <v>0</v>
      </c>
      <c r="T35" s="53">
        <f t="shared" si="0"/>
        <v>11.52</v>
      </c>
      <c r="U35" s="54">
        <f t="shared" si="1"/>
        <v>1772</v>
      </c>
      <c r="V35" s="40" t="s">
        <v>113</v>
      </c>
      <c r="W35" s="108"/>
      <c r="X35" s="40"/>
      <c r="Y35" s="108"/>
      <c r="Z35" s="40"/>
      <c r="AA35" s="113"/>
      <c r="AB35" s="56"/>
      <c r="AC35" s="55"/>
      <c r="AD35" s="58">
        <v>1805282</v>
      </c>
      <c r="AE35" s="63"/>
      <c r="AF35" s="59"/>
    </row>
    <row r="36" spans="1:32" ht="14.25" customHeight="1" thickBot="1" x14ac:dyDescent="0.3">
      <c r="A36" s="25">
        <v>1</v>
      </c>
      <c r="B36" s="26">
        <v>10265</v>
      </c>
      <c r="C36" s="27" t="s">
        <v>58</v>
      </c>
      <c r="D36" s="28" t="s">
        <v>60</v>
      </c>
      <c r="E36" s="18" t="s">
        <v>40</v>
      </c>
      <c r="F36" s="85">
        <v>35</v>
      </c>
      <c r="G36" s="86">
        <v>38</v>
      </c>
      <c r="H36" s="86">
        <v>2</v>
      </c>
      <c r="I36" s="86">
        <v>1</v>
      </c>
      <c r="J36" s="75">
        <v>3.82</v>
      </c>
      <c r="K36" s="96">
        <v>535</v>
      </c>
      <c r="L36" s="104">
        <v>8</v>
      </c>
      <c r="M36" s="123">
        <v>8</v>
      </c>
      <c r="N36" s="102">
        <v>0.81</v>
      </c>
      <c r="O36" s="99">
        <v>84</v>
      </c>
      <c r="P36" s="89">
        <v>0</v>
      </c>
      <c r="Q36" s="123">
        <v>0</v>
      </c>
      <c r="R36" s="77">
        <v>0</v>
      </c>
      <c r="S36" s="99">
        <v>0</v>
      </c>
      <c r="T36" s="53">
        <f t="shared" si="0"/>
        <v>4.63</v>
      </c>
      <c r="U36" s="54">
        <f t="shared" si="1"/>
        <v>619</v>
      </c>
      <c r="V36" s="40" t="s">
        <v>113</v>
      </c>
      <c r="W36" s="108"/>
      <c r="X36" s="40"/>
      <c r="Y36" s="108"/>
      <c r="Z36" s="40"/>
      <c r="AA36" s="113"/>
      <c r="AB36" s="56"/>
      <c r="AC36" s="55"/>
      <c r="AD36" s="58">
        <v>1805282</v>
      </c>
      <c r="AE36" s="63"/>
      <c r="AF36" s="59"/>
    </row>
    <row r="37" spans="1:32" ht="14.25" customHeight="1" thickBot="1" x14ac:dyDescent="0.3">
      <c r="A37" s="25">
        <v>1</v>
      </c>
      <c r="B37" s="154">
        <v>16647</v>
      </c>
      <c r="C37" s="155" t="s">
        <v>58</v>
      </c>
      <c r="D37" s="156" t="s">
        <v>45</v>
      </c>
      <c r="E37" s="18" t="s">
        <v>40</v>
      </c>
      <c r="F37" s="85">
        <v>61</v>
      </c>
      <c r="G37" s="86">
        <v>59</v>
      </c>
      <c r="H37" s="86">
        <v>0</v>
      </c>
      <c r="I37" s="86">
        <v>2</v>
      </c>
      <c r="J37" s="75">
        <v>6.4</v>
      </c>
      <c r="K37" s="96">
        <v>958</v>
      </c>
      <c r="L37" s="104">
        <v>9</v>
      </c>
      <c r="M37" s="123">
        <v>9</v>
      </c>
      <c r="N37" s="102">
        <v>0.97</v>
      </c>
      <c r="O37" s="99">
        <v>108</v>
      </c>
      <c r="P37" s="89">
        <v>0</v>
      </c>
      <c r="Q37" s="123">
        <v>0</v>
      </c>
      <c r="R37" s="77">
        <v>0</v>
      </c>
      <c r="S37" s="99">
        <v>0</v>
      </c>
      <c r="T37" s="53">
        <f t="shared" si="0"/>
        <v>7.37</v>
      </c>
      <c r="U37" s="54">
        <f t="shared" si="1"/>
        <v>1066</v>
      </c>
      <c r="V37" s="40" t="s">
        <v>113</v>
      </c>
      <c r="W37" s="108"/>
      <c r="X37" s="40"/>
      <c r="Y37" s="108"/>
      <c r="Z37" s="40"/>
      <c r="AA37" s="113"/>
      <c r="AB37" s="56"/>
      <c r="AC37" s="55"/>
      <c r="AD37" s="58">
        <v>1805282</v>
      </c>
      <c r="AE37" s="63"/>
      <c r="AF37" s="63"/>
    </row>
    <row r="38" spans="1:32" ht="14.25" customHeight="1" thickBot="1" x14ac:dyDescent="0.3">
      <c r="A38" s="25">
        <v>1</v>
      </c>
      <c r="B38" s="26">
        <v>12154</v>
      </c>
      <c r="C38" s="27" t="s">
        <v>58</v>
      </c>
      <c r="D38" s="28" t="s">
        <v>57</v>
      </c>
      <c r="E38" s="18" t="s">
        <v>36</v>
      </c>
      <c r="F38" s="85">
        <v>40</v>
      </c>
      <c r="G38" s="86">
        <v>50</v>
      </c>
      <c r="H38" s="86">
        <v>5</v>
      </c>
      <c r="I38" s="86">
        <v>0</v>
      </c>
      <c r="J38" s="75">
        <v>4.97</v>
      </c>
      <c r="K38" s="96">
        <v>743</v>
      </c>
      <c r="L38" s="104">
        <v>12</v>
      </c>
      <c r="M38" s="123">
        <v>12</v>
      </c>
      <c r="N38" s="102">
        <v>1.1299999999999999</v>
      </c>
      <c r="O38" s="99">
        <v>128</v>
      </c>
      <c r="P38" s="89">
        <v>0</v>
      </c>
      <c r="Q38" s="123">
        <v>0</v>
      </c>
      <c r="R38" s="77">
        <v>0</v>
      </c>
      <c r="S38" s="99">
        <v>0</v>
      </c>
      <c r="T38" s="53">
        <f t="shared" si="0"/>
        <v>6.1</v>
      </c>
      <c r="U38" s="54">
        <f t="shared" si="1"/>
        <v>871</v>
      </c>
      <c r="V38" s="40" t="s">
        <v>113</v>
      </c>
      <c r="W38" s="108"/>
      <c r="X38" s="40"/>
      <c r="Y38" s="108"/>
      <c r="Z38" s="40"/>
      <c r="AA38" s="113"/>
      <c r="AB38" s="56"/>
      <c r="AC38" s="55"/>
      <c r="AD38" s="58">
        <v>1805282</v>
      </c>
      <c r="AE38" s="63"/>
      <c r="AF38" s="63"/>
    </row>
    <row r="39" spans="1:32" ht="14.25" customHeight="1" thickBot="1" x14ac:dyDescent="0.3">
      <c r="A39" s="25">
        <v>1</v>
      </c>
      <c r="B39" s="26">
        <v>12271</v>
      </c>
      <c r="C39" s="27" t="s">
        <v>61</v>
      </c>
      <c r="D39" s="28" t="s">
        <v>35</v>
      </c>
      <c r="E39" s="18" t="s">
        <v>36</v>
      </c>
      <c r="F39" s="85">
        <v>178</v>
      </c>
      <c r="G39" s="86">
        <v>183</v>
      </c>
      <c r="H39" s="86">
        <v>7</v>
      </c>
      <c r="I39" s="86">
        <v>0</v>
      </c>
      <c r="J39" s="75">
        <v>22.18</v>
      </c>
      <c r="K39" s="96">
        <v>3134</v>
      </c>
      <c r="L39" s="91"/>
      <c r="M39" s="92"/>
      <c r="N39" s="78"/>
      <c r="O39" s="100"/>
      <c r="P39" s="89">
        <v>0</v>
      </c>
      <c r="Q39" s="90">
        <v>0</v>
      </c>
      <c r="R39" s="77">
        <v>0</v>
      </c>
      <c r="S39" s="99">
        <v>0</v>
      </c>
      <c r="T39" s="53">
        <f t="shared" si="0"/>
        <v>22.18</v>
      </c>
      <c r="U39" s="54">
        <f t="shared" si="1"/>
        <v>3134</v>
      </c>
      <c r="V39" s="40" t="s">
        <v>113</v>
      </c>
      <c r="W39" s="108"/>
      <c r="X39" s="40"/>
      <c r="Y39" s="108"/>
      <c r="Z39" s="40"/>
      <c r="AA39" s="113"/>
      <c r="AB39" s="56"/>
      <c r="AC39" s="55"/>
      <c r="AD39" s="58">
        <v>1805282</v>
      </c>
      <c r="AE39" s="63"/>
      <c r="AF39" s="63"/>
    </row>
    <row r="40" spans="1:32" ht="14.25" customHeight="1" thickBot="1" x14ac:dyDescent="0.3">
      <c r="A40" s="25">
        <v>1</v>
      </c>
      <c r="B40" s="26">
        <v>12271</v>
      </c>
      <c r="C40" s="27" t="s">
        <v>62</v>
      </c>
      <c r="D40" s="28" t="s">
        <v>35</v>
      </c>
      <c r="E40" s="18" t="s">
        <v>36</v>
      </c>
      <c r="F40" s="87"/>
      <c r="G40" s="88"/>
      <c r="H40" s="88"/>
      <c r="I40" s="88"/>
      <c r="J40" s="76"/>
      <c r="K40" s="98"/>
      <c r="L40" s="104">
        <v>10</v>
      </c>
      <c r="M40" s="123">
        <v>10</v>
      </c>
      <c r="N40" s="102">
        <v>1.08</v>
      </c>
      <c r="O40" s="99">
        <v>109</v>
      </c>
      <c r="P40" s="91"/>
      <c r="Q40" s="92"/>
      <c r="R40" s="78"/>
      <c r="S40" s="100"/>
      <c r="T40" s="53">
        <f t="shared" si="0"/>
        <v>1.08</v>
      </c>
      <c r="U40" s="54">
        <f t="shared" si="1"/>
        <v>109</v>
      </c>
      <c r="V40" s="40"/>
      <c r="W40" s="108"/>
      <c r="X40" s="40"/>
      <c r="Y40" s="108"/>
      <c r="Z40" s="40"/>
      <c r="AA40" s="113"/>
      <c r="AB40" s="56"/>
      <c r="AC40" s="55"/>
      <c r="AD40" s="58">
        <v>1805282</v>
      </c>
      <c r="AE40" s="63"/>
      <c r="AF40" s="63"/>
    </row>
    <row r="41" spans="1:32" ht="14.25" customHeight="1" thickBot="1" x14ac:dyDescent="0.3">
      <c r="A41" s="25">
        <v>1</v>
      </c>
      <c r="B41" s="26">
        <v>1265</v>
      </c>
      <c r="C41" s="27" t="s">
        <v>61</v>
      </c>
      <c r="D41" s="28" t="s">
        <v>63</v>
      </c>
      <c r="E41" s="18" t="s">
        <v>40</v>
      </c>
      <c r="F41" s="85">
        <v>254</v>
      </c>
      <c r="G41" s="86">
        <v>262</v>
      </c>
      <c r="H41" s="86">
        <v>7</v>
      </c>
      <c r="I41" s="86">
        <v>15</v>
      </c>
      <c r="J41" s="75">
        <v>30.88</v>
      </c>
      <c r="K41" s="96">
        <v>4637</v>
      </c>
      <c r="L41" s="91"/>
      <c r="M41" s="92"/>
      <c r="N41" s="78"/>
      <c r="O41" s="100"/>
      <c r="P41" s="89">
        <v>0</v>
      </c>
      <c r="Q41" s="123">
        <v>0</v>
      </c>
      <c r="R41" s="77">
        <v>0</v>
      </c>
      <c r="S41" s="99">
        <v>0</v>
      </c>
      <c r="T41" s="53">
        <f t="shared" si="0"/>
        <v>30.88</v>
      </c>
      <c r="U41" s="54">
        <f t="shared" si="1"/>
        <v>4637</v>
      </c>
      <c r="V41" s="40" t="s">
        <v>114</v>
      </c>
      <c r="W41" s="108"/>
      <c r="X41" s="40"/>
      <c r="Y41" s="108"/>
      <c r="Z41" s="40"/>
      <c r="AA41" s="113"/>
      <c r="AB41" s="56"/>
      <c r="AC41" s="55"/>
      <c r="AD41" s="58">
        <v>1805282</v>
      </c>
      <c r="AE41" s="63"/>
      <c r="AF41" s="63"/>
    </row>
    <row r="42" spans="1:32" ht="14.25" customHeight="1" thickBot="1" x14ac:dyDescent="0.3">
      <c r="A42" s="25">
        <v>1</v>
      </c>
      <c r="B42" s="26">
        <v>1265</v>
      </c>
      <c r="C42" s="27" t="s">
        <v>62</v>
      </c>
      <c r="D42" s="28" t="s">
        <v>63</v>
      </c>
      <c r="E42" s="18" t="s">
        <v>40</v>
      </c>
      <c r="F42" s="87"/>
      <c r="G42" s="88"/>
      <c r="H42" s="88"/>
      <c r="I42" s="88"/>
      <c r="J42" s="76"/>
      <c r="K42" s="98"/>
      <c r="L42" s="104">
        <v>22</v>
      </c>
      <c r="M42" s="123">
        <v>22</v>
      </c>
      <c r="N42" s="102">
        <v>2.12</v>
      </c>
      <c r="O42" s="99">
        <v>236</v>
      </c>
      <c r="P42" s="91"/>
      <c r="Q42" s="92"/>
      <c r="R42" s="78"/>
      <c r="S42" s="100"/>
      <c r="T42" s="53">
        <f t="shared" si="0"/>
        <v>2.12</v>
      </c>
      <c r="U42" s="54">
        <f t="shared" si="1"/>
        <v>236</v>
      </c>
      <c r="V42" s="40" t="s">
        <v>114</v>
      </c>
      <c r="W42" s="108"/>
      <c r="X42" s="40"/>
      <c r="Y42" s="108"/>
      <c r="Z42" s="40"/>
      <c r="AA42" s="113"/>
      <c r="AB42" s="56"/>
      <c r="AC42" s="55"/>
      <c r="AD42" s="58">
        <v>1805282</v>
      </c>
      <c r="AE42" s="63"/>
      <c r="AF42" s="63"/>
    </row>
    <row r="43" spans="1:32" ht="14.25" customHeight="1" thickBot="1" x14ac:dyDescent="0.3">
      <c r="A43" s="25">
        <v>1</v>
      </c>
      <c r="B43" s="26">
        <v>3534</v>
      </c>
      <c r="C43" s="27" t="s">
        <v>61</v>
      </c>
      <c r="D43" s="28" t="s">
        <v>37</v>
      </c>
      <c r="E43" s="18" t="s">
        <v>40</v>
      </c>
      <c r="F43" s="85">
        <v>289</v>
      </c>
      <c r="G43" s="86">
        <v>294</v>
      </c>
      <c r="H43" s="86">
        <v>8</v>
      </c>
      <c r="I43" s="86">
        <v>0</v>
      </c>
      <c r="J43" s="75">
        <v>36.479999999999997</v>
      </c>
      <c r="K43" s="96">
        <v>5315</v>
      </c>
      <c r="L43" s="91"/>
      <c r="M43" s="92"/>
      <c r="N43" s="78"/>
      <c r="O43" s="100"/>
      <c r="P43" s="89">
        <v>0</v>
      </c>
      <c r="Q43" s="123">
        <v>0</v>
      </c>
      <c r="R43" s="77">
        <v>0</v>
      </c>
      <c r="S43" s="99">
        <v>0</v>
      </c>
      <c r="T43" s="53">
        <f t="shared" si="0"/>
        <v>36.479999999999997</v>
      </c>
      <c r="U43" s="54">
        <f t="shared" si="1"/>
        <v>5315</v>
      </c>
      <c r="V43" s="40" t="s">
        <v>113</v>
      </c>
      <c r="W43" s="108"/>
      <c r="X43" s="40"/>
      <c r="Y43" s="108"/>
      <c r="Z43" s="40"/>
      <c r="AA43" s="113"/>
      <c r="AB43" s="56"/>
      <c r="AC43" s="55"/>
      <c r="AD43" s="58">
        <v>1805282</v>
      </c>
      <c r="AE43" s="63"/>
      <c r="AF43" s="63"/>
    </row>
    <row r="44" spans="1:32" ht="14.25" customHeight="1" thickBot="1" x14ac:dyDescent="0.3">
      <c r="A44" s="25">
        <v>1</v>
      </c>
      <c r="B44" s="26">
        <v>3534</v>
      </c>
      <c r="C44" s="27" t="s">
        <v>62</v>
      </c>
      <c r="D44" s="28" t="s">
        <v>37</v>
      </c>
      <c r="E44" s="18" t="s">
        <v>40</v>
      </c>
      <c r="F44" s="87"/>
      <c r="G44" s="88"/>
      <c r="H44" s="88"/>
      <c r="I44" s="88"/>
      <c r="J44" s="76"/>
      <c r="K44" s="98"/>
      <c r="L44" s="104">
        <v>17</v>
      </c>
      <c r="M44" s="123">
        <v>17</v>
      </c>
      <c r="N44" s="102">
        <v>1.78</v>
      </c>
      <c r="O44" s="99">
        <v>205</v>
      </c>
      <c r="P44" s="91"/>
      <c r="Q44" s="92"/>
      <c r="R44" s="78"/>
      <c r="S44" s="100"/>
      <c r="T44" s="53">
        <f t="shared" si="0"/>
        <v>1.78</v>
      </c>
      <c r="U44" s="54">
        <f t="shared" si="1"/>
        <v>205</v>
      </c>
      <c r="V44" s="40" t="s">
        <v>113</v>
      </c>
      <c r="W44" s="108"/>
      <c r="X44" s="40"/>
      <c r="Y44" s="108"/>
      <c r="Z44" s="40"/>
      <c r="AA44" s="113"/>
      <c r="AB44" s="56"/>
      <c r="AC44" s="55"/>
      <c r="AD44" s="58">
        <v>1805282</v>
      </c>
      <c r="AE44" s="63"/>
      <c r="AF44" s="63"/>
    </row>
    <row r="45" spans="1:32" ht="14.25" customHeight="1" thickBot="1" x14ac:dyDescent="0.3">
      <c r="A45" s="25">
        <v>1</v>
      </c>
      <c r="B45" s="26">
        <v>3680</v>
      </c>
      <c r="C45" s="27" t="s">
        <v>64</v>
      </c>
      <c r="D45" s="30" t="s">
        <v>65</v>
      </c>
      <c r="E45" s="18" t="s">
        <v>40</v>
      </c>
      <c r="F45" s="89">
        <v>230</v>
      </c>
      <c r="G45" s="90">
        <v>19</v>
      </c>
      <c r="H45" s="90">
        <v>31</v>
      </c>
      <c r="I45" s="90">
        <v>2</v>
      </c>
      <c r="J45" s="77">
        <v>29.26</v>
      </c>
      <c r="K45" s="99">
        <v>4144</v>
      </c>
      <c r="L45" s="91"/>
      <c r="M45" s="92"/>
      <c r="N45" s="78"/>
      <c r="O45" s="100"/>
      <c r="P45" s="89">
        <v>0</v>
      </c>
      <c r="Q45" s="123">
        <v>0</v>
      </c>
      <c r="R45" s="77">
        <v>0</v>
      </c>
      <c r="S45" s="99">
        <v>0</v>
      </c>
      <c r="T45" s="53">
        <f t="shared" si="0"/>
        <v>29.26</v>
      </c>
      <c r="U45" s="54">
        <f t="shared" si="1"/>
        <v>4144</v>
      </c>
      <c r="V45" s="40" t="s">
        <v>115</v>
      </c>
      <c r="W45" s="108"/>
      <c r="X45" s="40"/>
      <c r="Y45" s="108"/>
      <c r="Z45" s="40"/>
      <c r="AA45" s="113"/>
      <c r="AB45" s="56"/>
      <c r="AC45" s="55"/>
      <c r="AD45" s="58">
        <v>1805282</v>
      </c>
      <c r="AE45" s="63"/>
      <c r="AF45" s="63"/>
    </row>
    <row r="46" spans="1:32" ht="14.25" customHeight="1" thickBot="1" x14ac:dyDescent="0.3">
      <c r="A46" s="25">
        <v>1</v>
      </c>
      <c r="B46" s="26">
        <v>3680</v>
      </c>
      <c r="C46" s="27" t="s">
        <v>62</v>
      </c>
      <c r="D46" s="28" t="s">
        <v>38</v>
      </c>
      <c r="E46" s="18" t="s">
        <v>40</v>
      </c>
      <c r="F46" s="87"/>
      <c r="G46" s="88"/>
      <c r="H46" s="88"/>
      <c r="I46" s="88"/>
      <c r="J46" s="76"/>
      <c r="K46" s="98"/>
      <c r="L46" s="89">
        <v>33</v>
      </c>
      <c r="M46" s="123">
        <v>33</v>
      </c>
      <c r="N46" s="77">
        <v>3.11</v>
      </c>
      <c r="O46" s="99">
        <v>357</v>
      </c>
      <c r="P46" s="91"/>
      <c r="Q46" s="92"/>
      <c r="R46" s="78"/>
      <c r="S46" s="100"/>
      <c r="T46" s="53">
        <f t="shared" si="0"/>
        <v>3.11</v>
      </c>
      <c r="U46" s="54">
        <f t="shared" si="1"/>
        <v>357</v>
      </c>
      <c r="V46" s="40" t="s">
        <v>115</v>
      </c>
      <c r="W46" s="108"/>
      <c r="X46" s="40"/>
      <c r="Y46" s="108"/>
      <c r="Z46" s="40"/>
      <c r="AA46" s="113"/>
      <c r="AB46" s="56"/>
      <c r="AC46" s="55"/>
      <c r="AD46" s="58">
        <v>1805282</v>
      </c>
      <c r="AE46" s="63"/>
      <c r="AF46" s="63"/>
    </row>
    <row r="47" spans="1:32" ht="14.25" customHeight="1" thickBot="1" x14ac:dyDescent="0.3">
      <c r="A47" s="25">
        <v>1</v>
      </c>
      <c r="B47" s="71">
        <v>3680</v>
      </c>
      <c r="C47" s="157" t="s">
        <v>64</v>
      </c>
      <c r="D47" s="185" t="s">
        <v>66</v>
      </c>
      <c r="E47" s="18" t="s">
        <v>40</v>
      </c>
      <c r="F47" s="125"/>
      <c r="G47" s="126"/>
      <c r="H47" s="126"/>
      <c r="I47" s="126"/>
      <c r="J47" s="127">
        <v>0</v>
      </c>
      <c r="K47" s="127">
        <v>0</v>
      </c>
      <c r="L47" s="125"/>
      <c r="M47" s="128"/>
      <c r="N47" s="129"/>
      <c r="O47" s="130"/>
      <c r="P47" s="125"/>
      <c r="Q47" s="128"/>
      <c r="R47" s="129"/>
      <c r="S47" s="130"/>
      <c r="T47" s="131"/>
      <c r="U47" s="132"/>
      <c r="V47" s="40" t="s">
        <v>115</v>
      </c>
      <c r="W47" s="108"/>
      <c r="X47" s="40"/>
      <c r="Y47" s="108"/>
      <c r="Z47" s="40"/>
      <c r="AA47" s="113"/>
      <c r="AB47" s="64"/>
      <c r="AC47" s="55"/>
      <c r="AD47" s="58">
        <v>1805282</v>
      </c>
      <c r="AE47" s="63"/>
      <c r="AF47" s="63"/>
    </row>
    <row r="48" spans="1:32" ht="14.25" customHeight="1" thickBot="1" x14ac:dyDescent="0.3">
      <c r="A48" s="25">
        <v>1</v>
      </c>
      <c r="B48" s="183" t="s">
        <v>67</v>
      </c>
      <c r="C48" s="29" t="s">
        <v>64</v>
      </c>
      <c r="D48" s="28" t="s">
        <v>68</v>
      </c>
      <c r="E48" s="159" t="s">
        <v>36</v>
      </c>
      <c r="F48" s="170">
        <v>0</v>
      </c>
      <c r="G48" s="171">
        <v>0</v>
      </c>
      <c r="H48" s="171">
        <v>0</v>
      </c>
      <c r="I48" s="171">
        <v>0</v>
      </c>
      <c r="J48" s="162">
        <v>0</v>
      </c>
      <c r="K48" s="162">
        <v>0</v>
      </c>
      <c r="L48" s="172">
        <v>0</v>
      </c>
      <c r="M48" s="173">
        <v>0</v>
      </c>
      <c r="N48" s="174">
        <v>0</v>
      </c>
      <c r="O48" s="175">
        <v>0</v>
      </c>
      <c r="P48" s="170">
        <v>0</v>
      </c>
      <c r="Q48" s="164">
        <v>0</v>
      </c>
      <c r="R48" s="176">
        <v>0</v>
      </c>
      <c r="S48" s="177">
        <v>0</v>
      </c>
      <c r="T48" s="152"/>
      <c r="U48" s="153"/>
      <c r="V48" s="40" t="s">
        <v>113</v>
      </c>
      <c r="W48" s="108"/>
      <c r="X48" s="40"/>
      <c r="Y48" s="108"/>
      <c r="Z48" s="40"/>
      <c r="AA48" s="113"/>
      <c r="AB48" s="56"/>
      <c r="AC48" s="55"/>
      <c r="AD48" s="58">
        <v>1805282</v>
      </c>
      <c r="AE48" s="63"/>
      <c r="AF48" s="63"/>
    </row>
    <row r="49" spans="1:32" ht="14.25" customHeight="1" thickBot="1" x14ac:dyDescent="0.3">
      <c r="A49" s="25">
        <v>1</v>
      </c>
      <c r="B49" s="31">
        <v>9226</v>
      </c>
      <c r="C49" s="27" t="s">
        <v>61</v>
      </c>
      <c r="D49" s="32" t="s">
        <v>69</v>
      </c>
      <c r="E49" s="18" t="s">
        <v>40</v>
      </c>
      <c r="F49" s="89">
        <v>273</v>
      </c>
      <c r="G49" s="90">
        <v>0</v>
      </c>
      <c r="H49" s="90">
        <v>16</v>
      </c>
      <c r="I49" s="90">
        <v>0</v>
      </c>
      <c r="J49" s="77">
        <v>32.86</v>
      </c>
      <c r="K49" s="99">
        <v>4313</v>
      </c>
      <c r="L49" s="91"/>
      <c r="M49" s="92"/>
      <c r="N49" s="78"/>
      <c r="O49" s="100"/>
      <c r="P49" s="89">
        <v>0</v>
      </c>
      <c r="Q49" s="123">
        <v>0</v>
      </c>
      <c r="R49" s="77">
        <v>0</v>
      </c>
      <c r="S49" s="99">
        <v>0</v>
      </c>
      <c r="T49" s="53">
        <f t="shared" si="0"/>
        <v>32.86</v>
      </c>
      <c r="U49" s="54">
        <f t="shared" si="1"/>
        <v>4313</v>
      </c>
      <c r="V49" s="40" t="s">
        <v>113</v>
      </c>
      <c r="W49" s="108"/>
      <c r="X49" s="40"/>
      <c r="Y49" s="108"/>
      <c r="Z49" s="40"/>
      <c r="AA49" s="113"/>
      <c r="AB49" s="56"/>
      <c r="AC49" s="55"/>
      <c r="AD49" s="58">
        <v>1805282</v>
      </c>
      <c r="AE49" s="63"/>
      <c r="AF49" s="63"/>
    </row>
    <row r="50" spans="1:32" ht="14.25" customHeight="1" thickBot="1" x14ac:dyDescent="0.3">
      <c r="A50" s="25">
        <v>1</v>
      </c>
      <c r="B50" s="31">
        <v>9226</v>
      </c>
      <c r="C50" s="27" t="s">
        <v>62</v>
      </c>
      <c r="D50" s="32" t="s">
        <v>69</v>
      </c>
      <c r="E50" s="18" t="s">
        <v>40</v>
      </c>
      <c r="F50" s="91"/>
      <c r="G50" s="92"/>
      <c r="H50" s="92"/>
      <c r="I50" s="92"/>
      <c r="J50" s="78"/>
      <c r="K50" s="100"/>
      <c r="L50" s="89">
        <v>53</v>
      </c>
      <c r="M50" s="123">
        <v>0</v>
      </c>
      <c r="N50" s="77">
        <v>5.2</v>
      </c>
      <c r="O50" s="99">
        <v>608</v>
      </c>
      <c r="P50" s="91"/>
      <c r="Q50" s="92"/>
      <c r="R50" s="78"/>
      <c r="S50" s="100"/>
      <c r="T50" s="53">
        <f t="shared" si="0"/>
        <v>5.2</v>
      </c>
      <c r="U50" s="54">
        <f t="shared" si="1"/>
        <v>608</v>
      </c>
      <c r="V50" s="40" t="s">
        <v>113</v>
      </c>
      <c r="W50" s="108"/>
      <c r="X50" s="40"/>
      <c r="Y50" s="108"/>
      <c r="Z50" s="40"/>
      <c r="AA50" s="113"/>
      <c r="AB50" s="56"/>
      <c r="AC50" s="55"/>
      <c r="AD50" s="58">
        <v>1805282</v>
      </c>
      <c r="AE50" s="63"/>
      <c r="AF50" s="63"/>
    </row>
    <row r="51" spans="1:32" ht="14.25" customHeight="1" thickBot="1" x14ac:dyDescent="0.3">
      <c r="A51" s="25">
        <v>1</v>
      </c>
      <c r="B51" s="71">
        <v>9226</v>
      </c>
      <c r="C51" s="157" t="s">
        <v>64</v>
      </c>
      <c r="D51" s="158" t="s">
        <v>69</v>
      </c>
      <c r="E51" s="18" t="s">
        <v>40</v>
      </c>
      <c r="F51" s="125"/>
      <c r="G51" s="126"/>
      <c r="H51" s="126"/>
      <c r="I51" s="126"/>
      <c r="J51" s="127">
        <v>0</v>
      </c>
      <c r="K51" s="127">
        <v>0</v>
      </c>
      <c r="L51" s="125"/>
      <c r="M51" s="128"/>
      <c r="N51" s="129"/>
      <c r="O51" s="130"/>
      <c r="P51" s="125"/>
      <c r="Q51" s="128"/>
      <c r="R51" s="129"/>
      <c r="S51" s="130"/>
      <c r="T51" s="131"/>
      <c r="U51" s="132"/>
      <c r="V51" s="40" t="s">
        <v>113</v>
      </c>
      <c r="W51" s="108"/>
      <c r="X51" s="40"/>
      <c r="Y51" s="108"/>
      <c r="Z51" s="40"/>
      <c r="AA51" s="113"/>
      <c r="AB51" s="64"/>
      <c r="AC51" s="55"/>
      <c r="AD51" s="58">
        <v>1805282</v>
      </c>
      <c r="AE51" s="63"/>
      <c r="AF51" s="63"/>
    </row>
    <row r="52" spans="1:32" ht="14.25" customHeight="1" thickBot="1" x14ac:dyDescent="0.3">
      <c r="A52" s="25">
        <v>1</v>
      </c>
      <c r="B52" s="31">
        <v>12059</v>
      </c>
      <c r="C52" s="27" t="s">
        <v>61</v>
      </c>
      <c r="D52" s="32" t="s">
        <v>39</v>
      </c>
      <c r="E52" s="18" t="s">
        <v>40</v>
      </c>
      <c r="F52" s="89">
        <v>229</v>
      </c>
      <c r="G52" s="90">
        <v>226</v>
      </c>
      <c r="H52" s="90">
        <v>4</v>
      </c>
      <c r="I52" s="90">
        <v>15</v>
      </c>
      <c r="J52" s="77">
        <v>27.84</v>
      </c>
      <c r="K52" s="99">
        <v>4138</v>
      </c>
      <c r="L52" s="91"/>
      <c r="M52" s="92"/>
      <c r="N52" s="78"/>
      <c r="O52" s="100"/>
      <c r="P52" s="89">
        <v>0</v>
      </c>
      <c r="Q52" s="123">
        <v>0</v>
      </c>
      <c r="R52" s="77">
        <v>0</v>
      </c>
      <c r="S52" s="99">
        <v>0</v>
      </c>
      <c r="T52" s="53">
        <f t="shared" si="0"/>
        <v>27.84</v>
      </c>
      <c r="U52" s="54">
        <f t="shared" si="1"/>
        <v>4138</v>
      </c>
      <c r="V52" s="40" t="s">
        <v>113</v>
      </c>
      <c r="W52" s="108"/>
      <c r="X52" s="40"/>
      <c r="Y52" s="108"/>
      <c r="Z52" s="40"/>
      <c r="AA52" s="113"/>
      <c r="AB52" s="56"/>
      <c r="AC52" s="55"/>
      <c r="AD52" s="58">
        <v>1805282</v>
      </c>
      <c r="AE52" s="63"/>
      <c r="AF52" s="63"/>
    </row>
    <row r="53" spans="1:32" ht="14.25" customHeight="1" thickBot="1" x14ac:dyDescent="0.3">
      <c r="A53" s="25">
        <v>1</v>
      </c>
      <c r="B53" s="31">
        <v>12059</v>
      </c>
      <c r="C53" s="27" t="s">
        <v>62</v>
      </c>
      <c r="D53" s="32" t="s">
        <v>39</v>
      </c>
      <c r="E53" s="18" t="s">
        <v>40</v>
      </c>
      <c r="F53" s="91"/>
      <c r="G53" s="92"/>
      <c r="H53" s="92"/>
      <c r="I53" s="92"/>
      <c r="J53" s="78"/>
      <c r="K53" s="100"/>
      <c r="L53" s="89">
        <v>18</v>
      </c>
      <c r="M53" s="123">
        <v>18</v>
      </c>
      <c r="N53" s="77">
        <v>1.68</v>
      </c>
      <c r="O53" s="99">
        <v>172</v>
      </c>
      <c r="P53" s="91"/>
      <c r="Q53" s="92"/>
      <c r="R53" s="78"/>
      <c r="S53" s="100"/>
      <c r="T53" s="53">
        <f t="shared" si="0"/>
        <v>1.68</v>
      </c>
      <c r="U53" s="54">
        <f t="shared" si="1"/>
        <v>172</v>
      </c>
      <c r="V53" s="40" t="s">
        <v>113</v>
      </c>
      <c r="W53" s="108"/>
      <c r="X53" s="40"/>
      <c r="Y53" s="108"/>
      <c r="Z53" s="40"/>
      <c r="AA53" s="113"/>
      <c r="AB53" s="56"/>
      <c r="AC53" s="55"/>
      <c r="AD53" s="58">
        <v>1805282</v>
      </c>
      <c r="AE53" s="63"/>
      <c r="AF53" s="63"/>
    </row>
    <row r="54" spans="1:32" ht="14.25" customHeight="1" thickBot="1" x14ac:dyDescent="0.3">
      <c r="A54" s="25">
        <v>1</v>
      </c>
      <c r="B54" s="31">
        <v>3591</v>
      </c>
      <c r="C54" s="27" t="s">
        <v>61</v>
      </c>
      <c r="D54" s="32" t="s">
        <v>41</v>
      </c>
      <c r="E54" s="18" t="s">
        <v>40</v>
      </c>
      <c r="F54" s="89">
        <v>297</v>
      </c>
      <c r="G54" s="90">
        <v>0</v>
      </c>
      <c r="H54" s="90">
        <v>11</v>
      </c>
      <c r="I54" s="90">
        <v>0</v>
      </c>
      <c r="J54" s="77">
        <v>32.909999999999997</v>
      </c>
      <c r="K54" s="99">
        <v>5050</v>
      </c>
      <c r="L54" s="91"/>
      <c r="M54" s="92"/>
      <c r="N54" s="78"/>
      <c r="O54" s="100"/>
      <c r="P54" s="89">
        <v>0</v>
      </c>
      <c r="Q54" s="123">
        <v>0</v>
      </c>
      <c r="R54" s="77">
        <v>0</v>
      </c>
      <c r="S54" s="99">
        <v>0</v>
      </c>
      <c r="T54" s="53">
        <f t="shared" si="0"/>
        <v>32.909999999999997</v>
      </c>
      <c r="U54" s="54">
        <f t="shared" si="1"/>
        <v>5050</v>
      </c>
      <c r="V54" s="40" t="s">
        <v>116</v>
      </c>
      <c r="W54" s="108"/>
      <c r="X54" s="40"/>
      <c r="Y54" s="108"/>
      <c r="Z54" s="40"/>
      <c r="AA54" s="113"/>
      <c r="AB54" s="56"/>
      <c r="AC54" s="55"/>
      <c r="AD54" s="58">
        <v>1805282</v>
      </c>
      <c r="AE54" s="63"/>
      <c r="AF54" s="63"/>
    </row>
    <row r="55" spans="1:32" ht="14.25" customHeight="1" thickBot="1" x14ac:dyDescent="0.3">
      <c r="A55" s="25">
        <v>1</v>
      </c>
      <c r="B55" s="31">
        <v>3591</v>
      </c>
      <c r="C55" s="27" t="s">
        <v>62</v>
      </c>
      <c r="D55" s="32" t="s">
        <v>41</v>
      </c>
      <c r="E55" s="18" t="s">
        <v>40</v>
      </c>
      <c r="F55" s="91"/>
      <c r="G55" s="92"/>
      <c r="H55" s="92"/>
      <c r="I55" s="92"/>
      <c r="J55" s="78"/>
      <c r="K55" s="100"/>
      <c r="L55" s="89">
        <v>30</v>
      </c>
      <c r="M55" s="123">
        <v>0</v>
      </c>
      <c r="N55" s="77">
        <v>2.72</v>
      </c>
      <c r="O55" s="99">
        <v>305</v>
      </c>
      <c r="P55" s="91"/>
      <c r="Q55" s="92"/>
      <c r="R55" s="78"/>
      <c r="S55" s="100"/>
      <c r="T55" s="53">
        <f t="shared" si="0"/>
        <v>2.72</v>
      </c>
      <c r="U55" s="54">
        <f t="shared" si="1"/>
        <v>305</v>
      </c>
      <c r="V55" s="40" t="s">
        <v>116</v>
      </c>
      <c r="W55" s="108"/>
      <c r="X55" s="40"/>
      <c r="Y55" s="108"/>
      <c r="Z55" s="40"/>
      <c r="AA55" s="113"/>
      <c r="AB55" s="56"/>
      <c r="AC55" s="55"/>
      <c r="AD55" s="58">
        <v>1805282</v>
      </c>
      <c r="AE55" s="63"/>
      <c r="AF55" s="63"/>
    </row>
    <row r="56" spans="1:32" ht="14.25" customHeight="1" thickBot="1" x14ac:dyDescent="0.3">
      <c r="A56" s="25">
        <v>1</v>
      </c>
      <c r="B56" s="71">
        <v>3591</v>
      </c>
      <c r="C56" s="157" t="s">
        <v>61</v>
      </c>
      <c r="D56" s="158" t="s">
        <v>41</v>
      </c>
      <c r="E56" s="18" t="s">
        <v>40</v>
      </c>
      <c r="F56" s="125"/>
      <c r="G56" s="126"/>
      <c r="H56" s="126"/>
      <c r="I56" s="126"/>
      <c r="J56" s="127">
        <v>0</v>
      </c>
      <c r="K56" s="127">
        <v>0</v>
      </c>
      <c r="L56" s="125"/>
      <c r="M56" s="128"/>
      <c r="N56" s="129"/>
      <c r="O56" s="130"/>
      <c r="P56" s="125"/>
      <c r="Q56" s="128"/>
      <c r="R56" s="129"/>
      <c r="S56" s="130"/>
      <c r="T56" s="131"/>
      <c r="U56" s="132"/>
      <c r="V56" s="40" t="s">
        <v>116</v>
      </c>
      <c r="W56" s="108"/>
      <c r="X56" s="40"/>
      <c r="Y56" s="108"/>
      <c r="Z56" s="40"/>
      <c r="AA56" s="113"/>
      <c r="AB56" s="64"/>
      <c r="AC56" s="55"/>
      <c r="AD56" s="58">
        <v>1805282</v>
      </c>
      <c r="AE56" s="63"/>
      <c r="AF56" s="63"/>
    </row>
    <row r="57" spans="1:32" ht="14.25" customHeight="1" thickBot="1" x14ac:dyDescent="0.3">
      <c r="A57" s="25">
        <v>1</v>
      </c>
      <c r="B57" s="186">
        <v>16723</v>
      </c>
      <c r="C57" s="155" t="s">
        <v>61</v>
      </c>
      <c r="D57" s="187" t="s">
        <v>42</v>
      </c>
      <c r="E57" s="18" t="s">
        <v>40</v>
      </c>
      <c r="F57" s="89">
        <v>393</v>
      </c>
      <c r="G57" s="90">
        <v>400</v>
      </c>
      <c r="H57" s="90">
        <v>10</v>
      </c>
      <c r="I57" s="90">
        <v>15</v>
      </c>
      <c r="J57" s="77">
        <v>49.49</v>
      </c>
      <c r="K57" s="99">
        <v>7126</v>
      </c>
      <c r="L57" s="91"/>
      <c r="M57" s="92"/>
      <c r="N57" s="78"/>
      <c r="O57" s="100"/>
      <c r="P57" s="89">
        <v>0</v>
      </c>
      <c r="Q57" s="123">
        <v>0</v>
      </c>
      <c r="R57" s="77">
        <v>0</v>
      </c>
      <c r="S57" s="99">
        <v>0</v>
      </c>
      <c r="T57" s="53">
        <f t="shared" si="0"/>
        <v>49.49</v>
      </c>
      <c r="U57" s="54">
        <f t="shared" si="1"/>
        <v>7126</v>
      </c>
      <c r="V57" s="40" t="s">
        <v>113</v>
      </c>
      <c r="W57" s="108"/>
      <c r="X57" s="40"/>
      <c r="Y57" s="108"/>
      <c r="Z57" s="40"/>
      <c r="AA57" s="113"/>
      <c r="AB57" s="56"/>
      <c r="AC57" s="55"/>
      <c r="AD57" s="58">
        <v>1805282</v>
      </c>
      <c r="AE57" s="63"/>
      <c r="AF57" s="63"/>
    </row>
    <row r="58" spans="1:32" ht="14.25" customHeight="1" thickBot="1" x14ac:dyDescent="0.3">
      <c r="A58" s="25">
        <v>1</v>
      </c>
      <c r="B58" s="186">
        <v>16723</v>
      </c>
      <c r="C58" s="155" t="s">
        <v>62</v>
      </c>
      <c r="D58" s="187" t="s">
        <v>42</v>
      </c>
      <c r="E58" s="18" t="s">
        <v>40</v>
      </c>
      <c r="F58" s="91"/>
      <c r="G58" s="92"/>
      <c r="H58" s="92"/>
      <c r="I58" s="92"/>
      <c r="J58" s="78"/>
      <c r="K58" s="100"/>
      <c r="L58" s="89">
        <v>31</v>
      </c>
      <c r="M58" s="123">
        <v>33</v>
      </c>
      <c r="N58" s="77">
        <v>2.72</v>
      </c>
      <c r="O58" s="99">
        <v>306</v>
      </c>
      <c r="P58" s="91"/>
      <c r="Q58" s="92"/>
      <c r="R58" s="78"/>
      <c r="S58" s="100"/>
      <c r="T58" s="53">
        <f t="shared" si="0"/>
        <v>2.72</v>
      </c>
      <c r="U58" s="54">
        <f t="shared" si="1"/>
        <v>306</v>
      </c>
      <c r="V58" s="40" t="s">
        <v>113</v>
      </c>
      <c r="W58" s="108"/>
      <c r="X58" s="40"/>
      <c r="Y58" s="108"/>
      <c r="Z58" s="40"/>
      <c r="AA58" s="113"/>
      <c r="AB58" s="56"/>
      <c r="AC58" s="55"/>
      <c r="AD58" s="58">
        <v>1805282</v>
      </c>
      <c r="AE58" s="63"/>
      <c r="AF58" s="63"/>
    </row>
    <row r="59" spans="1:32" ht="14.25" customHeight="1" thickBot="1" x14ac:dyDescent="0.3">
      <c r="A59" s="25">
        <v>1</v>
      </c>
      <c r="B59" s="31">
        <v>3503</v>
      </c>
      <c r="C59" s="27" t="s">
        <v>64</v>
      </c>
      <c r="D59" s="32" t="s">
        <v>70</v>
      </c>
      <c r="E59" s="18" t="s">
        <v>40</v>
      </c>
      <c r="F59" s="89">
        <v>325</v>
      </c>
      <c r="G59" s="90">
        <v>338</v>
      </c>
      <c r="H59" s="90">
        <v>10</v>
      </c>
      <c r="I59" s="90">
        <v>6</v>
      </c>
      <c r="J59" s="77">
        <v>40.94</v>
      </c>
      <c r="K59" s="99">
        <v>5690</v>
      </c>
      <c r="L59" s="91"/>
      <c r="M59" s="92"/>
      <c r="N59" s="78"/>
      <c r="O59" s="100"/>
      <c r="P59" s="89">
        <v>0</v>
      </c>
      <c r="Q59" s="123">
        <v>0</v>
      </c>
      <c r="R59" s="77">
        <v>0</v>
      </c>
      <c r="S59" s="99">
        <v>0</v>
      </c>
      <c r="T59" s="53">
        <f t="shared" si="0"/>
        <v>40.94</v>
      </c>
      <c r="U59" s="54">
        <f t="shared" si="1"/>
        <v>5690</v>
      </c>
      <c r="V59" s="40" t="s">
        <v>113</v>
      </c>
      <c r="W59" s="108"/>
      <c r="X59" s="40"/>
      <c r="Y59" s="108"/>
      <c r="Z59" s="40"/>
      <c r="AA59" s="113"/>
      <c r="AB59" s="56"/>
      <c r="AC59" s="55"/>
      <c r="AD59" s="58">
        <v>1805282</v>
      </c>
      <c r="AE59" s="63"/>
      <c r="AF59" s="63"/>
    </row>
    <row r="60" spans="1:32" ht="14.25" customHeight="1" thickBot="1" x14ac:dyDescent="0.3">
      <c r="A60" s="25">
        <v>1</v>
      </c>
      <c r="B60" s="31">
        <v>3503</v>
      </c>
      <c r="C60" s="27" t="s">
        <v>62</v>
      </c>
      <c r="D60" s="32" t="s">
        <v>45</v>
      </c>
      <c r="E60" s="18" t="s">
        <v>40</v>
      </c>
      <c r="F60" s="91"/>
      <c r="G60" s="92"/>
      <c r="H60" s="92"/>
      <c r="I60" s="92"/>
      <c r="J60" s="78"/>
      <c r="K60" s="100"/>
      <c r="L60" s="89">
        <v>26</v>
      </c>
      <c r="M60" s="123">
        <v>25</v>
      </c>
      <c r="N60" s="77">
        <v>2.27</v>
      </c>
      <c r="O60" s="99">
        <v>275</v>
      </c>
      <c r="P60" s="91"/>
      <c r="Q60" s="92"/>
      <c r="R60" s="78"/>
      <c r="S60" s="100"/>
      <c r="T60" s="53">
        <f t="shared" si="0"/>
        <v>2.27</v>
      </c>
      <c r="U60" s="54">
        <f t="shared" si="1"/>
        <v>275</v>
      </c>
      <c r="V60" s="40" t="s">
        <v>113</v>
      </c>
      <c r="W60" s="108"/>
      <c r="X60" s="40"/>
      <c r="Y60" s="108"/>
      <c r="Z60" s="40"/>
      <c r="AA60" s="113"/>
      <c r="AB60" s="56"/>
      <c r="AC60" s="62"/>
      <c r="AD60" s="58">
        <v>1805282</v>
      </c>
      <c r="AE60" s="59"/>
      <c r="AF60" s="59"/>
    </row>
    <row r="61" spans="1:32" ht="14.25" customHeight="1" thickBot="1" x14ac:dyDescent="0.3">
      <c r="A61" s="25">
        <v>1</v>
      </c>
      <c r="B61" s="184" t="s">
        <v>71</v>
      </c>
      <c r="C61" s="29" t="s">
        <v>64</v>
      </c>
      <c r="D61" s="32" t="s">
        <v>72</v>
      </c>
      <c r="E61" s="159" t="s">
        <v>36</v>
      </c>
      <c r="F61" s="167">
        <v>0</v>
      </c>
      <c r="G61" s="178">
        <v>0</v>
      </c>
      <c r="H61" s="178">
        <v>0</v>
      </c>
      <c r="I61" s="178">
        <v>0</v>
      </c>
      <c r="J61" s="162">
        <v>0</v>
      </c>
      <c r="K61" s="162">
        <v>0</v>
      </c>
      <c r="L61" s="179">
        <v>0</v>
      </c>
      <c r="M61" s="180">
        <v>0</v>
      </c>
      <c r="N61" s="181">
        <v>0</v>
      </c>
      <c r="O61" s="182">
        <v>0</v>
      </c>
      <c r="P61" s="167">
        <v>0</v>
      </c>
      <c r="Q61" s="164">
        <v>0</v>
      </c>
      <c r="R61" s="168">
        <v>0</v>
      </c>
      <c r="S61" s="166">
        <v>0</v>
      </c>
      <c r="T61" s="150"/>
      <c r="U61" s="151"/>
      <c r="V61" s="40" t="s">
        <v>113</v>
      </c>
      <c r="W61" s="108"/>
      <c r="X61" s="40"/>
      <c r="Y61" s="108"/>
      <c r="Z61" s="40"/>
      <c r="AA61" s="113"/>
      <c r="AB61" s="56"/>
      <c r="AC61" s="62"/>
      <c r="AD61" s="58">
        <v>1805282</v>
      </c>
      <c r="AE61" s="59"/>
      <c r="AF61" s="59"/>
    </row>
    <row r="62" spans="1:32" ht="14.25" customHeight="1" thickBot="1" x14ac:dyDescent="0.3">
      <c r="A62" s="25">
        <v>1</v>
      </c>
      <c r="B62" s="134">
        <v>1971</v>
      </c>
      <c r="C62" s="27" t="s">
        <v>73</v>
      </c>
      <c r="D62" s="32" t="s">
        <v>38</v>
      </c>
      <c r="E62" s="18" t="s">
        <v>40</v>
      </c>
      <c r="F62" s="120"/>
      <c r="G62" s="121"/>
      <c r="H62" s="90">
        <v>0</v>
      </c>
      <c r="I62" s="90">
        <v>0</v>
      </c>
      <c r="J62" s="77">
        <v>15.96</v>
      </c>
      <c r="K62" s="99">
        <v>1606</v>
      </c>
      <c r="L62" s="89">
        <v>3</v>
      </c>
      <c r="M62" s="123">
        <v>3</v>
      </c>
      <c r="N62" s="77">
        <v>0.32</v>
      </c>
      <c r="O62" s="99">
        <v>38</v>
      </c>
      <c r="P62" s="89">
        <v>15</v>
      </c>
      <c r="Q62" s="123">
        <v>15</v>
      </c>
      <c r="R62" s="77">
        <v>1.44</v>
      </c>
      <c r="S62" s="99">
        <v>69</v>
      </c>
      <c r="T62" s="53">
        <f t="shared" si="0"/>
        <v>17.720000000000002</v>
      </c>
      <c r="U62" s="54">
        <f t="shared" si="1"/>
        <v>1713</v>
      </c>
      <c r="V62" s="40" t="s">
        <v>117</v>
      </c>
      <c r="W62" s="108"/>
      <c r="X62" s="40"/>
      <c r="Y62" s="108"/>
      <c r="Z62" s="40"/>
      <c r="AA62" s="113"/>
      <c r="AB62" s="56"/>
      <c r="AC62" s="62"/>
      <c r="AD62" s="58">
        <v>1805282</v>
      </c>
      <c r="AE62" s="59"/>
      <c r="AF62" s="59"/>
    </row>
    <row r="63" spans="1:32" ht="14.25" customHeight="1" thickBot="1" x14ac:dyDescent="0.3">
      <c r="A63" s="25">
        <v>1</v>
      </c>
      <c r="B63" s="31">
        <v>1755</v>
      </c>
      <c r="C63" s="27" t="s">
        <v>73</v>
      </c>
      <c r="D63" s="32" t="s">
        <v>41</v>
      </c>
      <c r="E63" s="18" t="s">
        <v>40</v>
      </c>
      <c r="F63" s="120"/>
      <c r="G63" s="121"/>
      <c r="H63" s="90">
        <v>1</v>
      </c>
      <c r="I63" s="90">
        <v>114</v>
      </c>
      <c r="J63" s="77">
        <v>8.83</v>
      </c>
      <c r="K63" s="99">
        <v>942</v>
      </c>
      <c r="L63" s="89">
        <v>2</v>
      </c>
      <c r="M63" s="123">
        <v>2</v>
      </c>
      <c r="N63" s="77">
        <v>0.14000000000000001</v>
      </c>
      <c r="O63" s="99">
        <v>13</v>
      </c>
      <c r="P63" s="89">
        <v>11</v>
      </c>
      <c r="Q63" s="123">
        <v>11</v>
      </c>
      <c r="R63" s="77">
        <v>1.06</v>
      </c>
      <c r="S63" s="99">
        <v>52</v>
      </c>
      <c r="T63" s="53">
        <f t="shared" si="0"/>
        <v>10.030000000000001</v>
      </c>
      <c r="U63" s="54">
        <f t="shared" si="1"/>
        <v>1007</v>
      </c>
      <c r="V63" s="40" t="s">
        <v>113</v>
      </c>
      <c r="W63" s="108"/>
      <c r="X63" s="40"/>
      <c r="Y63" s="108"/>
      <c r="Z63" s="40"/>
      <c r="AA63" s="113"/>
      <c r="AB63" s="56"/>
      <c r="AC63" s="62"/>
      <c r="AD63" s="58">
        <v>1805282</v>
      </c>
      <c r="AE63" s="59"/>
      <c r="AF63" s="59"/>
    </row>
    <row r="64" spans="1:32" ht="14.25" customHeight="1" thickBot="1" x14ac:dyDescent="0.3">
      <c r="A64" s="25">
        <v>1</v>
      </c>
      <c r="B64" s="31">
        <v>1984</v>
      </c>
      <c r="C64" s="27" t="s">
        <v>73</v>
      </c>
      <c r="D64" s="32" t="s">
        <v>74</v>
      </c>
      <c r="E64" s="18" t="s">
        <v>40</v>
      </c>
      <c r="F64" s="120"/>
      <c r="G64" s="121"/>
      <c r="H64" s="90">
        <v>11</v>
      </c>
      <c r="I64" s="90">
        <v>0</v>
      </c>
      <c r="J64" s="77">
        <v>21.81</v>
      </c>
      <c r="K64" s="99">
        <v>2457</v>
      </c>
      <c r="L64" s="89">
        <v>4</v>
      </c>
      <c r="M64" s="123">
        <v>0</v>
      </c>
      <c r="N64" s="77">
        <v>0.33</v>
      </c>
      <c r="O64" s="99">
        <v>37</v>
      </c>
      <c r="P64" s="89">
        <v>9</v>
      </c>
      <c r="Q64" s="123">
        <v>9</v>
      </c>
      <c r="R64" s="77">
        <v>0.86</v>
      </c>
      <c r="S64" s="99">
        <v>51</v>
      </c>
      <c r="T64" s="53">
        <f t="shared" si="0"/>
        <v>22.999999999999996</v>
      </c>
      <c r="U64" s="54">
        <f t="shared" si="1"/>
        <v>2545</v>
      </c>
      <c r="V64" s="40" t="s">
        <v>118</v>
      </c>
      <c r="W64" s="108"/>
      <c r="X64" s="40"/>
      <c r="Y64" s="108"/>
      <c r="Z64" s="40"/>
      <c r="AA64" s="113"/>
      <c r="AB64" s="56"/>
      <c r="AC64" s="62"/>
      <c r="AD64" s="58">
        <v>1805282</v>
      </c>
      <c r="AE64" s="59"/>
      <c r="AF64" s="59"/>
    </row>
    <row r="65" spans="1:32" ht="14.25" customHeight="1" thickBot="1" x14ac:dyDescent="0.3">
      <c r="A65" s="25">
        <v>1</v>
      </c>
      <c r="B65" s="71">
        <v>1971</v>
      </c>
      <c r="C65" s="157" t="s">
        <v>111</v>
      </c>
      <c r="D65" s="158" t="s">
        <v>38</v>
      </c>
      <c r="E65" s="18" t="s">
        <v>40</v>
      </c>
      <c r="F65" s="125"/>
      <c r="G65" s="126"/>
      <c r="H65" s="126"/>
      <c r="I65" s="126"/>
      <c r="J65" s="127">
        <v>0</v>
      </c>
      <c r="K65" s="127">
        <v>0</v>
      </c>
      <c r="L65" s="125"/>
      <c r="M65" s="128"/>
      <c r="N65" s="129"/>
      <c r="O65" s="130"/>
      <c r="P65" s="125"/>
      <c r="Q65" s="128"/>
      <c r="R65" s="129"/>
      <c r="S65" s="130"/>
      <c r="T65" s="131"/>
      <c r="U65" s="132"/>
      <c r="V65" s="40" t="s">
        <v>117</v>
      </c>
      <c r="W65" s="108"/>
      <c r="X65" s="40"/>
      <c r="Y65" s="108"/>
      <c r="Z65" s="40"/>
      <c r="AA65" s="113"/>
      <c r="AB65" s="64"/>
      <c r="AC65" s="55"/>
      <c r="AD65" s="58">
        <v>1805282</v>
      </c>
      <c r="AE65" s="63"/>
      <c r="AF65" s="63"/>
    </row>
    <row r="66" spans="1:32" ht="14.25" customHeight="1" thickBot="1" x14ac:dyDescent="0.3">
      <c r="A66" s="25">
        <v>1</v>
      </c>
      <c r="B66" s="71">
        <v>1984</v>
      </c>
      <c r="C66" s="157" t="s">
        <v>111</v>
      </c>
      <c r="D66" s="158" t="s">
        <v>74</v>
      </c>
      <c r="E66" s="18" t="s">
        <v>40</v>
      </c>
      <c r="F66" s="125"/>
      <c r="G66" s="126"/>
      <c r="H66" s="126"/>
      <c r="I66" s="126"/>
      <c r="J66" s="127">
        <v>0</v>
      </c>
      <c r="K66" s="127">
        <v>0</v>
      </c>
      <c r="L66" s="125"/>
      <c r="M66" s="128"/>
      <c r="N66" s="129"/>
      <c r="O66" s="130"/>
      <c r="P66" s="125"/>
      <c r="Q66" s="128"/>
      <c r="R66" s="129"/>
      <c r="S66" s="130"/>
      <c r="T66" s="131"/>
      <c r="U66" s="132"/>
      <c r="V66" s="40" t="s">
        <v>118</v>
      </c>
      <c r="W66" s="108"/>
      <c r="X66" s="40"/>
      <c r="Y66" s="108"/>
      <c r="Z66" s="40"/>
      <c r="AA66" s="113"/>
      <c r="AB66" s="64"/>
      <c r="AC66" s="55"/>
      <c r="AD66" s="58">
        <v>1805282</v>
      </c>
      <c r="AE66" s="63"/>
      <c r="AF66" s="63"/>
    </row>
    <row r="67" spans="1:32" ht="14.25" customHeight="1" thickBot="1" x14ac:dyDescent="0.3">
      <c r="A67" s="25">
        <v>1</v>
      </c>
      <c r="B67" s="134">
        <v>6760</v>
      </c>
      <c r="C67" s="26" t="s">
        <v>58</v>
      </c>
      <c r="D67" s="32" t="s">
        <v>38</v>
      </c>
      <c r="E67" s="19" t="s">
        <v>36</v>
      </c>
      <c r="F67" s="138">
        <v>105</v>
      </c>
      <c r="G67" s="139">
        <v>106</v>
      </c>
      <c r="H67" s="139">
        <v>1</v>
      </c>
      <c r="I67" s="139">
        <v>0</v>
      </c>
      <c r="J67" s="140">
        <v>11.22</v>
      </c>
      <c r="K67" s="141">
        <v>1661</v>
      </c>
      <c r="L67" s="138">
        <v>10</v>
      </c>
      <c r="M67" s="123">
        <v>10</v>
      </c>
      <c r="N67" s="140">
        <v>0.93</v>
      </c>
      <c r="O67" s="141">
        <v>102</v>
      </c>
      <c r="P67" s="138">
        <v>0</v>
      </c>
      <c r="Q67" s="123">
        <v>0</v>
      </c>
      <c r="R67" s="140">
        <v>0</v>
      </c>
      <c r="S67" s="141">
        <v>0</v>
      </c>
      <c r="T67" s="53">
        <f t="shared" si="0"/>
        <v>12.15</v>
      </c>
      <c r="U67" s="54">
        <f t="shared" si="1"/>
        <v>1763</v>
      </c>
      <c r="V67" s="40" t="s">
        <v>113</v>
      </c>
      <c r="W67" s="108"/>
      <c r="X67" s="40"/>
      <c r="Y67" s="108"/>
      <c r="Z67" s="40"/>
      <c r="AA67" s="113"/>
      <c r="AB67" s="56"/>
      <c r="AC67" s="62"/>
      <c r="AD67" s="58">
        <v>1805282</v>
      </c>
      <c r="AE67" s="59"/>
      <c r="AF67" s="59"/>
    </row>
    <row r="68" spans="1:32" ht="14.25" customHeight="1" thickBot="1" x14ac:dyDescent="0.3">
      <c r="A68" s="25">
        <v>1</v>
      </c>
      <c r="B68" s="134">
        <v>15733</v>
      </c>
      <c r="C68" s="26" t="s">
        <v>61</v>
      </c>
      <c r="D68" s="32" t="s">
        <v>110</v>
      </c>
      <c r="E68" s="19" t="s">
        <v>40</v>
      </c>
      <c r="F68" s="138">
        <v>1702</v>
      </c>
      <c r="G68" s="139">
        <v>854</v>
      </c>
      <c r="H68" s="139">
        <v>16</v>
      </c>
      <c r="I68" s="139">
        <v>0</v>
      </c>
      <c r="J68" s="140">
        <v>209.66</v>
      </c>
      <c r="K68" s="141">
        <v>30097</v>
      </c>
      <c r="L68" s="142"/>
      <c r="M68" s="143"/>
      <c r="N68" s="144"/>
      <c r="O68" s="145"/>
      <c r="P68" s="138">
        <v>0</v>
      </c>
      <c r="Q68" s="123">
        <v>0</v>
      </c>
      <c r="R68" s="140">
        <v>0</v>
      </c>
      <c r="S68" s="141">
        <v>0</v>
      </c>
      <c r="T68" s="53">
        <f t="shared" si="0"/>
        <v>209.66</v>
      </c>
      <c r="U68" s="54">
        <f t="shared" si="1"/>
        <v>30097</v>
      </c>
      <c r="V68" s="40" t="s">
        <v>113</v>
      </c>
      <c r="W68" s="108"/>
      <c r="X68" s="40"/>
      <c r="Y68" s="108"/>
      <c r="Z68" s="40"/>
      <c r="AA68" s="113"/>
      <c r="AB68" s="56"/>
      <c r="AC68" s="62"/>
      <c r="AD68" s="58">
        <v>1805282</v>
      </c>
      <c r="AE68" s="59"/>
      <c r="AF68" s="59"/>
    </row>
    <row r="69" spans="1:32" ht="14.25" customHeight="1" thickBot="1" x14ac:dyDescent="0.3">
      <c r="A69" s="25">
        <v>1</v>
      </c>
      <c r="B69" s="134">
        <v>15733</v>
      </c>
      <c r="C69" s="26" t="s">
        <v>62</v>
      </c>
      <c r="D69" s="32" t="s">
        <v>110</v>
      </c>
      <c r="E69" s="19" t="s">
        <v>40</v>
      </c>
      <c r="F69" s="142"/>
      <c r="G69" s="143"/>
      <c r="H69" s="143"/>
      <c r="I69" s="143"/>
      <c r="J69" s="144"/>
      <c r="K69" s="145"/>
      <c r="L69" s="138">
        <v>105</v>
      </c>
      <c r="M69" s="123">
        <v>56</v>
      </c>
      <c r="N69" s="140">
        <v>10.39</v>
      </c>
      <c r="O69" s="141">
        <v>1176</v>
      </c>
      <c r="P69" s="142"/>
      <c r="Q69" s="143"/>
      <c r="R69" s="144"/>
      <c r="S69" s="145"/>
      <c r="T69" s="53">
        <f t="shared" si="0"/>
        <v>10.39</v>
      </c>
      <c r="U69" s="54">
        <f t="shared" si="1"/>
        <v>1176</v>
      </c>
      <c r="V69" s="40" t="s">
        <v>113</v>
      </c>
      <c r="W69" s="108"/>
      <c r="X69" s="40"/>
      <c r="Y69" s="108"/>
      <c r="Z69" s="40"/>
      <c r="AA69" s="113"/>
      <c r="AB69" s="56"/>
      <c r="AC69" s="62"/>
      <c r="AD69" s="58">
        <v>1805282</v>
      </c>
      <c r="AE69" s="59"/>
      <c r="AF69" s="59"/>
    </row>
    <row r="70" spans="1:32" ht="14.25" customHeight="1" thickBot="1" x14ac:dyDescent="0.3">
      <c r="A70" s="25">
        <v>1</v>
      </c>
      <c r="B70" s="31">
        <v>5641</v>
      </c>
      <c r="C70" s="27" t="s">
        <v>34</v>
      </c>
      <c r="D70" s="32" t="s">
        <v>75</v>
      </c>
      <c r="E70" s="19" t="s">
        <v>40</v>
      </c>
      <c r="F70" s="138">
        <v>78</v>
      </c>
      <c r="G70" s="139">
        <v>85</v>
      </c>
      <c r="H70" s="139">
        <v>8</v>
      </c>
      <c r="I70" s="139">
        <v>0</v>
      </c>
      <c r="J70" s="140">
        <v>8.3800000000000008</v>
      </c>
      <c r="K70" s="141">
        <v>1427</v>
      </c>
      <c r="L70" s="138">
        <v>7</v>
      </c>
      <c r="M70" s="123">
        <v>7</v>
      </c>
      <c r="N70" s="140">
        <v>0.68</v>
      </c>
      <c r="O70" s="141">
        <v>92</v>
      </c>
      <c r="P70" s="138">
        <v>2</v>
      </c>
      <c r="Q70" s="123">
        <v>2</v>
      </c>
      <c r="R70" s="140">
        <v>0.22</v>
      </c>
      <c r="S70" s="141">
        <v>14</v>
      </c>
      <c r="T70" s="53">
        <f t="shared" si="0"/>
        <v>9.2800000000000011</v>
      </c>
      <c r="U70" s="54">
        <f t="shared" si="1"/>
        <v>1533</v>
      </c>
      <c r="V70" s="40" t="s">
        <v>113</v>
      </c>
      <c r="W70" s="108"/>
      <c r="X70" s="40"/>
      <c r="Y70" s="108"/>
      <c r="Z70" s="40"/>
      <c r="AA70" s="113"/>
      <c r="AB70" s="56"/>
      <c r="AC70" s="62"/>
      <c r="AD70" s="58">
        <v>1805282</v>
      </c>
      <c r="AE70" s="59"/>
      <c r="AF70" s="59"/>
    </row>
    <row r="71" spans="1:32" ht="14.25" customHeight="1" thickBot="1" x14ac:dyDescent="0.3">
      <c r="A71" s="25">
        <v>1</v>
      </c>
      <c r="B71" s="31">
        <v>5405</v>
      </c>
      <c r="C71" s="27" t="s">
        <v>49</v>
      </c>
      <c r="D71" s="32" t="s">
        <v>75</v>
      </c>
      <c r="E71" s="19" t="s">
        <v>36</v>
      </c>
      <c r="F71" s="138">
        <v>108</v>
      </c>
      <c r="G71" s="139">
        <v>92</v>
      </c>
      <c r="H71" s="139">
        <v>0</v>
      </c>
      <c r="I71" s="139">
        <v>0</v>
      </c>
      <c r="J71" s="140">
        <v>10.11</v>
      </c>
      <c r="K71" s="141">
        <v>1584</v>
      </c>
      <c r="L71" s="138">
        <v>7</v>
      </c>
      <c r="M71" s="123">
        <v>7</v>
      </c>
      <c r="N71" s="140">
        <v>0.49</v>
      </c>
      <c r="O71" s="141">
        <v>53</v>
      </c>
      <c r="P71" s="138">
        <v>1</v>
      </c>
      <c r="Q71" s="123">
        <v>1</v>
      </c>
      <c r="R71" s="140">
        <v>0.09</v>
      </c>
      <c r="S71" s="141">
        <v>9</v>
      </c>
      <c r="T71" s="53">
        <f t="shared" si="0"/>
        <v>10.69</v>
      </c>
      <c r="U71" s="54">
        <f t="shared" si="1"/>
        <v>1646</v>
      </c>
      <c r="V71" s="40" t="s">
        <v>113</v>
      </c>
      <c r="W71" s="108"/>
      <c r="X71" s="40"/>
      <c r="Y71" s="108"/>
      <c r="Z71" s="40"/>
      <c r="AA71" s="113"/>
      <c r="AB71" s="56"/>
      <c r="AC71" s="62"/>
      <c r="AD71" s="58">
        <v>1805282</v>
      </c>
      <c r="AE71" s="59"/>
      <c r="AF71" s="59"/>
    </row>
    <row r="72" spans="1:32" ht="14.25" customHeight="1" thickBot="1" x14ac:dyDescent="0.3">
      <c r="A72" s="25">
        <v>1</v>
      </c>
      <c r="B72" s="31">
        <v>2972</v>
      </c>
      <c r="C72" s="27" t="s">
        <v>58</v>
      </c>
      <c r="D72" s="32" t="s">
        <v>75</v>
      </c>
      <c r="E72" s="19" t="s">
        <v>36</v>
      </c>
      <c r="F72" s="138">
        <v>60</v>
      </c>
      <c r="G72" s="139">
        <v>60</v>
      </c>
      <c r="H72" s="139">
        <v>0</v>
      </c>
      <c r="I72" s="139">
        <v>0</v>
      </c>
      <c r="J72" s="140">
        <v>6.54</v>
      </c>
      <c r="K72" s="141">
        <v>916</v>
      </c>
      <c r="L72" s="138">
        <v>10</v>
      </c>
      <c r="M72" s="123">
        <v>10</v>
      </c>
      <c r="N72" s="140">
        <v>0.96</v>
      </c>
      <c r="O72" s="141">
        <v>106</v>
      </c>
      <c r="P72" s="138">
        <v>0</v>
      </c>
      <c r="Q72" s="123">
        <v>0</v>
      </c>
      <c r="R72" s="140">
        <v>0</v>
      </c>
      <c r="S72" s="141">
        <v>0</v>
      </c>
      <c r="T72" s="53">
        <f t="shared" ref="T72:U72" si="6">+J72+N72+R72</f>
        <v>7.5</v>
      </c>
      <c r="U72" s="54">
        <f t="shared" si="6"/>
        <v>1022</v>
      </c>
      <c r="V72" s="40" t="s">
        <v>113</v>
      </c>
      <c r="W72" s="108"/>
      <c r="X72" s="40"/>
      <c r="Y72" s="108"/>
      <c r="Z72" s="40"/>
      <c r="AA72" s="113"/>
      <c r="AB72" s="56"/>
      <c r="AC72" s="62"/>
      <c r="AD72" s="58">
        <v>1805282</v>
      </c>
      <c r="AE72" s="59"/>
      <c r="AF72" s="59"/>
    </row>
    <row r="73" spans="1:32" ht="14.25" customHeight="1" thickBot="1" x14ac:dyDescent="0.3">
      <c r="A73" s="33">
        <v>1</v>
      </c>
      <c r="B73" s="34">
        <v>17019</v>
      </c>
      <c r="C73" s="35" t="s">
        <v>46</v>
      </c>
      <c r="D73" s="36" t="s">
        <v>112</v>
      </c>
      <c r="E73" s="20" t="s">
        <v>40</v>
      </c>
      <c r="F73" s="146">
        <v>68</v>
      </c>
      <c r="G73" s="147">
        <v>44</v>
      </c>
      <c r="H73" s="147">
        <v>8</v>
      </c>
      <c r="I73" s="147">
        <v>32</v>
      </c>
      <c r="J73" s="148">
        <v>7.05</v>
      </c>
      <c r="K73" s="149">
        <v>881</v>
      </c>
      <c r="L73" s="146">
        <v>12</v>
      </c>
      <c r="M73" s="124">
        <v>25</v>
      </c>
      <c r="N73" s="148">
        <v>1.22</v>
      </c>
      <c r="O73" s="149">
        <v>123</v>
      </c>
      <c r="P73" s="146">
        <v>0</v>
      </c>
      <c r="Q73" s="124">
        <v>0</v>
      </c>
      <c r="R73" s="148">
        <v>0</v>
      </c>
      <c r="S73" s="149">
        <v>0</v>
      </c>
      <c r="T73" s="65">
        <f t="shared" ref="T73" si="7">+J73+N73+R73</f>
        <v>8.27</v>
      </c>
      <c r="U73" s="66">
        <f t="shared" ref="U73" si="8">+K73+O73+S73</f>
        <v>1004</v>
      </c>
      <c r="V73" s="42" t="s">
        <v>113</v>
      </c>
      <c r="W73" s="110"/>
      <c r="X73" s="42"/>
      <c r="Y73" s="110"/>
      <c r="Z73" s="42"/>
      <c r="AA73" s="115"/>
      <c r="AB73" s="67"/>
      <c r="AC73" s="68"/>
      <c r="AD73" s="58"/>
      <c r="AE73" s="69"/>
      <c r="AF73" s="69"/>
    </row>
    <row r="74" spans="1:32" ht="14.25" customHeight="1" x14ac:dyDescent="0.25">
      <c r="C74" s="11"/>
      <c r="F74" s="79"/>
    </row>
    <row r="75" spans="1:32" ht="14.25" customHeight="1" x14ac:dyDescent="0.25">
      <c r="C75" s="11"/>
      <c r="F75" s="79"/>
    </row>
    <row r="76" spans="1:32" ht="14.25" customHeight="1" x14ac:dyDescent="0.25">
      <c r="C76" s="11"/>
      <c r="F76" s="79"/>
    </row>
    <row r="77" spans="1:32" ht="14.25" customHeight="1" x14ac:dyDescent="0.25">
      <c r="C77" s="11"/>
      <c r="F77" s="79"/>
    </row>
    <row r="78" spans="1:32" ht="14.25" customHeight="1" x14ac:dyDescent="0.25">
      <c r="C78" s="11"/>
      <c r="F78" s="79"/>
    </row>
    <row r="79" spans="1:32" ht="14.25" customHeight="1" x14ac:dyDescent="0.25">
      <c r="C79" s="11"/>
      <c r="F79" s="79"/>
    </row>
    <row r="80" spans="1:32" ht="14.25" customHeight="1" x14ac:dyDescent="0.25">
      <c r="C80" s="11"/>
      <c r="F80" s="79"/>
    </row>
    <row r="81" spans="3:6" ht="14.25" customHeight="1" x14ac:dyDescent="0.25">
      <c r="C81" s="11"/>
      <c r="F81" s="79"/>
    </row>
    <row r="82" spans="3:6" ht="14.25" customHeight="1" x14ac:dyDescent="0.25">
      <c r="C82" s="11"/>
      <c r="F82" s="79"/>
    </row>
    <row r="83" spans="3:6" ht="14.25" customHeight="1" x14ac:dyDescent="0.25">
      <c r="C83" s="11"/>
      <c r="F83" s="79"/>
    </row>
    <row r="84" spans="3:6" ht="14.25" customHeight="1" x14ac:dyDescent="0.25">
      <c r="C84" s="11"/>
      <c r="F84" s="79"/>
    </row>
    <row r="85" spans="3:6" ht="14.25" customHeight="1" x14ac:dyDescent="0.25">
      <c r="C85" s="11"/>
      <c r="F85" s="79"/>
    </row>
    <row r="86" spans="3:6" ht="14.25" customHeight="1" x14ac:dyDescent="0.25">
      <c r="C86" s="11"/>
      <c r="F86" s="79"/>
    </row>
    <row r="87" spans="3:6" ht="14.25" customHeight="1" x14ac:dyDescent="0.25">
      <c r="C87" s="11"/>
      <c r="F87" s="79"/>
    </row>
    <row r="88" spans="3:6" ht="14.25" customHeight="1" x14ac:dyDescent="0.25">
      <c r="C88" s="11"/>
      <c r="F88" s="79"/>
    </row>
    <row r="89" spans="3:6" ht="14.25" customHeight="1" x14ac:dyDescent="0.25">
      <c r="C89" s="11"/>
      <c r="F89" s="79"/>
    </row>
    <row r="90" spans="3:6" ht="14.25" customHeight="1" x14ac:dyDescent="0.25">
      <c r="C90" s="11"/>
      <c r="F90" s="79"/>
    </row>
    <row r="91" spans="3:6" ht="14.25" customHeight="1" x14ac:dyDescent="0.25">
      <c r="C91" s="11"/>
      <c r="F91" s="79"/>
    </row>
    <row r="92" spans="3:6" ht="14.25" customHeight="1" x14ac:dyDescent="0.25">
      <c r="C92" s="11"/>
      <c r="F92" s="79"/>
    </row>
    <row r="93" spans="3:6" ht="14.25" customHeight="1" x14ac:dyDescent="0.25">
      <c r="C93" s="11"/>
      <c r="F93" s="79"/>
    </row>
    <row r="94" spans="3:6" ht="14.25" customHeight="1" x14ac:dyDescent="0.25">
      <c r="C94" s="11"/>
      <c r="F94" s="79"/>
    </row>
    <row r="95" spans="3:6" ht="14.25" customHeight="1" x14ac:dyDescent="0.25">
      <c r="C95" s="11"/>
      <c r="F95" s="79"/>
    </row>
    <row r="96" spans="3:6" ht="14.25" customHeight="1" x14ac:dyDescent="0.25">
      <c r="C96" s="11"/>
      <c r="F96" s="79"/>
    </row>
    <row r="97" spans="3:6" ht="14.25" customHeight="1" x14ac:dyDescent="0.25">
      <c r="C97" s="11"/>
      <c r="F97" s="79"/>
    </row>
    <row r="98" spans="3:6" ht="14.25" customHeight="1" x14ac:dyDescent="0.25">
      <c r="C98" s="11"/>
      <c r="F98" s="79"/>
    </row>
    <row r="99" spans="3:6" ht="14.25" customHeight="1" x14ac:dyDescent="0.25">
      <c r="C99" s="11"/>
      <c r="F99" s="79"/>
    </row>
    <row r="100" spans="3:6" ht="14.25" customHeight="1" x14ac:dyDescent="0.25">
      <c r="C100" s="11"/>
      <c r="F100" s="79"/>
    </row>
    <row r="101" spans="3:6" ht="14.25" customHeight="1" x14ac:dyDescent="0.25">
      <c r="C101" s="11"/>
      <c r="F101" s="79"/>
    </row>
    <row r="102" spans="3:6" ht="14.25" customHeight="1" x14ac:dyDescent="0.25">
      <c r="C102" s="11"/>
      <c r="F102" s="79"/>
    </row>
    <row r="103" spans="3:6" ht="14.25" customHeight="1" x14ac:dyDescent="0.25">
      <c r="C103" s="11"/>
      <c r="F103" s="79"/>
    </row>
    <row r="104" spans="3:6" ht="14.25" customHeight="1" x14ac:dyDescent="0.25">
      <c r="C104" s="11"/>
      <c r="F104" s="79"/>
    </row>
    <row r="105" spans="3:6" ht="14.25" customHeight="1" x14ac:dyDescent="0.25">
      <c r="C105" s="11"/>
      <c r="F105" s="79"/>
    </row>
    <row r="106" spans="3:6" ht="14.25" customHeight="1" x14ac:dyDescent="0.25">
      <c r="C106" s="11"/>
      <c r="F106" s="79"/>
    </row>
    <row r="107" spans="3:6" ht="14.25" customHeight="1" x14ac:dyDescent="0.25">
      <c r="C107" s="11"/>
      <c r="F107" s="79"/>
    </row>
    <row r="108" spans="3:6" ht="14.25" customHeight="1" x14ac:dyDescent="0.25">
      <c r="C108" s="11"/>
      <c r="F108" s="79"/>
    </row>
    <row r="109" spans="3:6" ht="14.25" customHeight="1" x14ac:dyDescent="0.25">
      <c r="C109" s="11"/>
      <c r="F109" s="79"/>
    </row>
    <row r="110" spans="3:6" ht="14.25" customHeight="1" x14ac:dyDescent="0.25">
      <c r="C110" s="11"/>
      <c r="F110" s="79"/>
    </row>
    <row r="111" spans="3:6" ht="14.25" customHeight="1" x14ac:dyDescent="0.25">
      <c r="C111" s="11"/>
      <c r="F111" s="79"/>
    </row>
    <row r="112" spans="3:6" ht="14.25" customHeight="1" x14ac:dyDescent="0.25">
      <c r="C112" s="11"/>
      <c r="F112" s="79"/>
    </row>
    <row r="113" spans="3:6" ht="14.25" customHeight="1" x14ac:dyDescent="0.25">
      <c r="C113" s="11"/>
      <c r="F113" s="79"/>
    </row>
    <row r="114" spans="3:6" ht="14.25" customHeight="1" x14ac:dyDescent="0.25">
      <c r="C114" s="11"/>
      <c r="F114" s="79"/>
    </row>
    <row r="115" spans="3:6" ht="14.25" customHeight="1" x14ac:dyDescent="0.25">
      <c r="C115" s="11"/>
      <c r="F115" s="79"/>
    </row>
    <row r="116" spans="3:6" ht="14.25" customHeight="1" x14ac:dyDescent="0.25">
      <c r="C116" s="11"/>
      <c r="F116" s="79"/>
    </row>
    <row r="117" spans="3:6" ht="14.25" customHeight="1" x14ac:dyDescent="0.25">
      <c r="C117" s="11"/>
      <c r="F117" s="79"/>
    </row>
    <row r="118" spans="3:6" ht="14.25" customHeight="1" x14ac:dyDescent="0.25">
      <c r="C118" s="11"/>
      <c r="F118" s="79"/>
    </row>
    <row r="119" spans="3:6" ht="14.25" customHeight="1" x14ac:dyDescent="0.25">
      <c r="C119" s="11"/>
      <c r="F119" s="79"/>
    </row>
    <row r="120" spans="3:6" ht="14.25" customHeight="1" x14ac:dyDescent="0.25">
      <c r="C120" s="11"/>
      <c r="F120" s="79"/>
    </row>
    <row r="121" spans="3:6" ht="14.25" customHeight="1" x14ac:dyDescent="0.25">
      <c r="C121" s="11"/>
      <c r="F121" s="79"/>
    </row>
    <row r="122" spans="3:6" ht="14.25" customHeight="1" x14ac:dyDescent="0.25">
      <c r="C122" s="11"/>
      <c r="F122" s="79"/>
    </row>
    <row r="123" spans="3:6" ht="14.25" customHeight="1" x14ac:dyDescent="0.25">
      <c r="C123" s="11"/>
      <c r="F123" s="79"/>
    </row>
    <row r="124" spans="3:6" ht="14.25" customHeight="1" x14ac:dyDescent="0.25">
      <c r="C124" s="11"/>
      <c r="F124" s="79"/>
    </row>
    <row r="125" spans="3:6" ht="14.25" customHeight="1" x14ac:dyDescent="0.25">
      <c r="C125" s="11"/>
      <c r="F125" s="79"/>
    </row>
    <row r="126" spans="3:6" ht="14.25" customHeight="1" x14ac:dyDescent="0.25">
      <c r="C126" s="11"/>
      <c r="F126" s="79"/>
    </row>
    <row r="127" spans="3:6" ht="14.25" customHeight="1" x14ac:dyDescent="0.25">
      <c r="C127" s="11"/>
      <c r="F127" s="79"/>
    </row>
    <row r="128" spans="3:6" ht="14.25" customHeight="1" x14ac:dyDescent="0.25">
      <c r="C128" s="11"/>
      <c r="F128" s="79"/>
    </row>
    <row r="129" spans="3:6" ht="14.25" customHeight="1" x14ac:dyDescent="0.25">
      <c r="C129" s="11"/>
      <c r="F129" s="79"/>
    </row>
    <row r="130" spans="3:6" ht="14.25" customHeight="1" x14ac:dyDescent="0.25">
      <c r="C130" s="11"/>
      <c r="F130" s="79"/>
    </row>
    <row r="131" spans="3:6" ht="14.25" customHeight="1" x14ac:dyDescent="0.25">
      <c r="C131" s="11"/>
      <c r="F131" s="79"/>
    </row>
    <row r="132" spans="3:6" ht="14.25" customHeight="1" x14ac:dyDescent="0.25">
      <c r="C132" s="11"/>
      <c r="F132" s="79"/>
    </row>
    <row r="133" spans="3:6" ht="14.25" customHeight="1" x14ac:dyDescent="0.25">
      <c r="C133" s="11"/>
      <c r="F133" s="79"/>
    </row>
    <row r="134" spans="3:6" ht="14.25" customHeight="1" x14ac:dyDescent="0.25">
      <c r="C134" s="11"/>
      <c r="F134" s="79"/>
    </row>
    <row r="135" spans="3:6" ht="14.25" customHeight="1" x14ac:dyDescent="0.25">
      <c r="C135" s="11"/>
      <c r="F135" s="79"/>
    </row>
    <row r="136" spans="3:6" ht="14.25" customHeight="1" x14ac:dyDescent="0.25">
      <c r="C136" s="11"/>
      <c r="F136" s="79"/>
    </row>
    <row r="137" spans="3:6" ht="14.25" customHeight="1" x14ac:dyDescent="0.25">
      <c r="C137" s="11"/>
      <c r="F137" s="79"/>
    </row>
    <row r="138" spans="3:6" ht="14.25" customHeight="1" x14ac:dyDescent="0.25">
      <c r="C138" s="11"/>
      <c r="F138" s="79"/>
    </row>
    <row r="139" spans="3:6" ht="14.25" customHeight="1" x14ac:dyDescent="0.25">
      <c r="C139" s="11"/>
      <c r="F139" s="79"/>
    </row>
    <row r="140" spans="3:6" ht="14.25" customHeight="1" x14ac:dyDescent="0.25">
      <c r="C140" s="11"/>
      <c r="F140" s="79"/>
    </row>
    <row r="141" spans="3:6" ht="14.25" customHeight="1" x14ac:dyDescent="0.25">
      <c r="C141" s="11"/>
      <c r="F141" s="79"/>
    </row>
    <row r="142" spans="3:6" ht="14.25" customHeight="1" x14ac:dyDescent="0.25">
      <c r="C142" s="11"/>
      <c r="F142" s="79"/>
    </row>
    <row r="143" spans="3:6" ht="14.25" customHeight="1" x14ac:dyDescent="0.25">
      <c r="C143" s="11"/>
      <c r="F143" s="79"/>
    </row>
    <row r="144" spans="3:6" ht="14.25" customHeight="1" x14ac:dyDescent="0.25">
      <c r="C144" s="11"/>
      <c r="F144" s="79"/>
    </row>
    <row r="145" spans="3:6" ht="14.25" customHeight="1" x14ac:dyDescent="0.25">
      <c r="C145" s="11"/>
      <c r="F145" s="79"/>
    </row>
    <row r="146" spans="3:6" ht="14.25" customHeight="1" x14ac:dyDescent="0.25">
      <c r="C146" s="11"/>
      <c r="F146" s="79"/>
    </row>
    <row r="147" spans="3:6" ht="14.25" customHeight="1" x14ac:dyDescent="0.25">
      <c r="C147" s="11"/>
      <c r="F147" s="79"/>
    </row>
    <row r="148" spans="3:6" ht="14.25" customHeight="1" x14ac:dyDescent="0.25">
      <c r="C148" s="11"/>
      <c r="F148" s="79"/>
    </row>
    <row r="149" spans="3:6" ht="14.25" customHeight="1" x14ac:dyDescent="0.25">
      <c r="C149" s="11"/>
      <c r="F149" s="79"/>
    </row>
    <row r="150" spans="3:6" ht="14.25" customHeight="1" x14ac:dyDescent="0.25">
      <c r="C150" s="11"/>
      <c r="F150" s="79"/>
    </row>
    <row r="151" spans="3:6" ht="14.25" customHeight="1" x14ac:dyDescent="0.25">
      <c r="C151" s="11"/>
      <c r="F151" s="79"/>
    </row>
    <row r="152" spans="3:6" ht="14.25" customHeight="1" x14ac:dyDescent="0.25">
      <c r="C152" s="11"/>
      <c r="F152" s="79"/>
    </row>
    <row r="153" spans="3:6" ht="14.25" customHeight="1" x14ac:dyDescent="0.25">
      <c r="C153" s="11"/>
      <c r="F153" s="79"/>
    </row>
    <row r="154" spans="3:6" ht="14.25" customHeight="1" x14ac:dyDescent="0.25">
      <c r="C154" s="11"/>
      <c r="F154" s="79"/>
    </row>
    <row r="155" spans="3:6" ht="14.25" customHeight="1" x14ac:dyDescent="0.25">
      <c r="C155" s="11"/>
      <c r="F155" s="79"/>
    </row>
    <row r="156" spans="3:6" ht="14.25" customHeight="1" x14ac:dyDescent="0.25">
      <c r="C156" s="11"/>
      <c r="F156" s="79"/>
    </row>
    <row r="157" spans="3:6" ht="14.25" customHeight="1" x14ac:dyDescent="0.25">
      <c r="C157" s="11"/>
      <c r="F157" s="79"/>
    </row>
    <row r="158" spans="3:6" ht="14.25" customHeight="1" x14ac:dyDescent="0.25">
      <c r="C158" s="11"/>
      <c r="F158" s="79"/>
    </row>
    <row r="159" spans="3:6" ht="14.25" customHeight="1" x14ac:dyDescent="0.25">
      <c r="C159" s="11"/>
      <c r="F159" s="79"/>
    </row>
    <row r="160" spans="3:6" ht="14.25" customHeight="1" x14ac:dyDescent="0.25">
      <c r="C160" s="11"/>
      <c r="F160" s="79"/>
    </row>
    <row r="161" spans="3:6" ht="14.25" customHeight="1" x14ac:dyDescent="0.25">
      <c r="C161" s="11"/>
      <c r="F161" s="79"/>
    </row>
    <row r="162" spans="3:6" ht="14.25" customHeight="1" x14ac:dyDescent="0.25">
      <c r="C162" s="11"/>
      <c r="F162" s="79"/>
    </row>
    <row r="163" spans="3:6" ht="14.25" customHeight="1" x14ac:dyDescent="0.25">
      <c r="C163" s="11"/>
      <c r="F163" s="79"/>
    </row>
    <row r="164" spans="3:6" ht="14.25" customHeight="1" x14ac:dyDescent="0.25">
      <c r="C164" s="11"/>
      <c r="F164" s="79"/>
    </row>
    <row r="165" spans="3:6" ht="14.25" customHeight="1" x14ac:dyDescent="0.25">
      <c r="C165" s="11"/>
      <c r="F165" s="79"/>
    </row>
    <row r="166" spans="3:6" ht="14.25" customHeight="1" x14ac:dyDescent="0.25">
      <c r="C166" s="11"/>
      <c r="F166" s="79"/>
    </row>
    <row r="167" spans="3:6" ht="14.25" customHeight="1" x14ac:dyDescent="0.25">
      <c r="C167" s="11"/>
      <c r="F167" s="79"/>
    </row>
    <row r="168" spans="3:6" ht="14.25" customHeight="1" x14ac:dyDescent="0.25">
      <c r="C168" s="11"/>
      <c r="F168" s="79"/>
    </row>
    <row r="169" spans="3:6" ht="14.25" customHeight="1" x14ac:dyDescent="0.25">
      <c r="C169" s="11"/>
      <c r="F169" s="79"/>
    </row>
    <row r="170" spans="3:6" ht="14.25" customHeight="1" x14ac:dyDescent="0.25">
      <c r="C170" s="11"/>
      <c r="F170" s="79"/>
    </row>
    <row r="171" spans="3:6" ht="14.25" customHeight="1" x14ac:dyDescent="0.25">
      <c r="C171" s="11"/>
      <c r="F171" s="79"/>
    </row>
    <row r="172" spans="3:6" ht="14.25" customHeight="1" x14ac:dyDescent="0.25">
      <c r="C172" s="11"/>
      <c r="F172" s="79"/>
    </row>
    <row r="173" spans="3:6" ht="14.25" customHeight="1" x14ac:dyDescent="0.25">
      <c r="C173" s="11"/>
      <c r="F173" s="79"/>
    </row>
    <row r="174" spans="3:6" ht="14.25" customHeight="1" x14ac:dyDescent="0.25">
      <c r="C174" s="11"/>
      <c r="F174" s="79"/>
    </row>
    <row r="175" spans="3:6" ht="14.25" customHeight="1" x14ac:dyDescent="0.25">
      <c r="C175" s="11"/>
      <c r="F175" s="79"/>
    </row>
    <row r="176" spans="3:6" ht="14.25" customHeight="1" x14ac:dyDescent="0.25">
      <c r="C176" s="11"/>
      <c r="F176" s="79"/>
    </row>
    <row r="177" spans="3:6" ht="14.25" customHeight="1" x14ac:dyDescent="0.25">
      <c r="C177" s="11"/>
      <c r="F177" s="79"/>
    </row>
    <row r="178" spans="3:6" ht="14.25" customHeight="1" x14ac:dyDescent="0.25">
      <c r="C178" s="11"/>
      <c r="F178" s="79"/>
    </row>
    <row r="179" spans="3:6" ht="14.25" customHeight="1" x14ac:dyDescent="0.25">
      <c r="C179" s="11"/>
      <c r="F179" s="79"/>
    </row>
    <row r="180" spans="3:6" ht="14.25" customHeight="1" x14ac:dyDescent="0.25">
      <c r="C180" s="11"/>
      <c r="F180" s="79"/>
    </row>
    <row r="181" spans="3:6" ht="14.25" customHeight="1" x14ac:dyDescent="0.25">
      <c r="C181" s="11"/>
      <c r="F181" s="79"/>
    </row>
    <row r="182" spans="3:6" ht="14.25" customHeight="1" x14ac:dyDescent="0.25">
      <c r="C182" s="11"/>
      <c r="F182" s="79"/>
    </row>
    <row r="183" spans="3:6" ht="14.25" customHeight="1" x14ac:dyDescent="0.25">
      <c r="C183" s="11"/>
      <c r="F183" s="79"/>
    </row>
    <row r="184" spans="3:6" ht="14.25" customHeight="1" x14ac:dyDescent="0.25">
      <c r="C184" s="11"/>
      <c r="F184" s="79"/>
    </row>
    <row r="185" spans="3:6" ht="14.25" customHeight="1" x14ac:dyDescent="0.25">
      <c r="C185" s="11"/>
      <c r="F185" s="79"/>
    </row>
    <row r="186" spans="3:6" ht="14.25" customHeight="1" x14ac:dyDescent="0.25">
      <c r="C186" s="11"/>
      <c r="F186" s="79"/>
    </row>
    <row r="187" spans="3:6" ht="14.25" customHeight="1" x14ac:dyDescent="0.25">
      <c r="C187" s="11"/>
      <c r="F187" s="79"/>
    </row>
    <row r="188" spans="3:6" ht="14.25" customHeight="1" x14ac:dyDescent="0.25">
      <c r="C188" s="11"/>
      <c r="F188" s="79"/>
    </row>
    <row r="189" spans="3:6" ht="14.25" customHeight="1" x14ac:dyDescent="0.25">
      <c r="C189" s="11"/>
      <c r="F189" s="79"/>
    </row>
    <row r="190" spans="3:6" ht="14.25" customHeight="1" x14ac:dyDescent="0.25">
      <c r="C190" s="11"/>
      <c r="F190" s="79"/>
    </row>
    <row r="191" spans="3:6" ht="14.25" customHeight="1" x14ac:dyDescent="0.25">
      <c r="C191" s="11"/>
      <c r="F191" s="79"/>
    </row>
    <row r="192" spans="3:6" ht="14.25" customHeight="1" x14ac:dyDescent="0.25">
      <c r="C192" s="11"/>
      <c r="F192" s="79"/>
    </row>
    <row r="193" spans="3:6" ht="14.25" customHeight="1" x14ac:dyDescent="0.25">
      <c r="C193" s="11"/>
      <c r="F193" s="79"/>
    </row>
    <row r="194" spans="3:6" ht="14.25" customHeight="1" x14ac:dyDescent="0.25">
      <c r="C194" s="11"/>
      <c r="F194" s="79"/>
    </row>
    <row r="195" spans="3:6" ht="14.25" customHeight="1" x14ac:dyDescent="0.25">
      <c r="C195" s="11"/>
      <c r="F195" s="79"/>
    </row>
    <row r="196" spans="3:6" ht="14.25" customHeight="1" x14ac:dyDescent="0.25">
      <c r="C196" s="11"/>
      <c r="F196" s="79"/>
    </row>
    <row r="197" spans="3:6" ht="14.25" customHeight="1" x14ac:dyDescent="0.25">
      <c r="C197" s="11"/>
      <c r="F197" s="79"/>
    </row>
    <row r="198" spans="3:6" ht="14.25" customHeight="1" x14ac:dyDescent="0.25">
      <c r="C198" s="11"/>
      <c r="F198" s="79"/>
    </row>
    <row r="199" spans="3:6" ht="14.25" customHeight="1" x14ac:dyDescent="0.25">
      <c r="C199" s="11"/>
      <c r="F199" s="79"/>
    </row>
    <row r="200" spans="3:6" ht="14.25" customHeight="1" x14ac:dyDescent="0.25">
      <c r="C200" s="11"/>
      <c r="F200" s="79"/>
    </row>
    <row r="201" spans="3:6" ht="14.25" customHeight="1" x14ac:dyDescent="0.25">
      <c r="C201" s="11"/>
      <c r="F201" s="79"/>
    </row>
    <row r="202" spans="3:6" ht="14.25" customHeight="1" x14ac:dyDescent="0.25">
      <c r="C202" s="11"/>
      <c r="F202" s="79"/>
    </row>
    <row r="203" spans="3:6" ht="14.25" customHeight="1" x14ac:dyDescent="0.25">
      <c r="C203" s="11"/>
      <c r="F203" s="79"/>
    </row>
    <row r="204" spans="3:6" ht="14.25" customHeight="1" x14ac:dyDescent="0.25">
      <c r="C204" s="11"/>
      <c r="F204" s="79"/>
    </row>
    <row r="205" spans="3:6" ht="14.25" customHeight="1" x14ac:dyDescent="0.25">
      <c r="C205" s="11"/>
      <c r="F205" s="79"/>
    </row>
    <row r="206" spans="3:6" ht="14.25" customHeight="1" x14ac:dyDescent="0.25">
      <c r="C206" s="11"/>
      <c r="F206" s="79"/>
    </row>
    <row r="207" spans="3:6" ht="14.25" customHeight="1" x14ac:dyDescent="0.25">
      <c r="C207" s="11"/>
      <c r="F207" s="79"/>
    </row>
    <row r="208" spans="3:6" ht="14.25" customHeight="1" x14ac:dyDescent="0.25">
      <c r="C208" s="11"/>
      <c r="F208" s="79"/>
    </row>
    <row r="209" spans="3:6" ht="14.25" customHeight="1" x14ac:dyDescent="0.25">
      <c r="C209" s="11"/>
      <c r="F209" s="79"/>
    </row>
    <row r="210" spans="3:6" ht="14.25" customHeight="1" x14ac:dyDescent="0.25">
      <c r="C210" s="11"/>
      <c r="F210" s="79"/>
    </row>
    <row r="211" spans="3:6" ht="14.25" customHeight="1" x14ac:dyDescent="0.25">
      <c r="C211" s="11"/>
      <c r="F211" s="79"/>
    </row>
    <row r="212" spans="3:6" ht="14.25" customHeight="1" x14ac:dyDescent="0.25">
      <c r="C212" s="11"/>
      <c r="F212" s="79"/>
    </row>
    <row r="213" spans="3:6" ht="14.25" customHeight="1" x14ac:dyDescent="0.25">
      <c r="C213" s="11"/>
      <c r="F213" s="79"/>
    </row>
    <row r="214" spans="3:6" ht="14.25" customHeight="1" x14ac:dyDescent="0.25">
      <c r="C214" s="11"/>
      <c r="F214" s="79"/>
    </row>
    <row r="215" spans="3:6" ht="14.25" customHeight="1" x14ac:dyDescent="0.25">
      <c r="C215" s="11"/>
      <c r="F215" s="79"/>
    </row>
    <row r="216" spans="3:6" ht="14.25" customHeight="1" x14ac:dyDescent="0.25">
      <c r="C216" s="11"/>
      <c r="F216" s="79"/>
    </row>
    <row r="217" spans="3:6" ht="14.25" customHeight="1" x14ac:dyDescent="0.25">
      <c r="C217" s="11"/>
      <c r="F217" s="79"/>
    </row>
    <row r="218" spans="3:6" ht="14.25" customHeight="1" x14ac:dyDescent="0.25">
      <c r="C218" s="11"/>
      <c r="F218" s="79"/>
    </row>
    <row r="219" spans="3:6" ht="14.25" customHeight="1" x14ac:dyDescent="0.25">
      <c r="C219" s="11"/>
      <c r="F219" s="79"/>
    </row>
    <row r="220" spans="3:6" ht="14.25" customHeight="1" x14ac:dyDescent="0.25">
      <c r="C220" s="11"/>
      <c r="F220" s="79"/>
    </row>
    <row r="221" spans="3:6" ht="14.25" customHeight="1" x14ac:dyDescent="0.25">
      <c r="C221" s="11"/>
      <c r="F221" s="79"/>
    </row>
    <row r="222" spans="3:6" ht="14.25" customHeight="1" x14ac:dyDescent="0.25">
      <c r="C222" s="11"/>
      <c r="F222" s="79"/>
    </row>
    <row r="223" spans="3:6" ht="14.25" customHeight="1" x14ac:dyDescent="0.25">
      <c r="C223" s="11"/>
      <c r="F223" s="79"/>
    </row>
    <row r="224" spans="3:6" ht="14.25" customHeight="1" x14ac:dyDescent="0.25">
      <c r="C224" s="11"/>
      <c r="F224" s="79"/>
    </row>
    <row r="225" spans="3:6" ht="14.25" customHeight="1" x14ac:dyDescent="0.25">
      <c r="C225" s="11"/>
      <c r="F225" s="79"/>
    </row>
    <row r="226" spans="3:6" ht="14.25" customHeight="1" x14ac:dyDescent="0.25">
      <c r="C226" s="11"/>
      <c r="F226" s="79"/>
    </row>
    <row r="227" spans="3:6" ht="14.25" customHeight="1" x14ac:dyDescent="0.25">
      <c r="C227" s="11"/>
      <c r="F227" s="79"/>
    </row>
    <row r="228" spans="3:6" ht="14.25" customHeight="1" x14ac:dyDescent="0.25">
      <c r="C228" s="11"/>
      <c r="F228" s="79"/>
    </row>
    <row r="229" spans="3:6" ht="14.25" customHeight="1" x14ac:dyDescent="0.25">
      <c r="C229" s="11"/>
      <c r="F229" s="79"/>
    </row>
    <row r="230" spans="3:6" ht="14.25" customHeight="1" x14ac:dyDescent="0.25">
      <c r="C230" s="11"/>
      <c r="F230" s="79"/>
    </row>
    <row r="231" spans="3:6" ht="14.25" customHeight="1" x14ac:dyDescent="0.25">
      <c r="C231" s="11"/>
      <c r="F231" s="79"/>
    </row>
    <row r="232" spans="3:6" ht="14.25" customHeight="1" x14ac:dyDescent="0.25">
      <c r="C232" s="11"/>
      <c r="F232" s="79"/>
    </row>
    <row r="233" spans="3:6" ht="14.25" customHeight="1" x14ac:dyDescent="0.25">
      <c r="C233" s="11"/>
      <c r="F233" s="79"/>
    </row>
    <row r="234" spans="3:6" ht="14.25" customHeight="1" x14ac:dyDescent="0.25">
      <c r="C234" s="11"/>
      <c r="F234" s="79"/>
    </row>
    <row r="235" spans="3:6" ht="14.25" customHeight="1" x14ac:dyDescent="0.25">
      <c r="C235" s="11"/>
      <c r="F235" s="79"/>
    </row>
    <row r="236" spans="3:6" ht="14.25" customHeight="1" x14ac:dyDescent="0.25">
      <c r="C236" s="11"/>
      <c r="F236" s="79"/>
    </row>
    <row r="237" spans="3:6" ht="14.25" customHeight="1" x14ac:dyDescent="0.25">
      <c r="C237" s="11"/>
      <c r="F237" s="79"/>
    </row>
    <row r="238" spans="3:6" ht="14.25" customHeight="1" x14ac:dyDescent="0.25">
      <c r="C238" s="11"/>
      <c r="F238" s="79"/>
    </row>
    <row r="239" spans="3:6" ht="14.25" customHeight="1" x14ac:dyDescent="0.25">
      <c r="C239" s="11"/>
      <c r="F239" s="79"/>
    </row>
    <row r="240" spans="3:6" ht="14.25" customHeight="1" x14ac:dyDescent="0.25">
      <c r="C240" s="11"/>
      <c r="F240" s="79"/>
    </row>
    <row r="241" spans="3:6" ht="14.25" customHeight="1" x14ac:dyDescent="0.25">
      <c r="C241" s="11"/>
      <c r="F241" s="79"/>
    </row>
    <row r="242" spans="3:6" ht="14.25" customHeight="1" x14ac:dyDescent="0.25">
      <c r="C242" s="11"/>
      <c r="F242" s="79"/>
    </row>
    <row r="243" spans="3:6" ht="14.25" customHeight="1" x14ac:dyDescent="0.25">
      <c r="C243" s="11"/>
      <c r="F243" s="79"/>
    </row>
    <row r="244" spans="3:6" ht="14.25" customHeight="1" x14ac:dyDescent="0.25">
      <c r="C244" s="11"/>
      <c r="F244" s="79"/>
    </row>
    <row r="245" spans="3:6" ht="14.25" customHeight="1" x14ac:dyDescent="0.25">
      <c r="C245" s="11"/>
      <c r="F245" s="79"/>
    </row>
    <row r="246" spans="3:6" ht="14.25" customHeight="1" x14ac:dyDescent="0.25">
      <c r="C246" s="11"/>
      <c r="F246" s="79"/>
    </row>
    <row r="247" spans="3:6" ht="14.25" customHeight="1" x14ac:dyDescent="0.25">
      <c r="C247" s="11"/>
      <c r="F247" s="79"/>
    </row>
    <row r="248" spans="3:6" ht="14.25" customHeight="1" x14ac:dyDescent="0.25">
      <c r="C248" s="11"/>
      <c r="F248" s="79"/>
    </row>
    <row r="249" spans="3:6" ht="14.25" customHeight="1" x14ac:dyDescent="0.25">
      <c r="C249" s="11"/>
      <c r="F249" s="79"/>
    </row>
    <row r="250" spans="3:6" ht="14.25" customHeight="1" x14ac:dyDescent="0.25">
      <c r="C250" s="11"/>
      <c r="F250" s="79"/>
    </row>
    <row r="251" spans="3:6" ht="14.25" customHeight="1" x14ac:dyDescent="0.25">
      <c r="C251" s="11"/>
      <c r="F251" s="79"/>
    </row>
    <row r="252" spans="3:6" ht="14.25" customHeight="1" x14ac:dyDescent="0.25">
      <c r="C252" s="11"/>
      <c r="F252" s="79"/>
    </row>
    <row r="253" spans="3:6" ht="14.25" customHeight="1" x14ac:dyDescent="0.25">
      <c r="C253" s="11"/>
      <c r="F253" s="79"/>
    </row>
    <row r="254" spans="3:6" ht="14.25" customHeight="1" x14ac:dyDescent="0.25">
      <c r="C254" s="11"/>
      <c r="F254" s="79"/>
    </row>
    <row r="255" spans="3:6" ht="14.25" customHeight="1" x14ac:dyDescent="0.25">
      <c r="C255" s="11"/>
      <c r="F255" s="79"/>
    </row>
    <row r="256" spans="3:6" ht="14.25" customHeight="1" x14ac:dyDescent="0.25">
      <c r="C256" s="11"/>
      <c r="F256" s="79"/>
    </row>
    <row r="257" spans="3:6" ht="14.25" customHeight="1" x14ac:dyDescent="0.25">
      <c r="C257" s="11"/>
      <c r="F257" s="79"/>
    </row>
    <row r="258" spans="3:6" ht="14.25" customHeight="1" x14ac:dyDescent="0.25">
      <c r="C258" s="11"/>
      <c r="F258" s="79"/>
    </row>
    <row r="259" spans="3:6" ht="14.25" customHeight="1" x14ac:dyDescent="0.25">
      <c r="C259" s="11"/>
      <c r="F259" s="79"/>
    </row>
    <row r="260" spans="3:6" ht="14.25" customHeight="1" x14ac:dyDescent="0.25">
      <c r="C260" s="11"/>
      <c r="F260" s="79"/>
    </row>
    <row r="261" spans="3:6" ht="14.25" customHeight="1" x14ac:dyDescent="0.25">
      <c r="C261" s="11"/>
      <c r="F261" s="79"/>
    </row>
    <row r="262" spans="3:6" ht="14.25" customHeight="1" x14ac:dyDescent="0.25">
      <c r="C262" s="11"/>
      <c r="F262" s="79"/>
    </row>
    <row r="263" spans="3:6" ht="14.25" customHeight="1" x14ac:dyDescent="0.25">
      <c r="C263" s="11"/>
      <c r="F263" s="79"/>
    </row>
    <row r="264" spans="3:6" ht="14.25" customHeight="1" x14ac:dyDescent="0.25">
      <c r="C264" s="11"/>
      <c r="F264" s="79"/>
    </row>
    <row r="265" spans="3:6" ht="14.25" customHeight="1" x14ac:dyDescent="0.25">
      <c r="C265" s="11"/>
      <c r="F265" s="79"/>
    </row>
    <row r="266" spans="3:6" ht="14.25" customHeight="1" x14ac:dyDescent="0.25">
      <c r="C266" s="11"/>
      <c r="F266" s="79"/>
    </row>
    <row r="267" spans="3:6" ht="14.25" customHeight="1" x14ac:dyDescent="0.25">
      <c r="C267" s="11"/>
      <c r="F267" s="79"/>
    </row>
    <row r="268" spans="3:6" ht="14.25" customHeight="1" x14ac:dyDescent="0.25">
      <c r="C268" s="11"/>
      <c r="F268" s="79"/>
    </row>
    <row r="269" spans="3:6" ht="14.25" customHeight="1" x14ac:dyDescent="0.25">
      <c r="C269" s="11"/>
      <c r="F269" s="79"/>
    </row>
    <row r="270" spans="3:6" ht="14.25" customHeight="1" x14ac:dyDescent="0.25">
      <c r="C270" s="11"/>
      <c r="F270" s="79"/>
    </row>
    <row r="271" spans="3:6" ht="14.25" customHeight="1" x14ac:dyDescent="0.25">
      <c r="C271" s="11"/>
      <c r="F271" s="79"/>
    </row>
    <row r="272" spans="3:6" ht="14.25" customHeight="1" x14ac:dyDescent="0.25">
      <c r="C272" s="11"/>
      <c r="F272" s="79"/>
    </row>
    <row r="273" spans="3:6" ht="14.25" customHeight="1" x14ac:dyDescent="0.25">
      <c r="C273" s="11"/>
      <c r="F273" s="79"/>
    </row>
    <row r="274" spans="3:6" ht="14.25" customHeight="1" x14ac:dyDescent="0.25">
      <c r="C274" s="11"/>
      <c r="F274" s="79"/>
    </row>
    <row r="275" spans="3:6" ht="14.25" customHeight="1" x14ac:dyDescent="0.25">
      <c r="C275" s="11"/>
      <c r="F275" s="79"/>
    </row>
    <row r="276" spans="3:6" ht="14.25" customHeight="1" x14ac:dyDescent="0.25">
      <c r="C276" s="11"/>
      <c r="F276" s="79"/>
    </row>
    <row r="277" spans="3:6" ht="14.25" customHeight="1" x14ac:dyDescent="0.25">
      <c r="C277" s="11"/>
      <c r="F277" s="79"/>
    </row>
    <row r="278" spans="3:6" ht="14.25" customHeight="1" x14ac:dyDescent="0.25">
      <c r="C278" s="11"/>
      <c r="F278" s="79"/>
    </row>
    <row r="279" spans="3:6" ht="14.25" customHeight="1" x14ac:dyDescent="0.25">
      <c r="C279" s="11"/>
      <c r="F279" s="79"/>
    </row>
    <row r="280" spans="3:6" ht="14.25" customHeight="1" x14ac:dyDescent="0.25">
      <c r="C280" s="11"/>
      <c r="F280" s="79"/>
    </row>
    <row r="281" spans="3:6" ht="14.25" customHeight="1" x14ac:dyDescent="0.25">
      <c r="C281" s="11"/>
      <c r="F281" s="79"/>
    </row>
    <row r="282" spans="3:6" ht="14.25" customHeight="1" x14ac:dyDescent="0.25">
      <c r="C282" s="11"/>
      <c r="F282" s="79"/>
    </row>
    <row r="283" spans="3:6" ht="14.25" customHeight="1" x14ac:dyDescent="0.25">
      <c r="C283" s="11"/>
      <c r="F283" s="79"/>
    </row>
    <row r="284" spans="3:6" ht="14.25" customHeight="1" x14ac:dyDescent="0.25">
      <c r="C284" s="11"/>
      <c r="F284" s="79"/>
    </row>
    <row r="285" spans="3:6" ht="14.25" customHeight="1" x14ac:dyDescent="0.25">
      <c r="C285" s="11"/>
      <c r="F285" s="79"/>
    </row>
    <row r="286" spans="3:6" ht="14.25" customHeight="1" x14ac:dyDescent="0.25">
      <c r="C286" s="11"/>
      <c r="F286" s="79"/>
    </row>
    <row r="287" spans="3:6" ht="14.25" customHeight="1" x14ac:dyDescent="0.25">
      <c r="C287" s="11"/>
      <c r="F287" s="79"/>
    </row>
    <row r="288" spans="3:6" ht="14.25" customHeight="1" x14ac:dyDescent="0.25">
      <c r="C288" s="11"/>
      <c r="F288" s="79"/>
    </row>
    <row r="289" spans="3:6" ht="14.25" customHeight="1" x14ac:dyDescent="0.25">
      <c r="C289" s="11"/>
      <c r="F289" s="79"/>
    </row>
    <row r="290" spans="3:6" ht="14.25" customHeight="1" x14ac:dyDescent="0.25">
      <c r="C290" s="11"/>
      <c r="F290" s="79"/>
    </row>
    <row r="291" spans="3:6" ht="14.25" customHeight="1" x14ac:dyDescent="0.25">
      <c r="C291" s="11"/>
      <c r="F291" s="79"/>
    </row>
    <row r="292" spans="3:6" ht="14.25" customHeight="1" x14ac:dyDescent="0.25">
      <c r="C292" s="11"/>
      <c r="F292" s="79"/>
    </row>
    <row r="293" spans="3:6" ht="14.25" customHeight="1" x14ac:dyDescent="0.25">
      <c r="C293" s="11"/>
      <c r="F293" s="79"/>
    </row>
    <row r="294" spans="3:6" ht="14.25" customHeight="1" x14ac:dyDescent="0.25">
      <c r="C294" s="11"/>
      <c r="F294" s="79"/>
    </row>
    <row r="295" spans="3:6" ht="14.25" customHeight="1" x14ac:dyDescent="0.25">
      <c r="C295" s="11"/>
      <c r="F295" s="79"/>
    </row>
    <row r="296" spans="3:6" ht="14.25" customHeight="1" x14ac:dyDescent="0.25">
      <c r="C296" s="11"/>
      <c r="F296" s="79"/>
    </row>
    <row r="297" spans="3:6" ht="14.25" customHeight="1" x14ac:dyDescent="0.25">
      <c r="C297" s="11"/>
      <c r="F297" s="79"/>
    </row>
    <row r="298" spans="3:6" ht="14.25" customHeight="1" x14ac:dyDescent="0.25">
      <c r="C298" s="11"/>
      <c r="F298" s="79"/>
    </row>
    <row r="299" spans="3:6" ht="14.25" customHeight="1" x14ac:dyDescent="0.25">
      <c r="C299" s="11"/>
      <c r="F299" s="79"/>
    </row>
    <row r="300" spans="3:6" ht="14.25" customHeight="1" x14ac:dyDescent="0.25">
      <c r="C300" s="11"/>
      <c r="F300" s="79"/>
    </row>
    <row r="301" spans="3:6" ht="14.25" customHeight="1" x14ac:dyDescent="0.25">
      <c r="C301" s="11"/>
      <c r="F301" s="79"/>
    </row>
    <row r="302" spans="3:6" ht="14.25" customHeight="1" x14ac:dyDescent="0.25">
      <c r="C302" s="11"/>
      <c r="F302" s="79"/>
    </row>
    <row r="303" spans="3:6" ht="14.25" customHeight="1" x14ac:dyDescent="0.25">
      <c r="C303" s="11"/>
      <c r="F303" s="79"/>
    </row>
    <row r="304" spans="3:6" ht="14.25" customHeight="1" x14ac:dyDescent="0.25">
      <c r="C304" s="11"/>
      <c r="F304" s="79"/>
    </row>
    <row r="305" spans="3:6" ht="14.25" customHeight="1" x14ac:dyDescent="0.25">
      <c r="C305" s="11"/>
      <c r="F305" s="79"/>
    </row>
    <row r="306" spans="3:6" ht="14.25" customHeight="1" x14ac:dyDescent="0.25">
      <c r="C306" s="11"/>
      <c r="F306" s="79"/>
    </row>
    <row r="307" spans="3:6" ht="14.25" customHeight="1" x14ac:dyDescent="0.25">
      <c r="C307" s="11"/>
      <c r="F307" s="79"/>
    </row>
    <row r="308" spans="3:6" ht="14.25" customHeight="1" x14ac:dyDescent="0.25">
      <c r="C308" s="11"/>
      <c r="F308" s="79"/>
    </row>
    <row r="309" spans="3:6" ht="14.25" customHeight="1" x14ac:dyDescent="0.25">
      <c r="C309" s="11"/>
      <c r="F309" s="79"/>
    </row>
    <row r="310" spans="3:6" ht="14.25" customHeight="1" x14ac:dyDescent="0.25">
      <c r="C310" s="11"/>
      <c r="F310" s="79"/>
    </row>
    <row r="311" spans="3:6" ht="14.25" customHeight="1" x14ac:dyDescent="0.25">
      <c r="C311" s="11"/>
      <c r="F311" s="79"/>
    </row>
    <row r="312" spans="3:6" ht="14.25" customHeight="1" x14ac:dyDescent="0.25">
      <c r="C312" s="11"/>
      <c r="F312" s="79"/>
    </row>
    <row r="313" spans="3:6" ht="14.25" customHeight="1" x14ac:dyDescent="0.25">
      <c r="C313" s="11"/>
      <c r="F313" s="79"/>
    </row>
    <row r="314" spans="3:6" ht="14.25" customHeight="1" x14ac:dyDescent="0.25">
      <c r="C314" s="11"/>
      <c r="F314" s="79"/>
    </row>
    <row r="315" spans="3:6" ht="14.25" customHeight="1" x14ac:dyDescent="0.25">
      <c r="C315" s="11"/>
      <c r="F315" s="79"/>
    </row>
    <row r="316" spans="3:6" ht="14.25" customHeight="1" x14ac:dyDescent="0.25">
      <c r="C316" s="11"/>
      <c r="F316" s="79"/>
    </row>
    <row r="317" spans="3:6" ht="14.25" customHeight="1" x14ac:dyDescent="0.25">
      <c r="C317" s="11"/>
      <c r="F317" s="79"/>
    </row>
    <row r="318" spans="3:6" ht="14.25" customHeight="1" x14ac:dyDescent="0.25">
      <c r="C318" s="11"/>
      <c r="F318" s="79"/>
    </row>
    <row r="319" spans="3:6" ht="14.25" customHeight="1" x14ac:dyDescent="0.25">
      <c r="C319" s="11"/>
      <c r="F319" s="79"/>
    </row>
    <row r="320" spans="3:6" ht="14.25" customHeight="1" x14ac:dyDescent="0.25">
      <c r="C320" s="11"/>
      <c r="F320" s="79"/>
    </row>
    <row r="321" spans="3:6" ht="14.25" customHeight="1" x14ac:dyDescent="0.25">
      <c r="C321" s="11"/>
      <c r="F321" s="79"/>
    </row>
    <row r="322" spans="3:6" ht="14.25" customHeight="1" x14ac:dyDescent="0.25">
      <c r="C322" s="11"/>
      <c r="F322" s="79"/>
    </row>
    <row r="323" spans="3:6" ht="14.25" customHeight="1" x14ac:dyDescent="0.25">
      <c r="C323" s="11"/>
      <c r="F323" s="79"/>
    </row>
    <row r="324" spans="3:6" ht="14.25" customHeight="1" x14ac:dyDescent="0.25">
      <c r="C324" s="11"/>
      <c r="F324" s="79"/>
    </row>
    <row r="325" spans="3:6" ht="14.25" customHeight="1" x14ac:dyDescent="0.25">
      <c r="C325" s="11"/>
      <c r="F325" s="79"/>
    </row>
    <row r="326" spans="3:6" ht="14.25" customHeight="1" x14ac:dyDescent="0.25">
      <c r="C326" s="11"/>
      <c r="F326" s="79"/>
    </row>
    <row r="327" spans="3:6" ht="14.25" customHeight="1" x14ac:dyDescent="0.25">
      <c r="C327" s="11"/>
      <c r="F327" s="79"/>
    </row>
    <row r="328" spans="3:6" ht="14.25" customHeight="1" x14ac:dyDescent="0.25">
      <c r="C328" s="11"/>
      <c r="F328" s="79"/>
    </row>
    <row r="329" spans="3:6" ht="14.25" customHeight="1" x14ac:dyDescent="0.25">
      <c r="C329" s="11"/>
      <c r="F329" s="79"/>
    </row>
    <row r="330" spans="3:6" ht="14.25" customHeight="1" x14ac:dyDescent="0.25">
      <c r="C330" s="11"/>
      <c r="F330" s="79"/>
    </row>
    <row r="331" spans="3:6" ht="14.25" customHeight="1" x14ac:dyDescent="0.25">
      <c r="C331" s="11"/>
      <c r="F331" s="79"/>
    </row>
    <row r="332" spans="3:6" ht="14.25" customHeight="1" x14ac:dyDescent="0.25">
      <c r="C332" s="11"/>
      <c r="F332" s="79"/>
    </row>
    <row r="333" spans="3:6" ht="14.25" customHeight="1" x14ac:dyDescent="0.25">
      <c r="C333" s="11"/>
      <c r="F333" s="79"/>
    </row>
    <row r="334" spans="3:6" ht="14.25" customHeight="1" x14ac:dyDescent="0.25">
      <c r="C334" s="11"/>
      <c r="F334" s="79"/>
    </row>
    <row r="335" spans="3:6" ht="14.25" customHeight="1" x14ac:dyDescent="0.25">
      <c r="C335" s="11"/>
      <c r="F335" s="79"/>
    </row>
    <row r="336" spans="3:6" ht="14.25" customHeight="1" x14ac:dyDescent="0.25">
      <c r="C336" s="11"/>
      <c r="F336" s="79"/>
    </row>
    <row r="337" spans="3:6" ht="14.25" customHeight="1" x14ac:dyDescent="0.25">
      <c r="C337" s="11"/>
      <c r="F337" s="79"/>
    </row>
    <row r="338" spans="3:6" ht="14.25" customHeight="1" x14ac:dyDescent="0.25">
      <c r="C338" s="11"/>
      <c r="F338" s="79"/>
    </row>
    <row r="339" spans="3:6" ht="14.25" customHeight="1" x14ac:dyDescent="0.25">
      <c r="C339" s="11"/>
      <c r="F339" s="79"/>
    </row>
    <row r="340" spans="3:6" ht="14.25" customHeight="1" x14ac:dyDescent="0.25">
      <c r="C340" s="11"/>
      <c r="F340" s="79"/>
    </row>
    <row r="341" spans="3:6" ht="14.25" customHeight="1" x14ac:dyDescent="0.25">
      <c r="C341" s="11"/>
      <c r="F341" s="79"/>
    </row>
    <row r="342" spans="3:6" ht="14.25" customHeight="1" x14ac:dyDescent="0.25">
      <c r="C342" s="11"/>
      <c r="F342" s="79"/>
    </row>
    <row r="343" spans="3:6" ht="14.25" customHeight="1" x14ac:dyDescent="0.25">
      <c r="C343" s="11"/>
      <c r="F343" s="79"/>
    </row>
    <row r="344" spans="3:6" ht="14.25" customHeight="1" x14ac:dyDescent="0.25">
      <c r="C344" s="11"/>
      <c r="F344" s="79"/>
    </row>
    <row r="345" spans="3:6" ht="14.25" customHeight="1" x14ac:dyDescent="0.25">
      <c r="C345" s="11"/>
      <c r="F345" s="79"/>
    </row>
    <row r="346" spans="3:6" ht="14.25" customHeight="1" x14ac:dyDescent="0.25">
      <c r="C346" s="11"/>
      <c r="F346" s="79"/>
    </row>
    <row r="347" spans="3:6" ht="14.25" customHeight="1" x14ac:dyDescent="0.25">
      <c r="C347" s="11"/>
      <c r="F347" s="79"/>
    </row>
    <row r="348" spans="3:6" ht="14.25" customHeight="1" x14ac:dyDescent="0.25">
      <c r="C348" s="11"/>
      <c r="F348" s="79"/>
    </row>
    <row r="349" spans="3:6" ht="14.25" customHeight="1" x14ac:dyDescent="0.25">
      <c r="C349" s="11"/>
      <c r="F349" s="79"/>
    </row>
    <row r="350" spans="3:6" ht="14.25" customHeight="1" x14ac:dyDescent="0.25">
      <c r="C350" s="11"/>
      <c r="F350" s="79"/>
    </row>
    <row r="351" spans="3:6" ht="14.25" customHeight="1" x14ac:dyDescent="0.25">
      <c r="C351" s="11"/>
      <c r="F351" s="79"/>
    </row>
    <row r="352" spans="3:6" ht="14.25" customHeight="1" x14ac:dyDescent="0.25">
      <c r="C352" s="11"/>
      <c r="F352" s="79"/>
    </row>
    <row r="353" spans="3:6" ht="14.25" customHeight="1" x14ac:dyDescent="0.25">
      <c r="C353" s="11"/>
      <c r="F353" s="79"/>
    </row>
    <row r="354" spans="3:6" ht="14.25" customHeight="1" x14ac:dyDescent="0.25">
      <c r="C354" s="11"/>
      <c r="F354" s="79"/>
    </row>
    <row r="355" spans="3:6" ht="14.25" customHeight="1" x14ac:dyDescent="0.25">
      <c r="C355" s="11"/>
      <c r="F355" s="79"/>
    </row>
    <row r="356" spans="3:6" ht="14.25" customHeight="1" x14ac:dyDescent="0.25">
      <c r="C356" s="11"/>
      <c r="F356" s="79"/>
    </row>
    <row r="357" spans="3:6" ht="14.25" customHeight="1" x14ac:dyDescent="0.25">
      <c r="C357" s="11"/>
      <c r="F357" s="79"/>
    </row>
    <row r="358" spans="3:6" ht="14.25" customHeight="1" x14ac:dyDescent="0.25">
      <c r="C358" s="11"/>
      <c r="F358" s="79"/>
    </row>
    <row r="359" spans="3:6" ht="14.25" customHeight="1" x14ac:dyDescent="0.25">
      <c r="C359" s="11"/>
      <c r="F359" s="79"/>
    </row>
    <row r="360" spans="3:6" ht="14.25" customHeight="1" x14ac:dyDescent="0.25">
      <c r="C360" s="11"/>
      <c r="F360" s="79"/>
    </row>
    <row r="361" spans="3:6" ht="14.25" customHeight="1" x14ac:dyDescent="0.25">
      <c r="C361" s="11"/>
      <c r="F361" s="79"/>
    </row>
    <row r="362" spans="3:6" ht="14.25" customHeight="1" x14ac:dyDescent="0.25">
      <c r="C362" s="11"/>
      <c r="F362" s="79"/>
    </row>
    <row r="363" spans="3:6" ht="14.25" customHeight="1" x14ac:dyDescent="0.25">
      <c r="C363" s="11"/>
      <c r="F363" s="79"/>
    </row>
    <row r="364" spans="3:6" ht="14.25" customHeight="1" x14ac:dyDescent="0.25">
      <c r="C364" s="11"/>
      <c r="F364" s="79"/>
    </row>
    <row r="365" spans="3:6" ht="14.25" customHeight="1" x14ac:dyDescent="0.25">
      <c r="C365" s="11"/>
      <c r="F365" s="79"/>
    </row>
    <row r="366" spans="3:6" ht="14.25" customHeight="1" x14ac:dyDescent="0.25">
      <c r="C366" s="11"/>
      <c r="F366" s="79"/>
    </row>
    <row r="367" spans="3:6" ht="14.25" customHeight="1" x14ac:dyDescent="0.25">
      <c r="C367" s="11"/>
      <c r="F367" s="79"/>
    </row>
    <row r="368" spans="3:6" ht="14.25" customHeight="1" x14ac:dyDescent="0.25">
      <c r="C368" s="11"/>
      <c r="F368" s="79"/>
    </row>
    <row r="369" spans="3:6" ht="14.25" customHeight="1" x14ac:dyDescent="0.25">
      <c r="C369" s="11"/>
      <c r="F369" s="79"/>
    </row>
    <row r="370" spans="3:6" ht="14.25" customHeight="1" x14ac:dyDescent="0.25">
      <c r="C370" s="11"/>
      <c r="F370" s="79"/>
    </row>
    <row r="371" spans="3:6" ht="14.25" customHeight="1" x14ac:dyDescent="0.25">
      <c r="C371" s="11"/>
      <c r="F371" s="79"/>
    </row>
    <row r="372" spans="3:6" ht="14.25" customHeight="1" x14ac:dyDescent="0.25">
      <c r="C372" s="11"/>
      <c r="F372" s="79"/>
    </row>
    <row r="373" spans="3:6" ht="14.25" customHeight="1" x14ac:dyDescent="0.25">
      <c r="C373" s="11"/>
      <c r="F373" s="79"/>
    </row>
    <row r="374" spans="3:6" ht="14.25" customHeight="1" x14ac:dyDescent="0.25">
      <c r="C374" s="11"/>
      <c r="F374" s="79"/>
    </row>
    <row r="375" spans="3:6" ht="14.25" customHeight="1" x14ac:dyDescent="0.25">
      <c r="C375" s="11"/>
      <c r="F375" s="79"/>
    </row>
    <row r="376" spans="3:6" ht="14.25" customHeight="1" x14ac:dyDescent="0.25">
      <c r="C376" s="11"/>
      <c r="F376" s="79"/>
    </row>
    <row r="377" spans="3:6" ht="14.25" customHeight="1" x14ac:dyDescent="0.25">
      <c r="C377" s="11"/>
      <c r="F377" s="79"/>
    </row>
    <row r="378" spans="3:6" ht="14.25" customHeight="1" x14ac:dyDescent="0.25">
      <c r="C378" s="11"/>
      <c r="F378" s="79"/>
    </row>
    <row r="379" spans="3:6" ht="14.25" customHeight="1" x14ac:dyDescent="0.25">
      <c r="C379" s="11"/>
      <c r="F379" s="79"/>
    </row>
    <row r="380" spans="3:6" ht="14.25" customHeight="1" x14ac:dyDescent="0.25">
      <c r="C380" s="11"/>
      <c r="F380" s="79"/>
    </row>
    <row r="381" spans="3:6" ht="14.25" customHeight="1" x14ac:dyDescent="0.25">
      <c r="C381" s="11"/>
      <c r="F381" s="79"/>
    </row>
    <row r="382" spans="3:6" ht="14.25" customHeight="1" x14ac:dyDescent="0.25">
      <c r="C382" s="11"/>
      <c r="F382" s="79"/>
    </row>
    <row r="383" spans="3:6" ht="14.25" customHeight="1" x14ac:dyDescent="0.25">
      <c r="C383" s="11"/>
      <c r="F383" s="79"/>
    </row>
    <row r="384" spans="3:6" ht="14.25" customHeight="1" x14ac:dyDescent="0.25">
      <c r="C384" s="11"/>
      <c r="F384" s="79"/>
    </row>
    <row r="385" spans="3:6" ht="14.25" customHeight="1" x14ac:dyDescent="0.25">
      <c r="C385" s="11"/>
      <c r="F385" s="79"/>
    </row>
    <row r="386" spans="3:6" ht="14.25" customHeight="1" x14ac:dyDescent="0.25">
      <c r="C386" s="11"/>
      <c r="F386" s="79"/>
    </row>
    <row r="387" spans="3:6" ht="14.25" customHeight="1" x14ac:dyDescent="0.25">
      <c r="C387" s="11"/>
      <c r="F387" s="79"/>
    </row>
    <row r="388" spans="3:6" ht="14.25" customHeight="1" x14ac:dyDescent="0.25">
      <c r="C388" s="11"/>
      <c r="F388" s="79"/>
    </row>
    <row r="389" spans="3:6" ht="14.25" customHeight="1" x14ac:dyDescent="0.25">
      <c r="C389" s="11"/>
      <c r="F389" s="79"/>
    </row>
    <row r="390" spans="3:6" ht="14.25" customHeight="1" x14ac:dyDescent="0.25">
      <c r="C390" s="11"/>
      <c r="F390" s="79"/>
    </row>
    <row r="391" spans="3:6" ht="14.25" customHeight="1" x14ac:dyDescent="0.25">
      <c r="C391" s="11"/>
      <c r="F391" s="79"/>
    </row>
    <row r="392" spans="3:6" ht="14.25" customHeight="1" x14ac:dyDescent="0.25">
      <c r="C392" s="11"/>
      <c r="F392" s="79"/>
    </row>
    <row r="393" spans="3:6" ht="14.25" customHeight="1" x14ac:dyDescent="0.25">
      <c r="C393" s="11"/>
      <c r="F393" s="79"/>
    </row>
    <row r="394" spans="3:6" ht="14.25" customHeight="1" x14ac:dyDescent="0.25">
      <c r="C394" s="11"/>
      <c r="F394" s="79"/>
    </row>
    <row r="395" spans="3:6" ht="14.25" customHeight="1" x14ac:dyDescent="0.25">
      <c r="C395" s="11"/>
      <c r="F395" s="79"/>
    </row>
    <row r="396" spans="3:6" ht="14.25" customHeight="1" x14ac:dyDescent="0.25">
      <c r="C396" s="11"/>
      <c r="F396" s="79"/>
    </row>
    <row r="397" spans="3:6" ht="14.25" customHeight="1" x14ac:dyDescent="0.25">
      <c r="C397" s="11"/>
      <c r="F397" s="79"/>
    </row>
    <row r="398" spans="3:6" ht="14.25" customHeight="1" x14ac:dyDescent="0.25">
      <c r="C398" s="11"/>
      <c r="F398" s="79"/>
    </row>
    <row r="399" spans="3:6" ht="14.25" customHeight="1" x14ac:dyDescent="0.25">
      <c r="C399" s="11"/>
      <c r="F399" s="79"/>
    </row>
    <row r="400" spans="3:6" ht="14.25" customHeight="1" x14ac:dyDescent="0.25">
      <c r="C400" s="11"/>
      <c r="F400" s="79"/>
    </row>
    <row r="401" spans="3:6" ht="14.25" customHeight="1" x14ac:dyDescent="0.25">
      <c r="C401" s="11"/>
      <c r="F401" s="79"/>
    </row>
    <row r="402" spans="3:6" ht="14.25" customHeight="1" x14ac:dyDescent="0.25">
      <c r="C402" s="11"/>
      <c r="F402" s="79"/>
    </row>
    <row r="403" spans="3:6" ht="14.25" customHeight="1" x14ac:dyDescent="0.25">
      <c r="C403" s="11"/>
      <c r="F403" s="79"/>
    </row>
    <row r="404" spans="3:6" ht="14.25" customHeight="1" x14ac:dyDescent="0.25">
      <c r="C404" s="11"/>
      <c r="F404" s="79"/>
    </row>
    <row r="405" spans="3:6" ht="14.25" customHeight="1" x14ac:dyDescent="0.25">
      <c r="C405" s="11"/>
      <c r="F405" s="79"/>
    </row>
    <row r="406" spans="3:6" ht="14.25" customHeight="1" x14ac:dyDescent="0.25">
      <c r="C406" s="11"/>
      <c r="F406" s="79"/>
    </row>
    <row r="407" spans="3:6" ht="14.25" customHeight="1" x14ac:dyDescent="0.25">
      <c r="C407" s="11"/>
      <c r="F407" s="79"/>
    </row>
    <row r="408" spans="3:6" ht="14.25" customHeight="1" x14ac:dyDescent="0.25">
      <c r="C408" s="11"/>
      <c r="F408" s="79"/>
    </row>
    <row r="409" spans="3:6" ht="14.25" customHeight="1" x14ac:dyDescent="0.25">
      <c r="C409" s="11"/>
      <c r="F409" s="79"/>
    </row>
    <row r="410" spans="3:6" ht="14.25" customHeight="1" x14ac:dyDescent="0.25">
      <c r="C410" s="11"/>
      <c r="F410" s="79"/>
    </row>
    <row r="411" spans="3:6" ht="14.25" customHeight="1" x14ac:dyDescent="0.25">
      <c r="C411" s="11"/>
      <c r="F411" s="79"/>
    </row>
    <row r="412" spans="3:6" ht="14.25" customHeight="1" x14ac:dyDescent="0.25">
      <c r="C412" s="11"/>
      <c r="F412" s="79"/>
    </row>
    <row r="413" spans="3:6" ht="14.25" customHeight="1" x14ac:dyDescent="0.25">
      <c r="C413" s="11"/>
      <c r="F413" s="79"/>
    </row>
    <row r="414" spans="3:6" ht="14.25" customHeight="1" x14ac:dyDescent="0.25">
      <c r="C414" s="11"/>
      <c r="F414" s="79"/>
    </row>
    <row r="415" spans="3:6" ht="14.25" customHeight="1" x14ac:dyDescent="0.25">
      <c r="C415" s="11"/>
      <c r="F415" s="79"/>
    </row>
    <row r="416" spans="3:6" ht="14.25" customHeight="1" x14ac:dyDescent="0.25">
      <c r="C416" s="11"/>
      <c r="F416" s="79"/>
    </row>
    <row r="417" spans="3:6" ht="14.25" customHeight="1" x14ac:dyDescent="0.25">
      <c r="C417" s="11"/>
      <c r="F417" s="79"/>
    </row>
    <row r="418" spans="3:6" ht="14.25" customHeight="1" x14ac:dyDescent="0.25">
      <c r="C418" s="11"/>
      <c r="F418" s="79"/>
    </row>
    <row r="419" spans="3:6" ht="14.25" customHeight="1" x14ac:dyDescent="0.25">
      <c r="C419" s="11"/>
      <c r="F419" s="79"/>
    </row>
    <row r="420" spans="3:6" ht="14.25" customHeight="1" x14ac:dyDescent="0.25">
      <c r="C420" s="11"/>
      <c r="F420" s="79"/>
    </row>
    <row r="421" spans="3:6" ht="14.25" customHeight="1" x14ac:dyDescent="0.25">
      <c r="C421" s="11"/>
      <c r="F421" s="79"/>
    </row>
    <row r="422" spans="3:6" ht="14.25" customHeight="1" x14ac:dyDescent="0.25">
      <c r="C422" s="11"/>
      <c r="F422" s="79"/>
    </row>
    <row r="423" spans="3:6" ht="14.25" customHeight="1" x14ac:dyDescent="0.25">
      <c r="C423" s="11"/>
      <c r="F423" s="79"/>
    </row>
    <row r="424" spans="3:6" ht="14.25" customHeight="1" x14ac:dyDescent="0.25">
      <c r="C424" s="11"/>
      <c r="F424" s="79"/>
    </row>
    <row r="425" spans="3:6" ht="14.25" customHeight="1" x14ac:dyDescent="0.25">
      <c r="C425" s="11"/>
      <c r="F425" s="79"/>
    </row>
    <row r="426" spans="3:6" ht="14.25" customHeight="1" x14ac:dyDescent="0.25">
      <c r="C426" s="11"/>
      <c r="F426" s="79"/>
    </row>
    <row r="427" spans="3:6" ht="14.25" customHeight="1" x14ac:dyDescent="0.25">
      <c r="C427" s="11"/>
      <c r="F427" s="79"/>
    </row>
    <row r="428" spans="3:6" ht="14.25" customHeight="1" x14ac:dyDescent="0.25">
      <c r="C428" s="11"/>
      <c r="F428" s="79"/>
    </row>
    <row r="429" spans="3:6" ht="14.25" customHeight="1" x14ac:dyDescent="0.25">
      <c r="C429" s="11"/>
      <c r="F429" s="79"/>
    </row>
    <row r="430" spans="3:6" ht="14.25" customHeight="1" x14ac:dyDescent="0.25">
      <c r="C430" s="11"/>
      <c r="F430" s="79"/>
    </row>
    <row r="431" spans="3:6" ht="14.25" customHeight="1" x14ac:dyDescent="0.25">
      <c r="C431" s="11"/>
      <c r="F431" s="79"/>
    </row>
    <row r="432" spans="3:6" ht="14.25" customHeight="1" x14ac:dyDescent="0.25">
      <c r="C432" s="11"/>
      <c r="F432" s="79"/>
    </row>
    <row r="433" spans="3:6" ht="14.25" customHeight="1" x14ac:dyDescent="0.25">
      <c r="C433" s="11"/>
      <c r="F433" s="79"/>
    </row>
    <row r="434" spans="3:6" ht="14.25" customHeight="1" x14ac:dyDescent="0.25">
      <c r="C434" s="11"/>
      <c r="F434" s="79"/>
    </row>
    <row r="435" spans="3:6" ht="14.25" customHeight="1" x14ac:dyDescent="0.25">
      <c r="C435" s="11"/>
      <c r="F435" s="79"/>
    </row>
    <row r="436" spans="3:6" ht="14.25" customHeight="1" x14ac:dyDescent="0.25">
      <c r="C436" s="11"/>
      <c r="F436" s="79"/>
    </row>
    <row r="437" spans="3:6" ht="14.25" customHeight="1" x14ac:dyDescent="0.25">
      <c r="C437" s="11"/>
      <c r="F437" s="79"/>
    </row>
    <row r="438" spans="3:6" ht="14.25" customHeight="1" x14ac:dyDescent="0.25">
      <c r="C438" s="11"/>
      <c r="F438" s="79"/>
    </row>
    <row r="439" spans="3:6" ht="14.25" customHeight="1" x14ac:dyDescent="0.25">
      <c r="C439" s="11"/>
      <c r="F439" s="79"/>
    </row>
    <row r="440" spans="3:6" ht="14.25" customHeight="1" x14ac:dyDescent="0.25">
      <c r="C440" s="11"/>
      <c r="F440" s="79"/>
    </row>
    <row r="441" spans="3:6" ht="14.25" customHeight="1" x14ac:dyDescent="0.25">
      <c r="C441" s="11"/>
      <c r="F441" s="79"/>
    </row>
    <row r="442" spans="3:6" ht="14.25" customHeight="1" x14ac:dyDescent="0.25">
      <c r="C442" s="11"/>
      <c r="F442" s="79"/>
    </row>
    <row r="443" spans="3:6" ht="14.25" customHeight="1" x14ac:dyDescent="0.25">
      <c r="C443" s="11"/>
      <c r="F443" s="79"/>
    </row>
    <row r="444" spans="3:6" ht="14.25" customHeight="1" x14ac:dyDescent="0.25">
      <c r="C444" s="11"/>
      <c r="F444" s="79"/>
    </row>
    <row r="445" spans="3:6" ht="14.25" customHeight="1" x14ac:dyDescent="0.25">
      <c r="C445" s="11"/>
      <c r="F445" s="79"/>
    </row>
    <row r="446" spans="3:6" ht="14.25" customHeight="1" x14ac:dyDescent="0.25">
      <c r="C446" s="11"/>
      <c r="F446" s="79"/>
    </row>
    <row r="447" spans="3:6" ht="14.25" customHeight="1" x14ac:dyDescent="0.25">
      <c r="C447" s="11"/>
      <c r="F447" s="79"/>
    </row>
    <row r="448" spans="3:6" ht="14.25" customHeight="1" x14ac:dyDescent="0.25">
      <c r="C448" s="11"/>
      <c r="F448" s="79"/>
    </row>
    <row r="449" spans="3:6" ht="14.25" customHeight="1" x14ac:dyDescent="0.25">
      <c r="C449" s="11"/>
      <c r="F449" s="79"/>
    </row>
    <row r="450" spans="3:6" ht="14.25" customHeight="1" x14ac:dyDescent="0.25">
      <c r="C450" s="11"/>
      <c r="F450" s="79"/>
    </row>
    <row r="451" spans="3:6" ht="14.25" customHeight="1" x14ac:dyDescent="0.25">
      <c r="C451" s="11"/>
      <c r="F451" s="79"/>
    </row>
    <row r="452" spans="3:6" ht="14.25" customHeight="1" x14ac:dyDescent="0.25">
      <c r="C452" s="11"/>
      <c r="F452" s="79"/>
    </row>
    <row r="453" spans="3:6" ht="14.25" customHeight="1" x14ac:dyDescent="0.25">
      <c r="C453" s="11"/>
      <c r="F453" s="79"/>
    </row>
    <row r="454" spans="3:6" ht="14.25" customHeight="1" x14ac:dyDescent="0.25">
      <c r="C454" s="11"/>
      <c r="F454" s="79"/>
    </row>
    <row r="455" spans="3:6" ht="14.25" customHeight="1" x14ac:dyDescent="0.25">
      <c r="C455" s="11"/>
      <c r="F455" s="79"/>
    </row>
    <row r="456" spans="3:6" ht="14.25" customHeight="1" x14ac:dyDescent="0.25">
      <c r="C456" s="11"/>
      <c r="F456" s="79"/>
    </row>
    <row r="457" spans="3:6" ht="14.25" customHeight="1" x14ac:dyDescent="0.25">
      <c r="C457" s="11"/>
      <c r="F457" s="79"/>
    </row>
    <row r="458" spans="3:6" ht="14.25" customHeight="1" x14ac:dyDescent="0.25">
      <c r="C458" s="11"/>
      <c r="F458" s="79"/>
    </row>
    <row r="459" spans="3:6" ht="14.25" customHeight="1" x14ac:dyDescent="0.25">
      <c r="C459" s="11"/>
      <c r="F459" s="79"/>
    </row>
    <row r="460" spans="3:6" ht="14.25" customHeight="1" x14ac:dyDescent="0.25">
      <c r="C460" s="11"/>
      <c r="F460" s="79"/>
    </row>
    <row r="461" spans="3:6" ht="14.25" customHeight="1" x14ac:dyDescent="0.25">
      <c r="C461" s="11"/>
      <c r="F461" s="79"/>
    </row>
    <row r="462" spans="3:6" ht="14.25" customHeight="1" x14ac:dyDescent="0.25">
      <c r="C462" s="11"/>
      <c r="F462" s="79"/>
    </row>
    <row r="463" spans="3:6" ht="14.25" customHeight="1" x14ac:dyDescent="0.25">
      <c r="C463" s="11"/>
      <c r="F463" s="79"/>
    </row>
    <row r="464" spans="3:6" ht="14.25" customHeight="1" x14ac:dyDescent="0.25">
      <c r="C464" s="11"/>
      <c r="F464" s="79"/>
    </row>
    <row r="465" spans="3:6" ht="14.25" customHeight="1" x14ac:dyDescent="0.25">
      <c r="C465" s="11"/>
      <c r="F465" s="79"/>
    </row>
    <row r="466" spans="3:6" ht="14.25" customHeight="1" x14ac:dyDescent="0.25">
      <c r="C466" s="11"/>
      <c r="F466" s="79"/>
    </row>
    <row r="467" spans="3:6" ht="14.25" customHeight="1" x14ac:dyDescent="0.25">
      <c r="C467" s="11"/>
      <c r="F467" s="79"/>
    </row>
    <row r="468" spans="3:6" ht="14.25" customHeight="1" x14ac:dyDescent="0.25">
      <c r="C468" s="11"/>
      <c r="F468" s="79"/>
    </row>
    <row r="469" spans="3:6" ht="14.25" customHeight="1" x14ac:dyDescent="0.25">
      <c r="C469" s="11"/>
      <c r="F469" s="79"/>
    </row>
    <row r="470" spans="3:6" ht="14.25" customHeight="1" x14ac:dyDescent="0.25">
      <c r="C470" s="11"/>
      <c r="F470" s="79"/>
    </row>
    <row r="471" spans="3:6" ht="14.25" customHeight="1" x14ac:dyDescent="0.25">
      <c r="C471" s="11"/>
      <c r="F471" s="79"/>
    </row>
    <row r="472" spans="3:6" ht="14.25" customHeight="1" x14ac:dyDescent="0.25">
      <c r="C472" s="11"/>
      <c r="F472" s="79"/>
    </row>
    <row r="473" spans="3:6" ht="14.25" customHeight="1" x14ac:dyDescent="0.25">
      <c r="C473" s="11"/>
      <c r="F473" s="79"/>
    </row>
    <row r="474" spans="3:6" ht="14.25" customHeight="1" x14ac:dyDescent="0.25">
      <c r="C474" s="11"/>
      <c r="F474" s="79"/>
    </row>
    <row r="475" spans="3:6" ht="14.25" customHeight="1" x14ac:dyDescent="0.25">
      <c r="C475" s="11"/>
      <c r="F475" s="79"/>
    </row>
    <row r="476" spans="3:6" ht="14.25" customHeight="1" x14ac:dyDescent="0.25">
      <c r="C476" s="11"/>
      <c r="F476" s="79"/>
    </row>
    <row r="477" spans="3:6" ht="14.25" customHeight="1" x14ac:dyDescent="0.25">
      <c r="C477" s="11"/>
      <c r="F477" s="79"/>
    </row>
    <row r="478" spans="3:6" ht="14.25" customHeight="1" x14ac:dyDescent="0.25">
      <c r="C478" s="11"/>
      <c r="F478" s="79"/>
    </row>
    <row r="479" spans="3:6" ht="14.25" customHeight="1" x14ac:dyDescent="0.25">
      <c r="C479" s="11"/>
      <c r="F479" s="79"/>
    </row>
    <row r="480" spans="3:6" ht="14.25" customHeight="1" x14ac:dyDescent="0.25">
      <c r="C480" s="11"/>
      <c r="F480" s="79"/>
    </row>
    <row r="481" spans="3:6" ht="14.25" customHeight="1" x14ac:dyDescent="0.25">
      <c r="C481" s="11"/>
      <c r="F481" s="79"/>
    </row>
    <row r="482" spans="3:6" ht="14.25" customHeight="1" x14ac:dyDescent="0.25">
      <c r="C482" s="11"/>
      <c r="F482" s="79"/>
    </row>
    <row r="483" spans="3:6" ht="14.25" customHeight="1" x14ac:dyDescent="0.25">
      <c r="C483" s="11"/>
      <c r="F483" s="79"/>
    </row>
    <row r="484" spans="3:6" ht="14.25" customHeight="1" x14ac:dyDescent="0.25">
      <c r="C484" s="11"/>
      <c r="F484" s="79"/>
    </row>
    <row r="485" spans="3:6" ht="14.25" customHeight="1" x14ac:dyDescent="0.25">
      <c r="C485" s="11"/>
      <c r="F485" s="79"/>
    </row>
    <row r="486" spans="3:6" ht="14.25" customHeight="1" x14ac:dyDescent="0.25">
      <c r="C486" s="11"/>
      <c r="F486" s="79"/>
    </row>
    <row r="487" spans="3:6" ht="14.25" customHeight="1" x14ac:dyDescent="0.25">
      <c r="C487" s="11"/>
      <c r="F487" s="79"/>
    </row>
    <row r="488" spans="3:6" ht="14.25" customHeight="1" x14ac:dyDescent="0.25">
      <c r="C488" s="11"/>
      <c r="F488" s="79"/>
    </row>
    <row r="489" spans="3:6" ht="14.25" customHeight="1" x14ac:dyDescent="0.25">
      <c r="C489" s="11"/>
      <c r="F489" s="79"/>
    </row>
    <row r="490" spans="3:6" ht="14.25" customHeight="1" x14ac:dyDescent="0.25">
      <c r="C490" s="11"/>
      <c r="F490" s="79"/>
    </row>
    <row r="491" spans="3:6" ht="14.25" customHeight="1" x14ac:dyDescent="0.25">
      <c r="C491" s="11"/>
      <c r="F491" s="79"/>
    </row>
    <row r="492" spans="3:6" ht="14.25" customHeight="1" x14ac:dyDescent="0.25">
      <c r="C492" s="11"/>
      <c r="F492" s="79"/>
    </row>
    <row r="493" spans="3:6" ht="14.25" customHeight="1" x14ac:dyDescent="0.25">
      <c r="C493" s="11"/>
      <c r="F493" s="79"/>
    </row>
    <row r="494" spans="3:6" ht="14.25" customHeight="1" x14ac:dyDescent="0.25">
      <c r="C494" s="11"/>
      <c r="F494" s="79"/>
    </row>
    <row r="495" spans="3:6" ht="14.25" customHeight="1" x14ac:dyDescent="0.25">
      <c r="C495" s="11"/>
      <c r="F495" s="79"/>
    </row>
    <row r="496" spans="3:6" ht="14.25" customHeight="1" x14ac:dyDescent="0.25">
      <c r="C496" s="11"/>
      <c r="F496" s="79"/>
    </row>
    <row r="497" spans="3:6" ht="14.25" customHeight="1" x14ac:dyDescent="0.25">
      <c r="C497" s="11"/>
      <c r="F497" s="79"/>
    </row>
    <row r="498" spans="3:6" ht="14.25" customHeight="1" x14ac:dyDescent="0.25">
      <c r="C498" s="11"/>
      <c r="F498" s="79"/>
    </row>
    <row r="499" spans="3:6" ht="14.25" customHeight="1" x14ac:dyDescent="0.25">
      <c r="C499" s="11"/>
      <c r="F499" s="79"/>
    </row>
    <row r="500" spans="3:6" ht="14.25" customHeight="1" x14ac:dyDescent="0.25">
      <c r="C500" s="11"/>
      <c r="F500" s="79"/>
    </row>
    <row r="501" spans="3:6" ht="14.25" customHeight="1" x14ac:dyDescent="0.25">
      <c r="C501" s="11"/>
      <c r="F501" s="79"/>
    </row>
    <row r="502" spans="3:6" ht="14.25" customHeight="1" x14ac:dyDescent="0.25">
      <c r="C502" s="11"/>
      <c r="F502" s="79"/>
    </row>
    <row r="503" spans="3:6" ht="14.25" customHeight="1" x14ac:dyDescent="0.25">
      <c r="C503" s="11"/>
      <c r="F503" s="79"/>
    </row>
    <row r="504" spans="3:6" ht="14.25" customHeight="1" x14ac:dyDescent="0.25">
      <c r="C504" s="11"/>
      <c r="F504" s="79"/>
    </row>
    <row r="505" spans="3:6" ht="14.25" customHeight="1" x14ac:dyDescent="0.25">
      <c r="C505" s="11"/>
      <c r="F505" s="79"/>
    </row>
    <row r="506" spans="3:6" ht="14.25" customHeight="1" x14ac:dyDescent="0.25">
      <c r="C506" s="11"/>
      <c r="F506" s="79"/>
    </row>
    <row r="507" spans="3:6" ht="14.25" customHeight="1" x14ac:dyDescent="0.25">
      <c r="C507" s="11"/>
      <c r="F507" s="79"/>
    </row>
    <row r="508" spans="3:6" ht="14.25" customHeight="1" x14ac:dyDescent="0.25">
      <c r="C508" s="11"/>
      <c r="F508" s="79"/>
    </row>
    <row r="509" spans="3:6" ht="14.25" customHeight="1" x14ac:dyDescent="0.25">
      <c r="C509" s="11"/>
      <c r="F509" s="79"/>
    </row>
    <row r="510" spans="3:6" ht="14.25" customHeight="1" x14ac:dyDescent="0.25">
      <c r="C510" s="11"/>
      <c r="F510" s="79"/>
    </row>
    <row r="511" spans="3:6" ht="14.25" customHeight="1" x14ac:dyDescent="0.25">
      <c r="C511" s="11"/>
      <c r="F511" s="79"/>
    </row>
    <row r="512" spans="3:6" ht="14.25" customHeight="1" x14ac:dyDescent="0.25">
      <c r="C512" s="11"/>
      <c r="F512" s="79"/>
    </row>
    <row r="513" spans="3:6" ht="14.25" customHeight="1" x14ac:dyDescent="0.25">
      <c r="C513" s="11"/>
      <c r="F513" s="79"/>
    </row>
    <row r="514" spans="3:6" ht="14.25" customHeight="1" x14ac:dyDescent="0.25">
      <c r="C514" s="11"/>
      <c r="F514" s="79"/>
    </row>
    <row r="515" spans="3:6" ht="14.25" customHeight="1" x14ac:dyDescent="0.25">
      <c r="C515" s="11"/>
      <c r="F515" s="79"/>
    </row>
    <row r="516" spans="3:6" ht="14.25" customHeight="1" x14ac:dyDescent="0.25">
      <c r="C516" s="11"/>
      <c r="F516" s="79"/>
    </row>
    <row r="517" spans="3:6" ht="14.25" customHeight="1" x14ac:dyDescent="0.25">
      <c r="C517" s="11"/>
      <c r="F517" s="79"/>
    </row>
    <row r="518" spans="3:6" ht="14.25" customHeight="1" x14ac:dyDescent="0.25">
      <c r="C518" s="11"/>
      <c r="F518" s="79"/>
    </row>
    <row r="519" spans="3:6" ht="14.25" customHeight="1" x14ac:dyDescent="0.25">
      <c r="C519" s="11"/>
      <c r="F519" s="79"/>
    </row>
    <row r="520" spans="3:6" ht="14.25" customHeight="1" x14ac:dyDescent="0.25">
      <c r="C520" s="11"/>
      <c r="F520" s="79"/>
    </row>
    <row r="521" spans="3:6" ht="14.25" customHeight="1" x14ac:dyDescent="0.25">
      <c r="C521" s="11"/>
      <c r="F521" s="79"/>
    </row>
    <row r="522" spans="3:6" ht="14.25" customHeight="1" x14ac:dyDescent="0.25">
      <c r="C522" s="11"/>
      <c r="F522" s="79"/>
    </row>
    <row r="523" spans="3:6" ht="14.25" customHeight="1" x14ac:dyDescent="0.25">
      <c r="C523" s="11"/>
      <c r="F523" s="79"/>
    </row>
    <row r="524" spans="3:6" ht="14.25" customHeight="1" x14ac:dyDescent="0.25">
      <c r="C524" s="11"/>
      <c r="F524" s="79"/>
    </row>
    <row r="525" spans="3:6" ht="14.25" customHeight="1" x14ac:dyDescent="0.25">
      <c r="C525" s="11"/>
      <c r="F525" s="79"/>
    </row>
    <row r="526" spans="3:6" ht="14.25" customHeight="1" x14ac:dyDescent="0.25">
      <c r="C526" s="11"/>
      <c r="F526" s="79"/>
    </row>
    <row r="527" spans="3:6" ht="14.25" customHeight="1" x14ac:dyDescent="0.25">
      <c r="C527" s="11"/>
      <c r="F527" s="79"/>
    </row>
    <row r="528" spans="3:6" ht="14.25" customHeight="1" x14ac:dyDescent="0.25">
      <c r="C528" s="11"/>
      <c r="F528" s="79"/>
    </row>
    <row r="529" spans="3:6" ht="14.25" customHeight="1" x14ac:dyDescent="0.25">
      <c r="C529" s="11"/>
      <c r="F529" s="79"/>
    </row>
    <row r="530" spans="3:6" ht="14.25" customHeight="1" x14ac:dyDescent="0.25">
      <c r="C530" s="11"/>
      <c r="F530" s="79"/>
    </row>
    <row r="531" spans="3:6" ht="14.25" customHeight="1" x14ac:dyDescent="0.25">
      <c r="C531" s="11"/>
      <c r="F531" s="79"/>
    </row>
    <row r="532" spans="3:6" ht="14.25" customHeight="1" x14ac:dyDescent="0.25">
      <c r="C532" s="11"/>
      <c r="F532" s="79"/>
    </row>
    <row r="533" spans="3:6" ht="14.25" customHeight="1" x14ac:dyDescent="0.25">
      <c r="C533" s="11"/>
      <c r="F533" s="79"/>
    </row>
    <row r="534" spans="3:6" ht="14.25" customHeight="1" x14ac:dyDescent="0.25">
      <c r="C534" s="11"/>
      <c r="F534" s="79"/>
    </row>
    <row r="535" spans="3:6" ht="14.25" customHeight="1" x14ac:dyDescent="0.25">
      <c r="C535" s="11"/>
      <c r="F535" s="79"/>
    </row>
    <row r="536" spans="3:6" ht="14.25" customHeight="1" x14ac:dyDescent="0.25">
      <c r="C536" s="11"/>
      <c r="F536" s="79"/>
    </row>
    <row r="537" spans="3:6" ht="14.25" customHeight="1" x14ac:dyDescent="0.25">
      <c r="C537" s="11"/>
      <c r="F537" s="79"/>
    </row>
    <row r="538" spans="3:6" ht="14.25" customHeight="1" x14ac:dyDescent="0.25">
      <c r="C538" s="11"/>
      <c r="F538" s="79"/>
    </row>
    <row r="539" spans="3:6" ht="14.25" customHeight="1" x14ac:dyDescent="0.25">
      <c r="C539" s="11"/>
      <c r="F539" s="79"/>
    </row>
    <row r="540" spans="3:6" ht="14.25" customHeight="1" x14ac:dyDescent="0.25">
      <c r="C540" s="11"/>
      <c r="F540" s="79"/>
    </row>
    <row r="541" spans="3:6" ht="14.25" customHeight="1" x14ac:dyDescent="0.25">
      <c r="C541" s="11"/>
      <c r="F541" s="79"/>
    </row>
    <row r="542" spans="3:6" ht="14.25" customHeight="1" x14ac:dyDescent="0.25">
      <c r="C542" s="11"/>
      <c r="F542" s="79"/>
    </row>
    <row r="543" spans="3:6" ht="14.25" customHeight="1" x14ac:dyDescent="0.25">
      <c r="C543" s="11"/>
      <c r="F543" s="79"/>
    </row>
    <row r="544" spans="3:6" ht="14.25" customHeight="1" x14ac:dyDescent="0.25">
      <c r="C544" s="11"/>
      <c r="F544" s="79"/>
    </row>
    <row r="545" spans="3:6" ht="14.25" customHeight="1" x14ac:dyDescent="0.25">
      <c r="C545" s="11"/>
      <c r="F545" s="79"/>
    </row>
    <row r="546" spans="3:6" ht="14.25" customHeight="1" x14ac:dyDescent="0.25">
      <c r="C546" s="11"/>
      <c r="F546" s="79"/>
    </row>
    <row r="547" spans="3:6" ht="14.25" customHeight="1" x14ac:dyDescent="0.25">
      <c r="C547" s="11"/>
      <c r="F547" s="79"/>
    </row>
    <row r="548" spans="3:6" ht="14.25" customHeight="1" x14ac:dyDescent="0.25">
      <c r="C548" s="11"/>
      <c r="F548" s="79"/>
    </row>
    <row r="549" spans="3:6" ht="14.25" customHeight="1" x14ac:dyDescent="0.25">
      <c r="C549" s="11"/>
      <c r="F549" s="79"/>
    </row>
    <row r="550" spans="3:6" ht="14.25" customHeight="1" x14ac:dyDescent="0.25">
      <c r="C550" s="11"/>
      <c r="F550" s="79"/>
    </row>
    <row r="551" spans="3:6" ht="14.25" customHeight="1" x14ac:dyDescent="0.25">
      <c r="C551" s="11"/>
      <c r="F551" s="79"/>
    </row>
    <row r="552" spans="3:6" ht="14.25" customHeight="1" x14ac:dyDescent="0.25">
      <c r="C552" s="11"/>
      <c r="F552" s="79"/>
    </row>
    <row r="553" spans="3:6" ht="14.25" customHeight="1" x14ac:dyDescent="0.25">
      <c r="C553" s="11"/>
      <c r="F553" s="79"/>
    </row>
    <row r="554" spans="3:6" ht="14.25" customHeight="1" x14ac:dyDescent="0.25">
      <c r="C554" s="11"/>
      <c r="F554" s="79"/>
    </row>
    <row r="555" spans="3:6" ht="14.25" customHeight="1" x14ac:dyDescent="0.25">
      <c r="C555" s="11"/>
      <c r="F555" s="79"/>
    </row>
    <row r="556" spans="3:6" ht="14.25" customHeight="1" x14ac:dyDescent="0.25">
      <c r="C556" s="11"/>
      <c r="F556" s="79"/>
    </row>
    <row r="557" spans="3:6" ht="14.25" customHeight="1" x14ac:dyDescent="0.25">
      <c r="C557" s="11"/>
      <c r="F557" s="79"/>
    </row>
    <row r="558" spans="3:6" ht="14.25" customHeight="1" x14ac:dyDescent="0.25">
      <c r="C558" s="11"/>
      <c r="F558" s="79"/>
    </row>
    <row r="559" spans="3:6" ht="14.25" customHeight="1" x14ac:dyDescent="0.25">
      <c r="C559" s="11"/>
      <c r="F559" s="79"/>
    </row>
    <row r="560" spans="3:6" ht="14.25" customHeight="1" x14ac:dyDescent="0.25">
      <c r="C560" s="11"/>
      <c r="F560" s="79"/>
    </row>
    <row r="561" spans="3:32" ht="14.25" customHeight="1" x14ac:dyDescent="0.25">
      <c r="C561" s="11"/>
      <c r="F561" s="79"/>
    </row>
    <row r="562" spans="3:32" ht="14.25" customHeight="1" x14ac:dyDescent="0.25">
      <c r="C562" s="11"/>
      <c r="F562" s="79"/>
    </row>
    <row r="563" spans="3:32" ht="14.25" customHeight="1" x14ac:dyDescent="0.25">
      <c r="C563" s="11"/>
      <c r="F563" s="79"/>
    </row>
    <row r="564" spans="3:32" ht="14.25" customHeight="1" x14ac:dyDescent="0.25">
      <c r="C564" s="11"/>
      <c r="F564" s="79"/>
    </row>
    <row r="565" spans="3:32" ht="14.25" customHeight="1" x14ac:dyDescent="0.25">
      <c r="C565" s="11"/>
      <c r="F565" s="79"/>
    </row>
    <row r="566" spans="3:32" ht="14.25" customHeight="1" x14ac:dyDescent="0.25">
      <c r="C566" s="11"/>
      <c r="F566" s="79"/>
    </row>
    <row r="567" spans="3:32" ht="14.25" customHeight="1" x14ac:dyDescent="0.25">
      <c r="C567" s="11"/>
      <c r="F567" s="79"/>
    </row>
    <row r="568" spans="3:32" ht="14.25" customHeight="1" x14ac:dyDescent="0.25">
      <c r="C568" s="11"/>
      <c r="F568" s="79"/>
    </row>
    <row r="569" spans="3:32" ht="14.25" customHeight="1" x14ac:dyDescent="0.25">
      <c r="C569" s="11"/>
      <c r="F569" s="79"/>
    </row>
    <row r="570" spans="3:32" ht="14.25" customHeight="1" x14ac:dyDescent="0.25">
      <c r="C570" s="11"/>
      <c r="F570" s="79"/>
    </row>
    <row r="571" spans="3:32" ht="14.25" customHeight="1" x14ac:dyDescent="0.25">
      <c r="C571" s="11"/>
      <c r="F571" s="79"/>
    </row>
    <row r="572" spans="3:32" ht="14.25" customHeight="1" x14ac:dyDescent="0.25">
      <c r="C572" s="11"/>
      <c r="F572" s="79"/>
    </row>
    <row r="573" spans="3:32" ht="14.25" customHeight="1" x14ac:dyDescent="0.25">
      <c r="C573" s="11"/>
      <c r="F573" s="79"/>
    </row>
    <row r="574" spans="3:32" ht="14.25" customHeight="1" x14ac:dyDescent="0.25">
      <c r="C574" s="11"/>
      <c r="F574" s="79"/>
    </row>
    <row r="575" spans="3:32" ht="14.25" customHeight="1" x14ac:dyDescent="0.25">
      <c r="C575" s="11"/>
      <c r="F575" s="79"/>
    </row>
    <row r="576" spans="3:32" ht="14.25" customHeight="1" x14ac:dyDescent="0.25">
      <c r="C576" s="11"/>
      <c r="F576" s="79"/>
      <c r="AC576" s="43"/>
      <c r="AD576" s="44"/>
      <c r="AE576" s="44"/>
      <c r="AF576" s="44"/>
    </row>
    <row r="577" spans="3:32" ht="14.25" customHeight="1" x14ac:dyDescent="0.25">
      <c r="C577" s="11"/>
      <c r="F577" s="79"/>
      <c r="AC577" s="43"/>
      <c r="AD577" s="44"/>
      <c r="AE577" s="44"/>
      <c r="AF577" s="44"/>
    </row>
    <row r="578" spans="3:32" ht="14.25" customHeight="1" x14ac:dyDescent="0.25">
      <c r="C578" s="11"/>
      <c r="F578" s="79"/>
      <c r="AC578" s="43"/>
      <c r="AD578" s="44"/>
      <c r="AE578" s="44"/>
      <c r="AF578" s="44"/>
    </row>
    <row r="579" spans="3:32" ht="14.25" customHeight="1" x14ac:dyDescent="0.25">
      <c r="C579" s="11"/>
      <c r="F579" s="79"/>
      <c r="AC579" s="43"/>
      <c r="AD579" s="44"/>
      <c r="AE579" s="44"/>
      <c r="AF579" s="44"/>
    </row>
    <row r="580" spans="3:32" ht="14.25" customHeight="1" x14ac:dyDescent="0.25">
      <c r="C580" s="11"/>
      <c r="F580" s="79"/>
      <c r="AC580" s="43"/>
      <c r="AD580" s="44"/>
      <c r="AE580" s="44"/>
      <c r="AF580" s="44"/>
    </row>
    <row r="581" spans="3:32" ht="14.25" customHeight="1" x14ac:dyDescent="0.25">
      <c r="C581" s="11"/>
      <c r="F581" s="79"/>
      <c r="AC581" s="43"/>
      <c r="AD581" s="44"/>
      <c r="AE581" s="44"/>
      <c r="AF581" s="44"/>
    </row>
    <row r="582" spans="3:32" ht="14.25" customHeight="1" x14ac:dyDescent="0.25">
      <c r="C582" s="11"/>
      <c r="F582" s="79"/>
      <c r="AC582" s="43"/>
      <c r="AD582" s="44"/>
      <c r="AE582" s="44"/>
      <c r="AF582" s="44"/>
    </row>
    <row r="583" spans="3:32" ht="14.25" customHeight="1" x14ac:dyDescent="0.25">
      <c r="C583" s="11"/>
      <c r="F583" s="79"/>
      <c r="AC583" s="43"/>
      <c r="AD583" s="44"/>
      <c r="AE583" s="44"/>
      <c r="AF583" s="44"/>
    </row>
    <row r="584" spans="3:32" ht="14.25" customHeight="1" x14ac:dyDescent="0.25">
      <c r="C584" s="11"/>
      <c r="F584" s="79"/>
      <c r="AC584" s="43"/>
      <c r="AD584" s="44"/>
      <c r="AE584" s="44"/>
      <c r="AF584" s="44"/>
    </row>
    <row r="585" spans="3:32" ht="14.25" customHeight="1" x14ac:dyDescent="0.25">
      <c r="C585" s="11"/>
      <c r="F585" s="79"/>
      <c r="AC585" s="43"/>
      <c r="AD585" s="44"/>
      <c r="AE585" s="44"/>
      <c r="AF585" s="44"/>
    </row>
    <row r="586" spans="3:32" ht="14.25" customHeight="1" x14ac:dyDescent="0.25">
      <c r="C586" s="11"/>
      <c r="F586" s="79"/>
      <c r="AC586" s="43"/>
      <c r="AD586" s="44"/>
      <c r="AE586" s="44"/>
      <c r="AF586" s="44"/>
    </row>
    <row r="587" spans="3:32" ht="14.25" customHeight="1" x14ac:dyDescent="0.25">
      <c r="C587" s="11"/>
      <c r="F587" s="79"/>
      <c r="AC587" s="43"/>
      <c r="AD587" s="44"/>
      <c r="AE587" s="44"/>
      <c r="AF587" s="44"/>
    </row>
    <row r="588" spans="3:32" ht="14.25" customHeight="1" x14ac:dyDescent="0.25">
      <c r="C588" s="11"/>
      <c r="F588" s="79"/>
      <c r="AC588" s="43"/>
      <c r="AD588" s="44"/>
      <c r="AE588" s="44"/>
      <c r="AF588" s="44"/>
    </row>
    <row r="589" spans="3:32" ht="14.25" customHeight="1" x14ac:dyDescent="0.25">
      <c r="C589" s="11"/>
      <c r="F589" s="79"/>
      <c r="AC589" s="43"/>
      <c r="AD589" s="44"/>
      <c r="AE589" s="44"/>
      <c r="AF589" s="44"/>
    </row>
    <row r="590" spans="3:32" ht="14.25" customHeight="1" x14ac:dyDescent="0.25">
      <c r="C590" s="11"/>
      <c r="F590" s="79"/>
      <c r="AC590" s="43"/>
      <c r="AD590" s="44"/>
      <c r="AE590" s="44"/>
      <c r="AF590" s="44"/>
    </row>
    <row r="591" spans="3:32" ht="14.25" customHeight="1" x14ac:dyDescent="0.25">
      <c r="C591" s="11"/>
      <c r="F591" s="79"/>
      <c r="AC591" s="43"/>
      <c r="AD591" s="44"/>
      <c r="AE591" s="44"/>
      <c r="AF591" s="44"/>
    </row>
    <row r="592" spans="3:32" ht="14.25" customHeight="1" x14ac:dyDescent="0.25">
      <c r="C592" s="11"/>
      <c r="F592" s="79"/>
      <c r="AC592" s="43"/>
      <c r="AD592" s="44"/>
      <c r="AE592" s="44"/>
      <c r="AF592" s="44"/>
    </row>
    <row r="593" spans="3:32" ht="14.25" customHeight="1" x14ac:dyDescent="0.25">
      <c r="C593" s="11"/>
      <c r="F593" s="79"/>
      <c r="AC593" s="43"/>
      <c r="AD593" s="44"/>
      <c r="AE593" s="44"/>
      <c r="AF593" s="44"/>
    </row>
    <row r="594" spans="3:32" ht="14.25" customHeight="1" x14ac:dyDescent="0.25">
      <c r="C594" s="11"/>
      <c r="F594" s="79"/>
      <c r="AC594" s="43"/>
      <c r="AD594" s="44"/>
      <c r="AE594" s="44"/>
      <c r="AF594" s="44"/>
    </row>
    <row r="595" spans="3:32" ht="14.25" customHeight="1" x14ac:dyDescent="0.25">
      <c r="C595" s="11"/>
      <c r="F595" s="79"/>
      <c r="AC595" s="43"/>
      <c r="AD595" s="44"/>
      <c r="AE595" s="44"/>
      <c r="AF595" s="44"/>
    </row>
    <row r="596" spans="3:32" ht="14.25" customHeight="1" x14ac:dyDescent="0.25">
      <c r="C596" s="11"/>
      <c r="F596" s="79"/>
      <c r="AC596" s="43"/>
      <c r="AD596" s="44"/>
      <c r="AE596" s="44"/>
      <c r="AF596" s="44"/>
    </row>
    <row r="597" spans="3:32" ht="14.25" customHeight="1" x14ac:dyDescent="0.25">
      <c r="C597" s="11"/>
      <c r="F597" s="79"/>
      <c r="AC597" s="43"/>
      <c r="AD597" s="44"/>
      <c r="AE597" s="44"/>
      <c r="AF597" s="44"/>
    </row>
    <row r="598" spans="3:32" ht="14.25" customHeight="1" x14ac:dyDescent="0.25">
      <c r="C598" s="11"/>
      <c r="F598" s="79"/>
      <c r="AC598" s="43"/>
      <c r="AD598" s="44"/>
      <c r="AE598" s="44"/>
      <c r="AF598" s="44"/>
    </row>
    <row r="599" spans="3:32" ht="14.25" customHeight="1" x14ac:dyDescent="0.25">
      <c r="C599" s="11"/>
      <c r="F599" s="79"/>
      <c r="AC599" s="43"/>
      <c r="AD599" s="44"/>
      <c r="AE599" s="44"/>
      <c r="AF599" s="44"/>
    </row>
    <row r="600" spans="3:32" ht="14.25" customHeight="1" x14ac:dyDescent="0.25">
      <c r="C600" s="11"/>
      <c r="F600" s="79"/>
      <c r="AC600" s="43"/>
      <c r="AD600" s="44"/>
      <c r="AE600" s="44"/>
      <c r="AF600" s="44"/>
    </row>
    <row r="601" spans="3:32" ht="14.25" customHeight="1" x14ac:dyDescent="0.25">
      <c r="C601" s="11"/>
      <c r="F601" s="79"/>
      <c r="AC601" s="43"/>
      <c r="AD601" s="44"/>
      <c r="AE601" s="44"/>
      <c r="AF601" s="44"/>
    </row>
    <row r="602" spans="3:32" ht="14.25" customHeight="1" x14ac:dyDescent="0.25">
      <c r="C602" s="11"/>
      <c r="F602" s="79"/>
      <c r="AC602" s="43"/>
      <c r="AD602" s="44"/>
      <c r="AE602" s="44"/>
      <c r="AF602" s="44"/>
    </row>
    <row r="603" spans="3:32" ht="14.25" customHeight="1" x14ac:dyDescent="0.25">
      <c r="C603" s="11"/>
      <c r="F603" s="79"/>
      <c r="AC603" s="43"/>
      <c r="AD603" s="44"/>
      <c r="AE603" s="44"/>
      <c r="AF603" s="44"/>
    </row>
    <row r="604" spans="3:32" ht="14.25" customHeight="1" x14ac:dyDescent="0.25">
      <c r="C604" s="11"/>
      <c r="F604" s="79"/>
      <c r="AC604" s="43"/>
      <c r="AD604" s="44"/>
      <c r="AE604" s="44"/>
      <c r="AF604" s="44"/>
    </row>
    <row r="605" spans="3:32" ht="14.25" customHeight="1" x14ac:dyDescent="0.25">
      <c r="C605" s="11"/>
      <c r="F605" s="79"/>
      <c r="AC605" s="43"/>
      <c r="AD605" s="44"/>
      <c r="AE605" s="44"/>
      <c r="AF605" s="44"/>
    </row>
    <row r="606" spans="3:32" ht="14.25" customHeight="1" x14ac:dyDescent="0.25">
      <c r="C606" s="11"/>
      <c r="F606" s="79"/>
      <c r="AC606" s="43"/>
      <c r="AD606" s="44"/>
      <c r="AE606" s="44"/>
      <c r="AF606" s="44"/>
    </row>
    <row r="607" spans="3:32" ht="14.25" customHeight="1" x14ac:dyDescent="0.25">
      <c r="C607" s="11"/>
      <c r="F607" s="79"/>
      <c r="AC607" s="43"/>
      <c r="AD607" s="44"/>
      <c r="AE607" s="44"/>
      <c r="AF607" s="44"/>
    </row>
    <row r="608" spans="3:32" ht="14.25" customHeight="1" x14ac:dyDescent="0.25">
      <c r="C608" s="11"/>
      <c r="F608" s="79"/>
      <c r="AC608" s="43"/>
      <c r="AD608" s="44"/>
      <c r="AE608" s="44"/>
      <c r="AF608" s="44"/>
    </row>
    <row r="609" spans="3:32" ht="14.25" customHeight="1" x14ac:dyDescent="0.25">
      <c r="C609" s="11"/>
      <c r="F609" s="79"/>
      <c r="AC609" s="43"/>
      <c r="AD609" s="44"/>
      <c r="AE609" s="44"/>
      <c r="AF609" s="44"/>
    </row>
    <row r="610" spans="3:32" ht="14.25" customHeight="1" x14ac:dyDescent="0.25">
      <c r="C610" s="11"/>
      <c r="F610" s="79"/>
      <c r="AC610" s="43"/>
      <c r="AD610" s="44"/>
      <c r="AE610" s="44"/>
      <c r="AF610" s="44"/>
    </row>
    <row r="611" spans="3:32" ht="14.25" customHeight="1" x14ac:dyDescent="0.25">
      <c r="C611" s="11"/>
      <c r="F611" s="79"/>
      <c r="AC611" s="43"/>
      <c r="AD611" s="44"/>
      <c r="AE611" s="44"/>
      <c r="AF611" s="44"/>
    </row>
    <row r="612" spans="3:32" ht="14.25" customHeight="1" x14ac:dyDescent="0.25">
      <c r="C612" s="11"/>
      <c r="F612" s="79"/>
      <c r="AC612" s="43"/>
      <c r="AD612" s="44"/>
      <c r="AE612" s="44"/>
      <c r="AF612" s="44"/>
    </row>
    <row r="613" spans="3:32" ht="14.25" customHeight="1" x14ac:dyDescent="0.25">
      <c r="C613" s="11"/>
      <c r="F613" s="79"/>
      <c r="AC613" s="43"/>
      <c r="AD613" s="44"/>
      <c r="AE613" s="44"/>
      <c r="AF613" s="44"/>
    </row>
    <row r="614" spans="3:32" ht="14.25" customHeight="1" x14ac:dyDescent="0.25">
      <c r="C614" s="11"/>
      <c r="F614" s="79"/>
      <c r="AC614" s="43"/>
      <c r="AD614" s="44"/>
      <c r="AE614" s="44"/>
      <c r="AF614" s="44"/>
    </row>
    <row r="615" spans="3:32" ht="14.25" customHeight="1" x14ac:dyDescent="0.25">
      <c r="C615" s="11"/>
      <c r="F615" s="79"/>
      <c r="AC615" s="43"/>
      <c r="AD615" s="44"/>
      <c r="AE615" s="44"/>
      <c r="AF615" s="44"/>
    </row>
    <row r="616" spans="3:32" ht="14.25" customHeight="1" x14ac:dyDescent="0.25">
      <c r="C616" s="11"/>
      <c r="F616" s="79"/>
      <c r="AC616" s="43"/>
      <c r="AD616" s="44"/>
      <c r="AE616" s="44"/>
      <c r="AF616" s="44"/>
    </row>
    <row r="617" spans="3:32" ht="14.25" customHeight="1" x14ac:dyDescent="0.25">
      <c r="C617" s="11"/>
      <c r="F617" s="79"/>
      <c r="AC617" s="43"/>
      <c r="AD617" s="44"/>
      <c r="AE617" s="44"/>
      <c r="AF617" s="44"/>
    </row>
    <row r="618" spans="3:32" ht="14.25" customHeight="1" x14ac:dyDescent="0.25">
      <c r="C618" s="11"/>
      <c r="F618" s="79"/>
      <c r="AC618" s="43"/>
      <c r="AD618" s="44"/>
      <c r="AE618" s="44"/>
      <c r="AF618" s="44"/>
    </row>
    <row r="619" spans="3:32" ht="14.25" customHeight="1" x14ac:dyDescent="0.25">
      <c r="C619" s="11"/>
      <c r="F619" s="79"/>
      <c r="AC619" s="43"/>
      <c r="AD619" s="44"/>
      <c r="AE619" s="44"/>
      <c r="AF619" s="44"/>
    </row>
    <row r="620" spans="3:32" ht="14.25" customHeight="1" x14ac:dyDescent="0.25">
      <c r="C620" s="11"/>
      <c r="F620" s="79"/>
      <c r="AC620" s="43"/>
      <c r="AD620" s="44"/>
      <c r="AE620" s="44"/>
      <c r="AF620" s="44"/>
    </row>
    <row r="621" spans="3:32" ht="14.25" customHeight="1" x14ac:dyDescent="0.25">
      <c r="C621" s="11"/>
      <c r="F621" s="79"/>
      <c r="AC621" s="43"/>
      <c r="AD621" s="44"/>
      <c r="AE621" s="44"/>
      <c r="AF621" s="44"/>
    </row>
    <row r="622" spans="3:32" ht="14.25" customHeight="1" x14ac:dyDescent="0.25">
      <c r="C622" s="11"/>
      <c r="F622" s="79"/>
      <c r="AC622" s="43"/>
      <c r="AD622" s="44"/>
      <c r="AE622" s="44"/>
      <c r="AF622" s="44"/>
    </row>
    <row r="623" spans="3:32" ht="14.25" customHeight="1" x14ac:dyDescent="0.25">
      <c r="C623" s="11"/>
      <c r="F623" s="79"/>
      <c r="AC623" s="43"/>
      <c r="AD623" s="44"/>
      <c r="AE623" s="44"/>
      <c r="AF623" s="44"/>
    </row>
    <row r="624" spans="3:32" ht="14.25" customHeight="1" x14ac:dyDescent="0.25">
      <c r="C624" s="11"/>
      <c r="F624" s="79"/>
      <c r="AC624" s="43"/>
      <c r="AD624" s="44"/>
      <c r="AE624" s="44"/>
      <c r="AF624" s="44"/>
    </row>
    <row r="625" spans="3:32" ht="14.25" customHeight="1" x14ac:dyDescent="0.25">
      <c r="C625" s="11"/>
      <c r="F625" s="79"/>
      <c r="AC625" s="43"/>
      <c r="AD625" s="44"/>
      <c r="AE625" s="44"/>
      <c r="AF625" s="44"/>
    </row>
    <row r="626" spans="3:32" ht="14.25" customHeight="1" x14ac:dyDescent="0.25">
      <c r="C626" s="11"/>
      <c r="F626" s="79"/>
      <c r="AC626" s="43"/>
      <c r="AD626" s="44"/>
      <c r="AE626" s="44"/>
      <c r="AF626" s="44"/>
    </row>
    <row r="627" spans="3:32" ht="14.25" customHeight="1" x14ac:dyDescent="0.25">
      <c r="C627" s="11"/>
      <c r="F627" s="79"/>
      <c r="AC627" s="43"/>
      <c r="AD627" s="44"/>
      <c r="AE627" s="44"/>
      <c r="AF627" s="44"/>
    </row>
    <row r="628" spans="3:32" ht="14.25" customHeight="1" x14ac:dyDescent="0.25">
      <c r="C628" s="11"/>
      <c r="F628" s="79"/>
      <c r="AC628" s="43"/>
      <c r="AD628" s="44"/>
      <c r="AE628" s="44"/>
      <c r="AF628" s="44"/>
    </row>
    <row r="629" spans="3:32" ht="14.25" customHeight="1" x14ac:dyDescent="0.25">
      <c r="C629" s="11"/>
      <c r="F629" s="79"/>
      <c r="AC629" s="43"/>
      <c r="AD629" s="44"/>
      <c r="AE629" s="44"/>
      <c r="AF629" s="44"/>
    </row>
    <row r="630" spans="3:32" ht="14.25" customHeight="1" x14ac:dyDescent="0.25">
      <c r="C630" s="11"/>
      <c r="F630" s="79"/>
      <c r="AC630" s="43"/>
      <c r="AD630" s="44"/>
      <c r="AE630" s="44"/>
      <c r="AF630" s="44"/>
    </row>
    <row r="631" spans="3:32" ht="14.25" customHeight="1" x14ac:dyDescent="0.25">
      <c r="C631" s="11"/>
      <c r="F631" s="79"/>
      <c r="AC631" s="43"/>
      <c r="AD631" s="44"/>
      <c r="AE631" s="44"/>
      <c r="AF631" s="44"/>
    </row>
    <row r="632" spans="3:32" ht="14.25" customHeight="1" x14ac:dyDescent="0.25">
      <c r="C632" s="11"/>
      <c r="F632" s="79"/>
      <c r="AC632" s="43"/>
      <c r="AD632" s="44"/>
      <c r="AE632" s="44"/>
      <c r="AF632" s="44"/>
    </row>
    <row r="633" spans="3:32" ht="14.25" customHeight="1" x14ac:dyDescent="0.25">
      <c r="C633" s="11"/>
      <c r="F633" s="79"/>
      <c r="AC633" s="43"/>
      <c r="AD633" s="44"/>
      <c r="AE633" s="44"/>
      <c r="AF633" s="44"/>
    </row>
    <row r="634" spans="3:32" ht="14.25" customHeight="1" x14ac:dyDescent="0.25">
      <c r="C634" s="11"/>
      <c r="F634" s="79"/>
      <c r="AC634" s="43"/>
      <c r="AD634" s="44"/>
      <c r="AE634" s="44"/>
      <c r="AF634" s="44"/>
    </row>
    <row r="635" spans="3:32" ht="14.25" customHeight="1" x14ac:dyDescent="0.25">
      <c r="C635" s="11"/>
      <c r="F635" s="79"/>
      <c r="AC635" s="43"/>
      <c r="AD635" s="44"/>
      <c r="AE635" s="44"/>
      <c r="AF635" s="44"/>
    </row>
    <row r="636" spans="3:32" ht="14.25" customHeight="1" x14ac:dyDescent="0.25">
      <c r="C636" s="11"/>
      <c r="F636" s="79"/>
      <c r="AC636" s="43"/>
      <c r="AD636" s="44"/>
      <c r="AE636" s="44"/>
      <c r="AF636" s="44"/>
    </row>
    <row r="637" spans="3:32" ht="14.25" customHeight="1" x14ac:dyDescent="0.25">
      <c r="C637" s="11"/>
      <c r="F637" s="79"/>
      <c r="AC637" s="43"/>
      <c r="AD637" s="44"/>
      <c r="AE637" s="44"/>
      <c r="AF637" s="44"/>
    </row>
    <row r="638" spans="3:32" ht="14.25" customHeight="1" x14ac:dyDescent="0.25">
      <c r="C638" s="11"/>
      <c r="F638" s="79"/>
      <c r="AC638" s="43"/>
      <c r="AD638" s="44"/>
      <c r="AE638" s="44"/>
      <c r="AF638" s="44"/>
    </row>
    <row r="639" spans="3:32" ht="14.25" customHeight="1" x14ac:dyDescent="0.25">
      <c r="C639" s="11"/>
      <c r="F639" s="79"/>
      <c r="AC639" s="43"/>
      <c r="AD639" s="44"/>
      <c r="AE639" s="44"/>
      <c r="AF639" s="44"/>
    </row>
    <row r="640" spans="3:32" ht="14.25" customHeight="1" x14ac:dyDescent="0.25">
      <c r="C640" s="11"/>
      <c r="F640" s="79"/>
      <c r="AC640" s="43"/>
      <c r="AD640" s="44"/>
      <c r="AE640" s="44"/>
      <c r="AF640" s="44"/>
    </row>
    <row r="641" spans="3:32" ht="14.25" customHeight="1" x14ac:dyDescent="0.25">
      <c r="C641" s="11"/>
      <c r="F641" s="79"/>
      <c r="AC641" s="43"/>
      <c r="AD641" s="44"/>
      <c r="AE641" s="44"/>
      <c r="AF641" s="44"/>
    </row>
    <row r="642" spans="3:32" ht="14.25" customHeight="1" x14ac:dyDescent="0.25">
      <c r="C642" s="11"/>
      <c r="F642" s="79"/>
      <c r="AC642" s="43"/>
      <c r="AD642" s="44"/>
      <c r="AE642" s="44"/>
      <c r="AF642" s="44"/>
    </row>
    <row r="643" spans="3:32" ht="14.25" customHeight="1" x14ac:dyDescent="0.25">
      <c r="C643" s="11"/>
      <c r="F643" s="79"/>
      <c r="AC643" s="43"/>
      <c r="AD643" s="44"/>
      <c r="AE643" s="44"/>
      <c r="AF643" s="44"/>
    </row>
    <row r="644" spans="3:32" ht="14.25" customHeight="1" x14ac:dyDescent="0.25">
      <c r="C644" s="11"/>
      <c r="F644" s="79"/>
      <c r="AC644" s="43"/>
      <c r="AD644" s="44"/>
      <c r="AE644" s="44"/>
      <c r="AF644" s="44"/>
    </row>
    <row r="645" spans="3:32" ht="14.25" customHeight="1" x14ac:dyDescent="0.25">
      <c r="C645" s="11"/>
      <c r="F645" s="79"/>
      <c r="AC645" s="43"/>
      <c r="AD645" s="44"/>
      <c r="AE645" s="44"/>
      <c r="AF645" s="44"/>
    </row>
    <row r="646" spans="3:32" ht="14.25" customHeight="1" x14ac:dyDescent="0.25">
      <c r="C646" s="11"/>
      <c r="F646" s="79"/>
      <c r="AC646" s="43"/>
      <c r="AD646" s="44"/>
      <c r="AE646" s="44"/>
      <c r="AF646" s="44"/>
    </row>
    <row r="647" spans="3:32" ht="14.25" customHeight="1" x14ac:dyDescent="0.25">
      <c r="C647" s="11"/>
      <c r="F647" s="79"/>
      <c r="AC647" s="43"/>
      <c r="AD647" s="44"/>
      <c r="AE647" s="44"/>
      <c r="AF647" s="44"/>
    </row>
    <row r="648" spans="3:32" ht="14.25" customHeight="1" x14ac:dyDescent="0.25">
      <c r="C648" s="11"/>
      <c r="F648" s="79"/>
      <c r="AC648" s="43"/>
      <c r="AD648" s="44"/>
      <c r="AE648" s="44"/>
      <c r="AF648" s="44"/>
    </row>
    <row r="649" spans="3:32" ht="14.25" customHeight="1" x14ac:dyDescent="0.25">
      <c r="C649" s="11"/>
      <c r="F649" s="79"/>
      <c r="AC649" s="43"/>
      <c r="AD649" s="44"/>
      <c r="AE649" s="44"/>
      <c r="AF649" s="44"/>
    </row>
    <row r="650" spans="3:32" ht="14.25" customHeight="1" x14ac:dyDescent="0.25">
      <c r="C650" s="11"/>
      <c r="F650" s="79"/>
      <c r="AC650" s="43"/>
      <c r="AD650" s="44"/>
      <c r="AE650" s="44"/>
      <c r="AF650" s="44"/>
    </row>
    <row r="651" spans="3:32" ht="14.25" customHeight="1" x14ac:dyDescent="0.25">
      <c r="C651" s="11"/>
      <c r="F651" s="79"/>
      <c r="AC651" s="43"/>
      <c r="AD651" s="44"/>
      <c r="AE651" s="44"/>
      <c r="AF651" s="44"/>
    </row>
    <row r="652" spans="3:32" ht="14.25" customHeight="1" x14ac:dyDescent="0.25">
      <c r="C652" s="11"/>
      <c r="F652" s="79"/>
      <c r="AC652" s="43"/>
      <c r="AD652" s="44"/>
      <c r="AE652" s="44"/>
      <c r="AF652" s="44"/>
    </row>
    <row r="653" spans="3:32" ht="14.25" customHeight="1" x14ac:dyDescent="0.25">
      <c r="C653" s="11"/>
      <c r="F653" s="79"/>
      <c r="AC653" s="43"/>
      <c r="AD653" s="44"/>
      <c r="AE653" s="44"/>
      <c r="AF653" s="44"/>
    </row>
    <row r="654" spans="3:32" ht="14.25" customHeight="1" x14ac:dyDescent="0.25">
      <c r="C654" s="11"/>
      <c r="F654" s="79"/>
      <c r="AC654" s="43"/>
      <c r="AD654" s="44"/>
      <c r="AE654" s="44"/>
      <c r="AF654" s="44"/>
    </row>
    <row r="655" spans="3:32" ht="14.25" customHeight="1" x14ac:dyDescent="0.25">
      <c r="C655" s="11"/>
      <c r="F655" s="79"/>
      <c r="AC655" s="43"/>
      <c r="AD655" s="44"/>
      <c r="AE655" s="44"/>
      <c r="AF655" s="44"/>
    </row>
    <row r="656" spans="3:32" ht="14.25" customHeight="1" x14ac:dyDescent="0.25">
      <c r="C656" s="11"/>
      <c r="F656" s="79"/>
      <c r="AC656" s="43"/>
      <c r="AD656" s="44"/>
      <c r="AE656" s="44"/>
      <c r="AF656" s="44"/>
    </row>
    <row r="657" spans="3:32" ht="14.25" customHeight="1" x14ac:dyDescent="0.25">
      <c r="C657" s="11"/>
      <c r="F657" s="79"/>
      <c r="AC657" s="43"/>
      <c r="AD657" s="44"/>
      <c r="AE657" s="44"/>
      <c r="AF657" s="44"/>
    </row>
    <row r="658" spans="3:32" ht="14.25" customHeight="1" x14ac:dyDescent="0.25">
      <c r="C658" s="11"/>
      <c r="F658" s="79"/>
      <c r="AC658" s="43"/>
      <c r="AD658" s="44"/>
      <c r="AE658" s="44"/>
      <c r="AF658" s="44"/>
    </row>
    <row r="659" spans="3:32" ht="14.25" customHeight="1" x14ac:dyDescent="0.25">
      <c r="C659" s="11"/>
      <c r="F659" s="79"/>
      <c r="AC659" s="43"/>
      <c r="AD659" s="44"/>
      <c r="AE659" s="44"/>
      <c r="AF659" s="44"/>
    </row>
    <row r="660" spans="3:32" ht="14.25" customHeight="1" x14ac:dyDescent="0.25">
      <c r="C660" s="11"/>
      <c r="F660" s="79"/>
      <c r="AC660" s="43"/>
      <c r="AD660" s="44"/>
      <c r="AE660" s="44"/>
      <c r="AF660" s="44"/>
    </row>
    <row r="661" spans="3:32" ht="14.25" customHeight="1" x14ac:dyDescent="0.25">
      <c r="C661" s="11"/>
      <c r="F661" s="79"/>
      <c r="AC661" s="43"/>
      <c r="AD661" s="44"/>
      <c r="AE661" s="44"/>
      <c r="AF661" s="44"/>
    </row>
    <row r="662" spans="3:32" ht="14.25" customHeight="1" x14ac:dyDescent="0.25">
      <c r="C662" s="11"/>
      <c r="F662" s="79"/>
      <c r="AC662" s="43"/>
      <c r="AD662" s="44"/>
      <c r="AE662" s="44"/>
      <c r="AF662" s="44"/>
    </row>
    <row r="663" spans="3:32" ht="14.25" customHeight="1" x14ac:dyDescent="0.25">
      <c r="C663" s="11"/>
      <c r="F663" s="79"/>
      <c r="AC663" s="43"/>
      <c r="AD663" s="44"/>
      <c r="AE663" s="44"/>
      <c r="AF663" s="44"/>
    </row>
    <row r="664" spans="3:32" ht="14.25" customHeight="1" x14ac:dyDescent="0.25">
      <c r="C664" s="11"/>
      <c r="F664" s="79"/>
      <c r="AC664" s="43"/>
      <c r="AD664" s="44"/>
      <c r="AE664" s="44"/>
      <c r="AF664" s="44"/>
    </row>
    <row r="665" spans="3:32" ht="14.25" customHeight="1" x14ac:dyDescent="0.25">
      <c r="C665" s="11"/>
      <c r="F665" s="79"/>
      <c r="AC665" s="43"/>
      <c r="AD665" s="44"/>
      <c r="AE665" s="44"/>
      <c r="AF665" s="44"/>
    </row>
    <row r="666" spans="3:32" ht="14.25" customHeight="1" x14ac:dyDescent="0.25">
      <c r="C666" s="11"/>
      <c r="F666" s="79"/>
      <c r="AC666" s="43"/>
      <c r="AD666" s="44"/>
      <c r="AE666" s="44"/>
      <c r="AF666" s="44"/>
    </row>
    <row r="667" spans="3:32" ht="14.25" customHeight="1" x14ac:dyDescent="0.25">
      <c r="C667" s="11"/>
      <c r="F667" s="79"/>
      <c r="AC667" s="43"/>
      <c r="AD667" s="44"/>
      <c r="AE667" s="44"/>
      <c r="AF667" s="44"/>
    </row>
    <row r="668" spans="3:32" ht="14.25" customHeight="1" x14ac:dyDescent="0.25">
      <c r="C668" s="11"/>
      <c r="F668" s="79"/>
      <c r="AC668" s="43"/>
      <c r="AD668" s="44"/>
      <c r="AE668" s="44"/>
      <c r="AF668" s="44"/>
    </row>
    <row r="669" spans="3:32" ht="14.25" customHeight="1" x14ac:dyDescent="0.25">
      <c r="C669" s="11"/>
      <c r="F669" s="79"/>
      <c r="AC669" s="43"/>
      <c r="AD669" s="44"/>
      <c r="AE669" s="44"/>
      <c r="AF669" s="44"/>
    </row>
    <row r="670" spans="3:32" ht="14.25" customHeight="1" x14ac:dyDescent="0.25">
      <c r="C670" s="11"/>
      <c r="F670" s="79"/>
      <c r="AC670" s="43"/>
      <c r="AD670" s="44"/>
      <c r="AE670" s="44"/>
      <c r="AF670" s="44"/>
    </row>
    <row r="671" spans="3:32" ht="14.25" customHeight="1" x14ac:dyDescent="0.25">
      <c r="C671" s="11"/>
      <c r="F671" s="79"/>
      <c r="AC671" s="43"/>
      <c r="AD671" s="44"/>
      <c r="AE671" s="44"/>
      <c r="AF671" s="44"/>
    </row>
    <row r="672" spans="3:32" ht="14.25" customHeight="1" x14ac:dyDescent="0.25">
      <c r="C672" s="11"/>
      <c r="F672" s="79"/>
      <c r="AC672" s="43"/>
      <c r="AD672" s="44"/>
      <c r="AE672" s="44"/>
      <c r="AF672" s="44"/>
    </row>
    <row r="673" spans="3:32" ht="14.25" customHeight="1" x14ac:dyDescent="0.25">
      <c r="C673" s="11"/>
      <c r="F673" s="79"/>
      <c r="AC673" s="43"/>
      <c r="AD673" s="44"/>
      <c r="AE673" s="44"/>
      <c r="AF673" s="44"/>
    </row>
    <row r="674" spans="3:32" ht="14.25" customHeight="1" x14ac:dyDescent="0.25">
      <c r="C674" s="11"/>
      <c r="F674" s="79"/>
      <c r="AC674" s="43"/>
      <c r="AD674" s="44"/>
      <c r="AE674" s="44"/>
      <c r="AF674" s="44"/>
    </row>
    <row r="675" spans="3:32" ht="14.25" customHeight="1" x14ac:dyDescent="0.25">
      <c r="C675" s="11"/>
      <c r="F675" s="79"/>
      <c r="AC675" s="43"/>
      <c r="AD675" s="44"/>
      <c r="AE675" s="44"/>
      <c r="AF675" s="44"/>
    </row>
    <row r="676" spans="3:32" ht="14.25" customHeight="1" x14ac:dyDescent="0.25">
      <c r="C676" s="11"/>
      <c r="F676" s="79"/>
      <c r="AC676" s="43"/>
      <c r="AD676" s="44"/>
      <c r="AE676" s="44"/>
      <c r="AF676" s="44"/>
    </row>
    <row r="677" spans="3:32" ht="14.25" customHeight="1" x14ac:dyDescent="0.25">
      <c r="C677" s="11"/>
      <c r="F677" s="79"/>
      <c r="AC677" s="43"/>
      <c r="AD677" s="44"/>
      <c r="AE677" s="44"/>
      <c r="AF677" s="44"/>
    </row>
    <row r="678" spans="3:32" ht="14.25" customHeight="1" x14ac:dyDescent="0.25">
      <c r="C678" s="11"/>
      <c r="F678" s="79"/>
      <c r="AC678" s="43"/>
      <c r="AD678" s="44"/>
      <c r="AE678" s="44"/>
      <c r="AF678" s="44"/>
    </row>
    <row r="679" spans="3:32" ht="14.25" customHeight="1" x14ac:dyDescent="0.25">
      <c r="C679" s="11"/>
      <c r="F679" s="79"/>
      <c r="AC679" s="43"/>
      <c r="AD679" s="44"/>
      <c r="AE679" s="44"/>
      <c r="AF679" s="44"/>
    </row>
    <row r="680" spans="3:32" ht="14.25" customHeight="1" x14ac:dyDescent="0.25">
      <c r="C680" s="11"/>
      <c r="F680" s="79"/>
      <c r="AC680" s="43"/>
      <c r="AD680" s="44"/>
      <c r="AE680" s="44"/>
      <c r="AF680" s="44"/>
    </row>
    <row r="681" spans="3:32" ht="14.25" customHeight="1" x14ac:dyDescent="0.25">
      <c r="C681" s="11"/>
      <c r="F681" s="79"/>
      <c r="AC681" s="43"/>
      <c r="AD681" s="44"/>
      <c r="AE681" s="44"/>
      <c r="AF681" s="44"/>
    </row>
    <row r="682" spans="3:32" ht="14.25" customHeight="1" x14ac:dyDescent="0.25">
      <c r="C682" s="11"/>
      <c r="F682" s="79"/>
      <c r="AC682" s="43"/>
      <c r="AD682" s="44"/>
      <c r="AE682" s="44"/>
      <c r="AF682" s="44"/>
    </row>
    <row r="683" spans="3:32" ht="14.25" customHeight="1" x14ac:dyDescent="0.25">
      <c r="C683" s="11"/>
      <c r="F683" s="79"/>
      <c r="AC683" s="43"/>
      <c r="AD683" s="44"/>
      <c r="AE683" s="44"/>
      <c r="AF683" s="44"/>
    </row>
    <row r="684" spans="3:32" ht="14.25" customHeight="1" x14ac:dyDescent="0.25">
      <c r="C684" s="11"/>
      <c r="F684" s="79"/>
      <c r="AC684" s="43"/>
      <c r="AD684" s="44"/>
      <c r="AE684" s="44"/>
      <c r="AF684" s="44"/>
    </row>
    <row r="685" spans="3:32" ht="14.25" customHeight="1" x14ac:dyDescent="0.25">
      <c r="C685" s="11"/>
      <c r="F685" s="79"/>
      <c r="AC685" s="43"/>
      <c r="AD685" s="44"/>
      <c r="AE685" s="44"/>
      <c r="AF685" s="44"/>
    </row>
    <row r="686" spans="3:32" ht="14.25" customHeight="1" x14ac:dyDescent="0.25">
      <c r="C686" s="11"/>
      <c r="F686" s="79"/>
      <c r="AC686" s="43"/>
      <c r="AD686" s="44"/>
      <c r="AE686" s="44"/>
      <c r="AF686" s="44"/>
    </row>
    <row r="687" spans="3:32" ht="14.25" customHeight="1" x14ac:dyDescent="0.25">
      <c r="C687" s="11"/>
      <c r="F687" s="79"/>
      <c r="AC687" s="43"/>
      <c r="AD687" s="44"/>
      <c r="AE687" s="44"/>
      <c r="AF687" s="44"/>
    </row>
    <row r="688" spans="3:32" ht="14.25" customHeight="1" x14ac:dyDescent="0.25">
      <c r="C688" s="11"/>
      <c r="F688" s="79"/>
      <c r="AC688" s="43"/>
      <c r="AD688" s="44"/>
      <c r="AE688" s="44"/>
      <c r="AF688" s="44"/>
    </row>
    <row r="689" spans="3:32" ht="14.25" customHeight="1" x14ac:dyDescent="0.25">
      <c r="C689" s="11"/>
      <c r="F689" s="79"/>
      <c r="AC689" s="43"/>
      <c r="AD689" s="44"/>
      <c r="AE689" s="44"/>
      <c r="AF689" s="44"/>
    </row>
    <row r="690" spans="3:32" ht="14.25" customHeight="1" x14ac:dyDescent="0.25">
      <c r="C690" s="11"/>
      <c r="F690" s="79"/>
      <c r="AC690" s="43"/>
      <c r="AD690" s="44"/>
      <c r="AE690" s="44"/>
      <c r="AF690" s="44"/>
    </row>
    <row r="691" spans="3:32" ht="14.25" customHeight="1" x14ac:dyDescent="0.25">
      <c r="C691" s="11"/>
      <c r="F691" s="79"/>
      <c r="AC691" s="43"/>
      <c r="AD691" s="44"/>
      <c r="AE691" s="44"/>
      <c r="AF691" s="44"/>
    </row>
    <row r="692" spans="3:32" ht="14.25" customHeight="1" x14ac:dyDescent="0.25">
      <c r="C692" s="11"/>
      <c r="F692" s="79"/>
      <c r="AC692" s="43"/>
      <c r="AD692" s="44"/>
      <c r="AE692" s="44"/>
      <c r="AF692" s="44"/>
    </row>
    <row r="693" spans="3:32" ht="14.25" customHeight="1" x14ac:dyDescent="0.25">
      <c r="C693" s="11"/>
      <c r="F693" s="79"/>
      <c r="AC693" s="43"/>
      <c r="AD693" s="44"/>
      <c r="AE693" s="44"/>
      <c r="AF693" s="44"/>
    </row>
    <row r="694" spans="3:32" ht="14.25" customHeight="1" x14ac:dyDescent="0.25">
      <c r="C694" s="11"/>
      <c r="F694" s="79"/>
      <c r="AC694" s="43"/>
      <c r="AD694" s="44"/>
      <c r="AE694" s="44"/>
      <c r="AF694" s="44"/>
    </row>
    <row r="695" spans="3:32" ht="14.25" customHeight="1" x14ac:dyDescent="0.25">
      <c r="C695" s="11"/>
      <c r="F695" s="79"/>
      <c r="AC695" s="43"/>
      <c r="AD695" s="44"/>
      <c r="AE695" s="44"/>
      <c r="AF695" s="44"/>
    </row>
    <row r="696" spans="3:32" ht="14.25" customHeight="1" x14ac:dyDescent="0.25">
      <c r="C696" s="11"/>
      <c r="F696" s="79"/>
      <c r="AC696" s="43"/>
      <c r="AD696" s="44"/>
      <c r="AE696" s="44"/>
      <c r="AF696" s="44"/>
    </row>
    <row r="697" spans="3:32" ht="14.25" customHeight="1" x14ac:dyDescent="0.25">
      <c r="C697" s="11"/>
      <c r="F697" s="79"/>
      <c r="AC697" s="43"/>
      <c r="AD697" s="44"/>
      <c r="AE697" s="44"/>
      <c r="AF697" s="44"/>
    </row>
    <row r="698" spans="3:32" ht="14.25" customHeight="1" x14ac:dyDescent="0.25">
      <c r="C698" s="11"/>
      <c r="F698" s="79"/>
      <c r="AC698" s="43"/>
      <c r="AD698" s="44"/>
      <c r="AE698" s="44"/>
      <c r="AF698" s="44"/>
    </row>
    <row r="699" spans="3:32" ht="14.25" customHeight="1" x14ac:dyDescent="0.25">
      <c r="C699" s="11"/>
      <c r="F699" s="79"/>
      <c r="AC699" s="43"/>
      <c r="AD699" s="44"/>
      <c r="AE699" s="44"/>
      <c r="AF699" s="44"/>
    </row>
    <row r="700" spans="3:32" ht="14.25" customHeight="1" x14ac:dyDescent="0.25">
      <c r="C700" s="11"/>
      <c r="F700" s="79"/>
      <c r="AC700" s="43"/>
      <c r="AD700" s="44"/>
      <c r="AE700" s="44"/>
      <c r="AF700" s="44"/>
    </row>
    <row r="701" spans="3:32" ht="14.25" customHeight="1" x14ac:dyDescent="0.25">
      <c r="C701" s="11"/>
      <c r="F701" s="79"/>
      <c r="AC701" s="43"/>
      <c r="AD701" s="44"/>
      <c r="AE701" s="44"/>
      <c r="AF701" s="44"/>
    </row>
    <row r="702" spans="3:32" ht="14.25" customHeight="1" x14ac:dyDescent="0.25">
      <c r="C702" s="11"/>
      <c r="F702" s="79"/>
      <c r="AC702" s="43"/>
      <c r="AD702" s="44"/>
      <c r="AE702" s="44"/>
      <c r="AF702" s="44"/>
    </row>
    <row r="703" spans="3:32" ht="14.25" customHeight="1" x14ac:dyDescent="0.25">
      <c r="C703" s="11"/>
      <c r="F703" s="79"/>
      <c r="AC703" s="43"/>
      <c r="AD703" s="44"/>
      <c r="AE703" s="44"/>
      <c r="AF703" s="44"/>
    </row>
    <row r="704" spans="3:32" ht="14.25" customHeight="1" x14ac:dyDescent="0.25">
      <c r="C704" s="11"/>
      <c r="F704" s="79"/>
      <c r="AC704" s="43"/>
      <c r="AD704" s="44"/>
      <c r="AE704" s="44"/>
      <c r="AF704" s="44"/>
    </row>
    <row r="705" spans="3:32" ht="14.25" customHeight="1" x14ac:dyDescent="0.25">
      <c r="C705" s="11"/>
      <c r="F705" s="79"/>
      <c r="AC705" s="43"/>
      <c r="AD705" s="44"/>
      <c r="AE705" s="44"/>
      <c r="AF705" s="44"/>
    </row>
    <row r="706" spans="3:32" ht="14.25" customHeight="1" x14ac:dyDescent="0.25">
      <c r="C706" s="11"/>
      <c r="F706" s="79"/>
      <c r="AC706" s="43"/>
      <c r="AD706" s="44"/>
      <c r="AE706" s="44"/>
      <c r="AF706" s="44"/>
    </row>
    <row r="707" spans="3:32" ht="14.25" customHeight="1" x14ac:dyDescent="0.25">
      <c r="C707" s="11"/>
      <c r="F707" s="79"/>
      <c r="AC707" s="43"/>
      <c r="AD707" s="44"/>
      <c r="AE707" s="44"/>
      <c r="AF707" s="44"/>
    </row>
    <row r="708" spans="3:32" ht="14.25" customHeight="1" x14ac:dyDescent="0.25">
      <c r="C708" s="11"/>
      <c r="F708" s="79"/>
      <c r="AC708" s="43"/>
      <c r="AD708" s="44"/>
      <c r="AE708" s="44"/>
      <c r="AF708" s="44"/>
    </row>
    <row r="709" spans="3:32" ht="14.25" customHeight="1" x14ac:dyDescent="0.25">
      <c r="C709" s="11"/>
      <c r="F709" s="79"/>
      <c r="AC709" s="43"/>
      <c r="AD709" s="44"/>
      <c r="AE709" s="44"/>
      <c r="AF709" s="44"/>
    </row>
    <row r="710" spans="3:32" ht="14.25" customHeight="1" x14ac:dyDescent="0.25">
      <c r="C710" s="11"/>
      <c r="F710" s="79"/>
      <c r="AC710" s="43"/>
      <c r="AD710" s="44"/>
      <c r="AE710" s="44"/>
      <c r="AF710" s="44"/>
    </row>
    <row r="711" spans="3:32" ht="14.25" customHeight="1" x14ac:dyDescent="0.25">
      <c r="C711" s="11"/>
      <c r="F711" s="79"/>
      <c r="AC711" s="43"/>
      <c r="AD711" s="44"/>
      <c r="AE711" s="44"/>
      <c r="AF711" s="44"/>
    </row>
    <row r="712" spans="3:32" ht="14.25" customHeight="1" x14ac:dyDescent="0.25">
      <c r="C712" s="11"/>
      <c r="F712" s="79"/>
      <c r="AC712" s="43"/>
      <c r="AD712" s="44"/>
      <c r="AE712" s="44"/>
      <c r="AF712" s="44"/>
    </row>
    <row r="713" spans="3:32" ht="14.25" customHeight="1" x14ac:dyDescent="0.25">
      <c r="C713" s="11"/>
      <c r="F713" s="79"/>
      <c r="AC713" s="43"/>
      <c r="AD713" s="44"/>
      <c r="AE713" s="44"/>
      <c r="AF713" s="44"/>
    </row>
    <row r="714" spans="3:32" ht="14.25" customHeight="1" x14ac:dyDescent="0.25">
      <c r="C714" s="11"/>
      <c r="F714" s="79"/>
      <c r="AC714" s="43"/>
      <c r="AD714" s="44"/>
      <c r="AE714" s="44"/>
      <c r="AF714" s="44"/>
    </row>
    <row r="715" spans="3:32" ht="14.25" customHeight="1" x14ac:dyDescent="0.25">
      <c r="C715" s="11"/>
      <c r="F715" s="79"/>
      <c r="AC715" s="43"/>
      <c r="AD715" s="44"/>
      <c r="AE715" s="44"/>
      <c r="AF715" s="44"/>
    </row>
    <row r="716" spans="3:32" ht="14.25" customHeight="1" x14ac:dyDescent="0.25">
      <c r="C716" s="11"/>
      <c r="F716" s="79"/>
      <c r="AC716" s="43"/>
      <c r="AD716" s="44"/>
      <c r="AE716" s="44"/>
      <c r="AF716" s="44"/>
    </row>
    <row r="717" spans="3:32" ht="14.25" customHeight="1" x14ac:dyDescent="0.25">
      <c r="C717" s="11"/>
      <c r="F717" s="79"/>
      <c r="AC717" s="43"/>
      <c r="AD717" s="44"/>
      <c r="AE717" s="44"/>
      <c r="AF717" s="44"/>
    </row>
    <row r="718" spans="3:32" ht="14.25" customHeight="1" x14ac:dyDescent="0.25">
      <c r="C718" s="11"/>
      <c r="F718" s="79"/>
      <c r="AC718" s="43"/>
      <c r="AD718" s="44"/>
      <c r="AE718" s="44"/>
      <c r="AF718" s="44"/>
    </row>
    <row r="719" spans="3:32" ht="14.25" customHeight="1" x14ac:dyDescent="0.25">
      <c r="C719" s="11"/>
      <c r="F719" s="79"/>
      <c r="AC719" s="43"/>
      <c r="AD719" s="44"/>
      <c r="AE719" s="44"/>
      <c r="AF719" s="44"/>
    </row>
    <row r="720" spans="3:32" ht="14.25" customHeight="1" x14ac:dyDescent="0.25">
      <c r="C720" s="11"/>
      <c r="F720" s="79"/>
      <c r="AC720" s="43"/>
      <c r="AD720" s="44"/>
      <c r="AE720" s="44"/>
      <c r="AF720" s="44"/>
    </row>
    <row r="721" spans="3:32" ht="14.25" customHeight="1" x14ac:dyDescent="0.25">
      <c r="C721" s="11"/>
      <c r="F721" s="79"/>
      <c r="AC721" s="43"/>
      <c r="AD721" s="44"/>
      <c r="AE721" s="44"/>
      <c r="AF721" s="44"/>
    </row>
    <row r="722" spans="3:32" ht="14.25" customHeight="1" x14ac:dyDescent="0.25">
      <c r="C722" s="11"/>
      <c r="F722" s="79"/>
      <c r="AC722" s="43"/>
      <c r="AD722" s="44"/>
      <c r="AE722" s="44"/>
      <c r="AF722" s="44"/>
    </row>
    <row r="723" spans="3:32" ht="14.25" customHeight="1" x14ac:dyDescent="0.25">
      <c r="C723" s="11"/>
      <c r="F723" s="79"/>
      <c r="AC723" s="43"/>
      <c r="AD723" s="44"/>
      <c r="AE723" s="44"/>
      <c r="AF723" s="44"/>
    </row>
    <row r="724" spans="3:32" ht="14.25" customHeight="1" x14ac:dyDescent="0.25">
      <c r="C724" s="11"/>
      <c r="F724" s="79"/>
      <c r="AC724" s="43"/>
      <c r="AD724" s="44"/>
      <c r="AE724" s="44"/>
      <c r="AF724" s="44"/>
    </row>
    <row r="725" spans="3:32" ht="14.25" customHeight="1" x14ac:dyDescent="0.25">
      <c r="C725" s="11"/>
      <c r="F725" s="79"/>
      <c r="AC725" s="43"/>
      <c r="AD725" s="44"/>
      <c r="AE725" s="44"/>
      <c r="AF725" s="44"/>
    </row>
    <row r="726" spans="3:32" ht="14.25" customHeight="1" x14ac:dyDescent="0.25">
      <c r="C726" s="11"/>
      <c r="F726" s="79"/>
      <c r="AC726" s="43"/>
      <c r="AD726" s="44"/>
      <c r="AE726" s="44"/>
      <c r="AF726" s="44"/>
    </row>
    <row r="727" spans="3:32" ht="14.25" customHeight="1" x14ac:dyDescent="0.25">
      <c r="C727" s="11"/>
      <c r="F727" s="79"/>
      <c r="AC727" s="43"/>
      <c r="AD727" s="44"/>
      <c r="AE727" s="44"/>
      <c r="AF727" s="44"/>
    </row>
    <row r="728" spans="3:32" ht="14.25" customHeight="1" x14ac:dyDescent="0.25">
      <c r="C728" s="11"/>
      <c r="F728" s="79"/>
      <c r="AC728" s="43"/>
      <c r="AD728" s="44"/>
      <c r="AE728" s="44"/>
      <c r="AF728" s="44"/>
    </row>
    <row r="729" spans="3:32" ht="14.25" customHeight="1" x14ac:dyDescent="0.25">
      <c r="C729" s="11"/>
      <c r="F729" s="79"/>
      <c r="AC729" s="43"/>
      <c r="AD729" s="44"/>
      <c r="AE729" s="44"/>
      <c r="AF729" s="44"/>
    </row>
    <row r="730" spans="3:32" ht="14.25" customHeight="1" x14ac:dyDescent="0.25">
      <c r="C730" s="11"/>
      <c r="F730" s="79"/>
      <c r="AC730" s="43"/>
      <c r="AD730" s="44"/>
      <c r="AE730" s="44"/>
      <c r="AF730" s="44"/>
    </row>
    <row r="731" spans="3:32" ht="14.25" customHeight="1" x14ac:dyDescent="0.25">
      <c r="C731" s="11"/>
      <c r="F731" s="79"/>
      <c r="AC731" s="43"/>
      <c r="AD731" s="44"/>
      <c r="AE731" s="44"/>
      <c r="AF731" s="44"/>
    </row>
    <row r="732" spans="3:32" ht="14.25" customHeight="1" x14ac:dyDescent="0.25">
      <c r="C732" s="11"/>
      <c r="F732" s="79"/>
      <c r="AC732" s="43"/>
      <c r="AD732" s="44"/>
      <c r="AE732" s="44"/>
      <c r="AF732" s="44"/>
    </row>
    <row r="733" spans="3:32" ht="14.25" customHeight="1" x14ac:dyDescent="0.25">
      <c r="C733" s="11"/>
      <c r="F733" s="79"/>
      <c r="AC733" s="43"/>
      <c r="AD733" s="44"/>
      <c r="AE733" s="44"/>
      <c r="AF733" s="44"/>
    </row>
    <row r="734" spans="3:32" ht="14.25" customHeight="1" x14ac:dyDescent="0.25">
      <c r="C734" s="11"/>
      <c r="F734" s="79"/>
      <c r="AC734" s="43"/>
      <c r="AD734" s="44"/>
      <c r="AE734" s="44"/>
      <c r="AF734" s="44"/>
    </row>
    <row r="735" spans="3:32" ht="14.25" customHeight="1" x14ac:dyDescent="0.25">
      <c r="C735" s="11"/>
      <c r="F735" s="79"/>
      <c r="AC735" s="43"/>
      <c r="AD735" s="44"/>
      <c r="AE735" s="44"/>
      <c r="AF735" s="44"/>
    </row>
    <row r="736" spans="3:32" ht="14.25" customHeight="1" x14ac:dyDescent="0.25">
      <c r="C736" s="11"/>
      <c r="F736" s="79"/>
      <c r="AC736" s="43"/>
      <c r="AD736" s="44"/>
      <c r="AE736" s="44"/>
      <c r="AF736" s="44"/>
    </row>
    <row r="737" spans="3:32" ht="14.25" customHeight="1" x14ac:dyDescent="0.25">
      <c r="C737" s="11"/>
      <c r="F737" s="79"/>
      <c r="AC737" s="43"/>
      <c r="AD737" s="44"/>
      <c r="AE737" s="44"/>
      <c r="AF737" s="44"/>
    </row>
    <row r="738" spans="3:32" ht="14.25" customHeight="1" x14ac:dyDescent="0.25">
      <c r="C738" s="11"/>
      <c r="F738" s="79"/>
      <c r="AC738" s="43"/>
      <c r="AD738" s="44"/>
      <c r="AE738" s="44"/>
      <c r="AF738" s="44"/>
    </row>
    <row r="739" spans="3:32" ht="14.25" customHeight="1" x14ac:dyDescent="0.25">
      <c r="C739" s="11"/>
      <c r="F739" s="79"/>
      <c r="AC739" s="43"/>
      <c r="AD739" s="44"/>
      <c r="AE739" s="44"/>
      <c r="AF739" s="44"/>
    </row>
    <row r="740" spans="3:32" ht="14.25" customHeight="1" x14ac:dyDescent="0.25">
      <c r="C740" s="11"/>
      <c r="F740" s="79"/>
      <c r="AC740" s="43"/>
      <c r="AD740" s="44"/>
      <c r="AE740" s="44"/>
      <c r="AF740" s="44"/>
    </row>
    <row r="741" spans="3:32" ht="14.25" customHeight="1" x14ac:dyDescent="0.25">
      <c r="C741" s="11"/>
      <c r="F741" s="79"/>
      <c r="AC741" s="43"/>
      <c r="AD741" s="44"/>
      <c r="AE741" s="44"/>
      <c r="AF741" s="44"/>
    </row>
    <row r="742" spans="3:32" ht="14.25" customHeight="1" x14ac:dyDescent="0.25">
      <c r="C742" s="11"/>
      <c r="F742" s="79"/>
      <c r="AC742" s="43"/>
      <c r="AD742" s="44"/>
      <c r="AE742" s="44"/>
      <c r="AF742" s="44"/>
    </row>
    <row r="743" spans="3:32" ht="14.25" customHeight="1" x14ac:dyDescent="0.25">
      <c r="C743" s="11"/>
      <c r="F743" s="79"/>
      <c r="AC743" s="43"/>
      <c r="AD743" s="44"/>
      <c r="AE743" s="44"/>
      <c r="AF743" s="44"/>
    </row>
    <row r="744" spans="3:32" ht="14.25" customHeight="1" x14ac:dyDescent="0.25">
      <c r="C744" s="11"/>
      <c r="F744" s="79"/>
      <c r="AC744" s="43"/>
      <c r="AD744" s="44"/>
      <c r="AE744" s="44"/>
      <c r="AF744" s="44"/>
    </row>
    <row r="745" spans="3:32" ht="14.25" customHeight="1" x14ac:dyDescent="0.25">
      <c r="C745" s="11"/>
      <c r="F745" s="79"/>
      <c r="AC745" s="43"/>
      <c r="AD745" s="44"/>
      <c r="AE745" s="44"/>
      <c r="AF745" s="44"/>
    </row>
    <row r="746" spans="3:32" ht="14.25" customHeight="1" x14ac:dyDescent="0.25">
      <c r="C746" s="11"/>
      <c r="F746" s="79"/>
      <c r="AC746" s="43"/>
      <c r="AD746" s="44"/>
      <c r="AE746" s="44"/>
      <c r="AF746" s="44"/>
    </row>
    <row r="747" spans="3:32" ht="14.25" customHeight="1" x14ac:dyDescent="0.25">
      <c r="C747" s="11"/>
      <c r="F747" s="79"/>
      <c r="AC747" s="43"/>
      <c r="AD747" s="44"/>
      <c r="AE747" s="44"/>
      <c r="AF747" s="44"/>
    </row>
    <row r="748" spans="3:32" ht="14.25" customHeight="1" x14ac:dyDescent="0.25">
      <c r="C748" s="11"/>
      <c r="F748" s="79"/>
      <c r="AC748" s="43"/>
      <c r="AD748" s="44"/>
      <c r="AE748" s="44"/>
      <c r="AF748" s="44"/>
    </row>
    <row r="749" spans="3:32" ht="14.25" customHeight="1" x14ac:dyDescent="0.25">
      <c r="C749" s="11"/>
      <c r="F749" s="79"/>
      <c r="AC749" s="43"/>
      <c r="AD749" s="44"/>
      <c r="AE749" s="44"/>
      <c r="AF749" s="44"/>
    </row>
    <row r="750" spans="3:32" ht="14.25" customHeight="1" x14ac:dyDescent="0.25">
      <c r="C750" s="11"/>
      <c r="F750" s="79"/>
      <c r="AC750" s="43"/>
      <c r="AD750" s="44"/>
      <c r="AE750" s="44"/>
      <c r="AF750" s="44"/>
    </row>
    <row r="751" spans="3:32" ht="14.25" customHeight="1" x14ac:dyDescent="0.25">
      <c r="C751" s="11"/>
      <c r="F751" s="79"/>
      <c r="AC751" s="43"/>
      <c r="AD751" s="44"/>
      <c r="AE751" s="44"/>
      <c r="AF751" s="44"/>
    </row>
    <row r="752" spans="3:32" ht="14.25" customHeight="1" x14ac:dyDescent="0.25">
      <c r="C752" s="11"/>
      <c r="F752" s="79"/>
      <c r="AC752" s="43"/>
      <c r="AD752" s="44"/>
      <c r="AE752" s="44"/>
      <c r="AF752" s="44"/>
    </row>
    <row r="753" spans="3:32" ht="14.25" customHeight="1" x14ac:dyDescent="0.25">
      <c r="C753" s="11"/>
      <c r="F753" s="79"/>
      <c r="AC753" s="43"/>
      <c r="AD753" s="44"/>
      <c r="AE753" s="44"/>
      <c r="AF753" s="44"/>
    </row>
    <row r="754" spans="3:32" ht="14.25" customHeight="1" x14ac:dyDescent="0.25">
      <c r="C754" s="11"/>
      <c r="F754" s="79"/>
      <c r="AC754" s="43"/>
      <c r="AD754" s="44"/>
      <c r="AE754" s="44"/>
      <c r="AF754" s="44"/>
    </row>
    <row r="755" spans="3:32" ht="14.25" customHeight="1" x14ac:dyDescent="0.25">
      <c r="C755" s="11"/>
      <c r="F755" s="79"/>
      <c r="AC755" s="43"/>
      <c r="AD755" s="44"/>
      <c r="AE755" s="44"/>
      <c r="AF755" s="44"/>
    </row>
    <row r="756" spans="3:32" ht="14.25" customHeight="1" x14ac:dyDescent="0.25">
      <c r="C756" s="11"/>
      <c r="F756" s="79"/>
      <c r="AC756" s="43"/>
      <c r="AD756" s="44"/>
      <c r="AE756" s="44"/>
      <c r="AF756" s="44"/>
    </row>
    <row r="757" spans="3:32" ht="14.25" customHeight="1" x14ac:dyDescent="0.25">
      <c r="C757" s="11"/>
      <c r="F757" s="79"/>
      <c r="AC757" s="43"/>
      <c r="AD757" s="44"/>
      <c r="AE757" s="44"/>
      <c r="AF757" s="44"/>
    </row>
    <row r="758" spans="3:32" ht="14.25" customHeight="1" x14ac:dyDescent="0.25">
      <c r="C758" s="11"/>
      <c r="F758" s="79"/>
      <c r="AC758" s="43"/>
      <c r="AD758" s="44"/>
      <c r="AE758" s="44"/>
      <c r="AF758" s="44"/>
    </row>
    <row r="759" spans="3:32" ht="14.25" customHeight="1" x14ac:dyDescent="0.25">
      <c r="C759" s="11"/>
      <c r="F759" s="79"/>
      <c r="AC759" s="43"/>
      <c r="AD759" s="44"/>
      <c r="AE759" s="44"/>
      <c r="AF759" s="44"/>
    </row>
    <row r="760" spans="3:32" ht="14.25" customHeight="1" x14ac:dyDescent="0.25">
      <c r="C760" s="11"/>
      <c r="F760" s="79"/>
      <c r="AC760" s="43"/>
      <c r="AD760" s="44"/>
      <c r="AE760" s="44"/>
      <c r="AF760" s="44"/>
    </row>
    <row r="761" spans="3:32" ht="14.25" customHeight="1" x14ac:dyDescent="0.25">
      <c r="C761" s="11"/>
      <c r="F761" s="79"/>
      <c r="AC761" s="43"/>
      <c r="AD761" s="44"/>
      <c r="AE761" s="44"/>
      <c r="AF761" s="44"/>
    </row>
    <row r="762" spans="3:32" ht="14.25" customHeight="1" x14ac:dyDescent="0.25">
      <c r="C762" s="11"/>
      <c r="F762" s="79"/>
      <c r="AC762" s="43"/>
      <c r="AD762" s="44"/>
      <c r="AE762" s="44"/>
      <c r="AF762" s="44"/>
    </row>
    <row r="763" spans="3:32" ht="14.25" customHeight="1" x14ac:dyDescent="0.25">
      <c r="C763" s="11"/>
      <c r="F763" s="79"/>
      <c r="AC763" s="43"/>
      <c r="AD763" s="44"/>
      <c r="AE763" s="44"/>
      <c r="AF763" s="44"/>
    </row>
    <row r="764" spans="3:32" ht="14.25" customHeight="1" x14ac:dyDescent="0.25">
      <c r="C764" s="11"/>
      <c r="F764" s="79"/>
      <c r="AC764" s="43"/>
      <c r="AD764" s="44"/>
      <c r="AE764" s="44"/>
      <c r="AF764" s="44"/>
    </row>
    <row r="765" spans="3:32" ht="14.25" customHeight="1" x14ac:dyDescent="0.25">
      <c r="C765" s="11"/>
      <c r="F765" s="79"/>
      <c r="AC765" s="43"/>
      <c r="AD765" s="44"/>
      <c r="AE765" s="44"/>
      <c r="AF765" s="44"/>
    </row>
    <row r="766" spans="3:32" ht="14.25" customHeight="1" x14ac:dyDescent="0.25">
      <c r="C766" s="11"/>
      <c r="F766" s="79"/>
      <c r="AC766" s="43"/>
      <c r="AD766" s="44"/>
      <c r="AE766" s="44"/>
      <c r="AF766" s="44"/>
    </row>
    <row r="767" spans="3:32" ht="14.25" customHeight="1" x14ac:dyDescent="0.25">
      <c r="C767" s="11"/>
      <c r="F767" s="79"/>
      <c r="AC767" s="43"/>
      <c r="AD767" s="44"/>
      <c r="AE767" s="44"/>
      <c r="AF767" s="44"/>
    </row>
    <row r="768" spans="3:32" ht="14.25" customHeight="1" x14ac:dyDescent="0.25">
      <c r="C768" s="11"/>
      <c r="F768" s="79"/>
      <c r="AC768" s="43"/>
      <c r="AD768" s="44"/>
      <c r="AE768" s="44"/>
      <c r="AF768" s="44"/>
    </row>
    <row r="769" spans="3:32" ht="14.25" customHeight="1" x14ac:dyDescent="0.25">
      <c r="C769" s="11"/>
      <c r="F769" s="79"/>
      <c r="AC769" s="43"/>
      <c r="AD769" s="44"/>
      <c r="AE769" s="44"/>
      <c r="AF769" s="44"/>
    </row>
    <row r="770" spans="3:32" ht="14.25" customHeight="1" x14ac:dyDescent="0.25">
      <c r="C770" s="11"/>
      <c r="F770" s="79"/>
      <c r="AC770" s="43"/>
      <c r="AD770" s="44"/>
      <c r="AE770" s="44"/>
      <c r="AF770" s="44"/>
    </row>
    <row r="771" spans="3:32" ht="14.25" customHeight="1" x14ac:dyDescent="0.25">
      <c r="C771" s="11"/>
      <c r="F771" s="79"/>
      <c r="AC771" s="43"/>
      <c r="AD771" s="44"/>
      <c r="AE771" s="44"/>
      <c r="AF771" s="44"/>
    </row>
    <row r="772" spans="3:32" ht="14.25" customHeight="1" x14ac:dyDescent="0.25">
      <c r="C772" s="11"/>
      <c r="F772" s="79"/>
      <c r="AC772" s="43"/>
      <c r="AD772" s="44"/>
      <c r="AE772" s="44"/>
      <c r="AF772" s="44"/>
    </row>
    <row r="773" spans="3:32" ht="14.25" customHeight="1" x14ac:dyDescent="0.25">
      <c r="C773" s="11"/>
      <c r="F773" s="79"/>
      <c r="AC773" s="43"/>
      <c r="AD773" s="44"/>
      <c r="AE773" s="44"/>
      <c r="AF773" s="44"/>
    </row>
    <row r="774" spans="3:32" ht="14.25" customHeight="1" x14ac:dyDescent="0.25">
      <c r="C774" s="11"/>
      <c r="F774" s="79"/>
      <c r="AC774" s="43"/>
      <c r="AD774" s="44"/>
      <c r="AE774" s="44"/>
      <c r="AF774" s="44"/>
    </row>
    <row r="775" spans="3:32" ht="14.25" customHeight="1" x14ac:dyDescent="0.25">
      <c r="C775" s="11"/>
      <c r="F775" s="79"/>
      <c r="AC775" s="43"/>
      <c r="AD775" s="44"/>
      <c r="AE775" s="44"/>
      <c r="AF775" s="44"/>
    </row>
    <row r="776" spans="3:32" ht="14.25" customHeight="1" x14ac:dyDescent="0.25">
      <c r="C776" s="11"/>
      <c r="F776" s="79"/>
      <c r="AC776" s="43"/>
      <c r="AD776" s="44"/>
      <c r="AE776" s="44"/>
      <c r="AF776" s="44"/>
    </row>
    <row r="777" spans="3:32" ht="14.25" customHeight="1" x14ac:dyDescent="0.25">
      <c r="C777" s="11"/>
      <c r="F777" s="79"/>
      <c r="AC777" s="43"/>
      <c r="AD777" s="44"/>
      <c r="AE777" s="44"/>
      <c r="AF777" s="44"/>
    </row>
    <row r="778" spans="3:32" ht="14.25" customHeight="1" x14ac:dyDescent="0.25">
      <c r="C778" s="11"/>
      <c r="F778" s="79"/>
      <c r="AC778" s="43"/>
      <c r="AD778" s="44"/>
      <c r="AE778" s="44"/>
      <c r="AF778" s="44"/>
    </row>
    <row r="779" spans="3:32" ht="14.25" customHeight="1" x14ac:dyDescent="0.25">
      <c r="C779" s="11"/>
      <c r="F779" s="79"/>
      <c r="AC779" s="43"/>
      <c r="AD779" s="44"/>
      <c r="AE779" s="44"/>
      <c r="AF779" s="44"/>
    </row>
    <row r="780" spans="3:32" ht="14.25" customHeight="1" x14ac:dyDescent="0.25">
      <c r="C780" s="11"/>
      <c r="F780" s="79"/>
      <c r="AC780" s="43"/>
      <c r="AD780" s="44"/>
      <c r="AE780" s="44"/>
      <c r="AF780" s="44"/>
    </row>
    <row r="781" spans="3:32" ht="14.25" customHeight="1" x14ac:dyDescent="0.25">
      <c r="C781" s="11"/>
      <c r="F781" s="79"/>
      <c r="AC781" s="43"/>
      <c r="AD781" s="44"/>
      <c r="AE781" s="44"/>
      <c r="AF781" s="44"/>
    </row>
    <row r="782" spans="3:32" ht="14.25" customHeight="1" x14ac:dyDescent="0.25">
      <c r="C782" s="11"/>
      <c r="F782" s="79"/>
      <c r="AC782" s="43"/>
      <c r="AD782" s="44"/>
      <c r="AE782" s="44"/>
      <c r="AF782" s="44"/>
    </row>
    <row r="783" spans="3:32" ht="14.25" customHeight="1" x14ac:dyDescent="0.25">
      <c r="C783" s="11"/>
      <c r="F783" s="79"/>
      <c r="AC783" s="43"/>
      <c r="AD783" s="44"/>
      <c r="AE783" s="44"/>
      <c r="AF783" s="44"/>
    </row>
    <row r="784" spans="3:32" ht="14.25" customHeight="1" x14ac:dyDescent="0.25">
      <c r="C784" s="11"/>
      <c r="F784" s="79"/>
      <c r="AC784" s="43"/>
      <c r="AD784" s="44"/>
      <c r="AE784" s="44"/>
      <c r="AF784" s="44"/>
    </row>
    <row r="785" spans="3:32" ht="14.25" customHeight="1" x14ac:dyDescent="0.25">
      <c r="C785" s="11"/>
      <c r="F785" s="79"/>
      <c r="AC785" s="43"/>
      <c r="AD785" s="44"/>
      <c r="AE785" s="44"/>
      <c r="AF785" s="44"/>
    </row>
    <row r="786" spans="3:32" ht="14.25" customHeight="1" x14ac:dyDescent="0.25">
      <c r="C786" s="11"/>
      <c r="F786" s="79"/>
      <c r="AC786" s="43"/>
      <c r="AD786" s="44"/>
      <c r="AE786" s="44"/>
      <c r="AF786" s="44"/>
    </row>
    <row r="787" spans="3:32" ht="14.25" customHeight="1" x14ac:dyDescent="0.25">
      <c r="C787" s="11"/>
      <c r="F787" s="79"/>
      <c r="AC787" s="43"/>
      <c r="AD787" s="44"/>
      <c r="AE787" s="44"/>
      <c r="AF787" s="44"/>
    </row>
    <row r="788" spans="3:32" ht="14.25" customHeight="1" x14ac:dyDescent="0.25">
      <c r="C788" s="11"/>
      <c r="F788" s="79"/>
      <c r="AC788" s="43"/>
      <c r="AD788" s="44"/>
      <c r="AE788" s="44"/>
      <c r="AF788" s="44"/>
    </row>
    <row r="789" spans="3:32" ht="14.25" customHeight="1" x14ac:dyDescent="0.25">
      <c r="C789" s="11"/>
      <c r="F789" s="79"/>
      <c r="AC789" s="43"/>
      <c r="AD789" s="44"/>
      <c r="AE789" s="44"/>
      <c r="AF789" s="44"/>
    </row>
    <row r="790" spans="3:32" ht="14.25" customHeight="1" x14ac:dyDescent="0.25">
      <c r="C790" s="11"/>
      <c r="F790" s="79"/>
      <c r="AC790" s="43"/>
      <c r="AD790" s="44"/>
      <c r="AE790" s="44"/>
      <c r="AF790" s="44"/>
    </row>
    <row r="791" spans="3:32" ht="14.25" customHeight="1" x14ac:dyDescent="0.25">
      <c r="C791" s="11"/>
      <c r="F791" s="79"/>
      <c r="AC791" s="43"/>
      <c r="AD791" s="44"/>
      <c r="AE791" s="44"/>
      <c r="AF791" s="44"/>
    </row>
    <row r="792" spans="3:32" ht="14.25" customHeight="1" x14ac:dyDescent="0.25">
      <c r="C792" s="11"/>
      <c r="F792" s="79"/>
      <c r="AC792" s="43"/>
      <c r="AD792" s="44"/>
      <c r="AE792" s="44"/>
      <c r="AF792" s="44"/>
    </row>
    <row r="793" spans="3:32" ht="14.25" customHeight="1" x14ac:dyDescent="0.25">
      <c r="C793" s="11"/>
      <c r="F793" s="79"/>
      <c r="AC793" s="43"/>
      <c r="AD793" s="44"/>
      <c r="AE793" s="44"/>
      <c r="AF793" s="44"/>
    </row>
    <row r="794" spans="3:32" ht="14.25" customHeight="1" x14ac:dyDescent="0.25">
      <c r="C794" s="11"/>
      <c r="F794" s="79"/>
      <c r="AC794" s="43"/>
      <c r="AD794" s="44"/>
      <c r="AE794" s="44"/>
      <c r="AF794" s="44"/>
    </row>
    <row r="795" spans="3:32" ht="14.25" customHeight="1" x14ac:dyDescent="0.25">
      <c r="C795" s="11"/>
      <c r="F795" s="79"/>
      <c r="AC795" s="43"/>
      <c r="AD795" s="44"/>
      <c r="AE795" s="44"/>
      <c r="AF795" s="44"/>
    </row>
    <row r="796" spans="3:32" ht="14.25" customHeight="1" x14ac:dyDescent="0.25">
      <c r="C796" s="11"/>
      <c r="F796" s="79"/>
      <c r="AC796" s="43"/>
      <c r="AD796" s="44"/>
      <c r="AE796" s="44"/>
      <c r="AF796" s="44"/>
    </row>
    <row r="797" spans="3:32" ht="14.25" customHeight="1" x14ac:dyDescent="0.25">
      <c r="C797" s="11"/>
      <c r="F797" s="79"/>
      <c r="AC797" s="43"/>
      <c r="AD797" s="44"/>
      <c r="AE797" s="44"/>
      <c r="AF797" s="44"/>
    </row>
    <row r="798" spans="3:32" ht="14.25" customHeight="1" x14ac:dyDescent="0.25">
      <c r="C798" s="11"/>
      <c r="F798" s="79"/>
      <c r="AC798" s="43"/>
      <c r="AD798" s="44"/>
      <c r="AE798" s="44"/>
      <c r="AF798" s="44"/>
    </row>
    <row r="799" spans="3:32" ht="14.25" customHeight="1" x14ac:dyDescent="0.25">
      <c r="C799" s="11"/>
      <c r="F799" s="79"/>
      <c r="AC799" s="43"/>
      <c r="AD799" s="44"/>
      <c r="AE799" s="44"/>
      <c r="AF799" s="44"/>
    </row>
    <row r="800" spans="3:32" ht="14.25" customHeight="1" x14ac:dyDescent="0.25">
      <c r="C800" s="11"/>
      <c r="F800" s="79"/>
      <c r="AC800" s="43"/>
      <c r="AD800" s="44"/>
      <c r="AE800" s="44"/>
      <c r="AF800" s="44"/>
    </row>
    <row r="801" spans="3:32" ht="14.25" customHeight="1" x14ac:dyDescent="0.25">
      <c r="C801" s="11"/>
      <c r="F801" s="79"/>
      <c r="AC801" s="43"/>
      <c r="AD801" s="44"/>
      <c r="AE801" s="44"/>
      <c r="AF801" s="44"/>
    </row>
    <row r="802" spans="3:32" ht="14.25" customHeight="1" x14ac:dyDescent="0.25">
      <c r="C802" s="11"/>
      <c r="F802" s="79"/>
      <c r="AC802" s="43"/>
      <c r="AD802" s="44"/>
      <c r="AE802" s="44"/>
      <c r="AF802" s="44"/>
    </row>
    <row r="803" spans="3:32" ht="14.25" customHeight="1" x14ac:dyDescent="0.25">
      <c r="C803" s="11"/>
      <c r="F803" s="79"/>
      <c r="AC803" s="43"/>
      <c r="AD803" s="44"/>
      <c r="AE803" s="44"/>
      <c r="AF803" s="44"/>
    </row>
    <row r="804" spans="3:32" ht="14.25" customHeight="1" x14ac:dyDescent="0.25">
      <c r="C804" s="11"/>
      <c r="F804" s="79"/>
      <c r="AC804" s="43"/>
      <c r="AD804" s="44"/>
      <c r="AE804" s="44"/>
      <c r="AF804" s="44"/>
    </row>
    <row r="805" spans="3:32" ht="14.25" customHeight="1" x14ac:dyDescent="0.25">
      <c r="C805" s="11"/>
      <c r="F805" s="79"/>
      <c r="AC805" s="43"/>
      <c r="AD805" s="44"/>
      <c r="AE805" s="44"/>
      <c r="AF805" s="44"/>
    </row>
    <row r="806" spans="3:32" ht="14.25" customHeight="1" x14ac:dyDescent="0.25">
      <c r="C806" s="11"/>
      <c r="F806" s="79"/>
      <c r="AC806" s="43"/>
      <c r="AD806" s="44"/>
      <c r="AE806" s="44"/>
      <c r="AF806" s="44"/>
    </row>
    <row r="807" spans="3:32" ht="14.25" customHeight="1" x14ac:dyDescent="0.25">
      <c r="C807" s="11"/>
      <c r="F807" s="79"/>
      <c r="AC807" s="43"/>
      <c r="AD807" s="44"/>
      <c r="AE807" s="44"/>
      <c r="AF807" s="44"/>
    </row>
    <row r="808" spans="3:32" ht="14.25" customHeight="1" x14ac:dyDescent="0.25">
      <c r="C808" s="11"/>
      <c r="F808" s="79"/>
      <c r="AC808" s="43"/>
      <c r="AD808" s="44"/>
      <c r="AE808" s="44"/>
      <c r="AF808" s="44"/>
    </row>
    <row r="809" spans="3:32" ht="14.25" customHeight="1" x14ac:dyDescent="0.25">
      <c r="C809" s="11"/>
      <c r="F809" s="79"/>
      <c r="AC809" s="43"/>
      <c r="AD809" s="44"/>
      <c r="AE809" s="44"/>
      <c r="AF809" s="44"/>
    </row>
    <row r="810" spans="3:32" ht="14.25" customHeight="1" x14ac:dyDescent="0.25">
      <c r="C810" s="11"/>
      <c r="F810" s="79"/>
      <c r="AC810" s="43"/>
      <c r="AD810" s="44"/>
      <c r="AE810" s="44"/>
      <c r="AF810" s="44"/>
    </row>
    <row r="811" spans="3:32" ht="14.25" customHeight="1" x14ac:dyDescent="0.25">
      <c r="C811" s="11"/>
      <c r="F811" s="79"/>
      <c r="AC811" s="43"/>
      <c r="AD811" s="44"/>
      <c r="AE811" s="44"/>
      <c r="AF811" s="44"/>
    </row>
    <row r="812" spans="3:32" ht="14.25" customHeight="1" x14ac:dyDescent="0.25">
      <c r="C812" s="11"/>
      <c r="F812" s="79"/>
      <c r="AC812" s="43"/>
      <c r="AD812" s="44"/>
      <c r="AE812" s="44"/>
      <c r="AF812" s="44"/>
    </row>
    <row r="813" spans="3:32" ht="14.25" customHeight="1" x14ac:dyDescent="0.25">
      <c r="C813" s="11"/>
      <c r="F813" s="79"/>
      <c r="AC813" s="43"/>
      <c r="AD813" s="44"/>
      <c r="AE813" s="44"/>
      <c r="AF813" s="44"/>
    </row>
    <row r="814" spans="3:32" ht="14.25" customHeight="1" x14ac:dyDescent="0.25">
      <c r="C814" s="11"/>
      <c r="F814" s="79"/>
      <c r="AC814" s="43"/>
      <c r="AD814" s="44"/>
      <c r="AE814" s="44"/>
      <c r="AF814" s="44"/>
    </row>
    <row r="815" spans="3:32" ht="14.25" customHeight="1" x14ac:dyDescent="0.25">
      <c r="C815" s="11"/>
      <c r="F815" s="79"/>
      <c r="AC815" s="43"/>
      <c r="AD815" s="44"/>
      <c r="AE815" s="44"/>
      <c r="AF815" s="44"/>
    </row>
    <row r="816" spans="3:32" ht="14.25" customHeight="1" x14ac:dyDescent="0.25">
      <c r="C816" s="11"/>
      <c r="F816" s="79"/>
      <c r="AC816" s="43"/>
      <c r="AD816" s="44"/>
      <c r="AE816" s="44"/>
      <c r="AF816" s="44"/>
    </row>
    <row r="817" spans="3:32" ht="14.25" customHeight="1" x14ac:dyDescent="0.25">
      <c r="C817" s="11"/>
      <c r="F817" s="79"/>
      <c r="AC817" s="43"/>
      <c r="AD817" s="44"/>
      <c r="AE817" s="44"/>
      <c r="AF817" s="44"/>
    </row>
    <row r="818" spans="3:32" ht="14.25" customHeight="1" x14ac:dyDescent="0.25">
      <c r="C818" s="11"/>
      <c r="F818" s="79"/>
      <c r="AC818" s="43"/>
      <c r="AD818" s="44"/>
      <c r="AE818" s="44"/>
      <c r="AF818" s="44"/>
    </row>
    <row r="819" spans="3:32" ht="14.25" customHeight="1" x14ac:dyDescent="0.25">
      <c r="C819" s="11"/>
      <c r="F819" s="79"/>
      <c r="AC819" s="43"/>
      <c r="AD819" s="44"/>
      <c r="AE819" s="44"/>
      <c r="AF819" s="44"/>
    </row>
    <row r="820" spans="3:32" ht="14.25" customHeight="1" x14ac:dyDescent="0.25">
      <c r="C820" s="11"/>
      <c r="F820" s="79"/>
      <c r="AC820" s="43"/>
      <c r="AD820" s="44"/>
      <c r="AE820" s="44"/>
      <c r="AF820" s="44"/>
    </row>
    <row r="821" spans="3:32" ht="14.25" customHeight="1" x14ac:dyDescent="0.25">
      <c r="C821" s="11"/>
      <c r="F821" s="79"/>
      <c r="AC821" s="43"/>
      <c r="AD821" s="44"/>
      <c r="AE821" s="44"/>
      <c r="AF821" s="44"/>
    </row>
    <row r="822" spans="3:32" ht="14.25" customHeight="1" x14ac:dyDescent="0.25">
      <c r="C822" s="11"/>
      <c r="F822" s="79"/>
      <c r="AC822" s="43"/>
      <c r="AD822" s="44"/>
      <c r="AE822" s="44"/>
      <c r="AF822" s="44"/>
    </row>
    <row r="823" spans="3:32" ht="14.25" customHeight="1" x14ac:dyDescent="0.25">
      <c r="C823" s="11"/>
      <c r="F823" s="79"/>
      <c r="AC823" s="43"/>
      <c r="AD823" s="44"/>
      <c r="AE823" s="44"/>
      <c r="AF823" s="44"/>
    </row>
    <row r="824" spans="3:32" ht="14.25" customHeight="1" x14ac:dyDescent="0.25">
      <c r="C824" s="11"/>
      <c r="F824" s="79"/>
      <c r="AC824" s="43"/>
      <c r="AD824" s="44"/>
      <c r="AE824" s="44"/>
      <c r="AF824" s="44"/>
    </row>
    <row r="825" spans="3:32" ht="14.25" customHeight="1" x14ac:dyDescent="0.25">
      <c r="C825" s="11"/>
      <c r="F825" s="79"/>
      <c r="AC825" s="43"/>
      <c r="AD825" s="44"/>
      <c r="AE825" s="44"/>
      <c r="AF825" s="44"/>
    </row>
    <row r="826" spans="3:32" ht="14.25" customHeight="1" x14ac:dyDescent="0.25">
      <c r="C826" s="11"/>
      <c r="F826" s="79"/>
      <c r="AC826" s="43"/>
      <c r="AD826" s="44"/>
      <c r="AE826" s="44"/>
      <c r="AF826" s="44"/>
    </row>
    <row r="827" spans="3:32" ht="14.25" customHeight="1" x14ac:dyDescent="0.25">
      <c r="C827" s="11"/>
      <c r="F827" s="79"/>
      <c r="AC827" s="43"/>
      <c r="AD827" s="44"/>
      <c r="AE827" s="44"/>
      <c r="AF827" s="44"/>
    </row>
    <row r="828" spans="3:32" ht="14.25" customHeight="1" x14ac:dyDescent="0.25">
      <c r="C828" s="11"/>
      <c r="F828" s="79"/>
      <c r="AC828" s="43"/>
      <c r="AD828" s="44"/>
      <c r="AE828" s="44"/>
      <c r="AF828" s="44"/>
    </row>
    <row r="829" spans="3:32" ht="14.25" customHeight="1" x14ac:dyDescent="0.25">
      <c r="C829" s="11"/>
      <c r="F829" s="79"/>
      <c r="AC829" s="43"/>
      <c r="AD829" s="44"/>
      <c r="AE829" s="44"/>
      <c r="AF829" s="44"/>
    </row>
    <row r="830" spans="3:32" ht="14.25" customHeight="1" x14ac:dyDescent="0.25">
      <c r="C830" s="11"/>
      <c r="F830" s="79"/>
      <c r="AC830" s="43"/>
      <c r="AD830" s="44"/>
      <c r="AE830" s="44"/>
      <c r="AF830" s="44"/>
    </row>
    <row r="831" spans="3:32" ht="14.25" customHeight="1" x14ac:dyDescent="0.25">
      <c r="C831" s="11"/>
      <c r="F831" s="79"/>
      <c r="AC831" s="43"/>
      <c r="AD831" s="44"/>
      <c r="AE831" s="44"/>
      <c r="AF831" s="44"/>
    </row>
    <row r="832" spans="3:32" ht="14.25" customHeight="1" x14ac:dyDescent="0.25">
      <c r="C832" s="11"/>
      <c r="F832" s="79"/>
      <c r="AC832" s="43"/>
      <c r="AD832" s="44"/>
      <c r="AE832" s="44"/>
      <c r="AF832" s="44"/>
    </row>
    <row r="833" spans="3:32" ht="14.25" customHeight="1" x14ac:dyDescent="0.25">
      <c r="C833" s="11"/>
      <c r="F833" s="79"/>
      <c r="AC833" s="43"/>
      <c r="AD833" s="44"/>
      <c r="AE833" s="44"/>
      <c r="AF833" s="44"/>
    </row>
    <row r="834" spans="3:32" ht="14.25" customHeight="1" x14ac:dyDescent="0.25">
      <c r="C834" s="11"/>
      <c r="F834" s="79"/>
      <c r="AC834" s="43"/>
      <c r="AD834" s="44"/>
      <c r="AE834" s="44"/>
      <c r="AF834" s="44"/>
    </row>
    <row r="835" spans="3:32" ht="14.25" customHeight="1" x14ac:dyDescent="0.25">
      <c r="C835" s="11"/>
      <c r="F835" s="79"/>
      <c r="AC835" s="43"/>
      <c r="AD835" s="44"/>
      <c r="AE835" s="44"/>
      <c r="AF835" s="44"/>
    </row>
    <row r="836" spans="3:32" ht="14.25" customHeight="1" x14ac:dyDescent="0.25">
      <c r="C836" s="11"/>
      <c r="F836" s="79"/>
      <c r="AC836" s="43"/>
      <c r="AD836" s="44"/>
      <c r="AE836" s="44"/>
      <c r="AF836" s="44"/>
    </row>
    <row r="837" spans="3:32" ht="14.25" customHeight="1" x14ac:dyDescent="0.25">
      <c r="C837" s="11"/>
      <c r="F837" s="79"/>
      <c r="AC837" s="43"/>
      <c r="AD837" s="44"/>
      <c r="AE837" s="44"/>
      <c r="AF837" s="44"/>
    </row>
    <row r="838" spans="3:32" ht="14.25" customHeight="1" x14ac:dyDescent="0.25">
      <c r="C838" s="11"/>
      <c r="F838" s="79"/>
      <c r="AC838" s="43"/>
      <c r="AD838" s="44"/>
      <c r="AE838" s="44"/>
      <c r="AF838" s="44"/>
    </row>
    <row r="839" spans="3:32" ht="14.25" customHeight="1" x14ac:dyDescent="0.25">
      <c r="C839" s="11"/>
      <c r="F839" s="79"/>
      <c r="AC839" s="43"/>
      <c r="AD839" s="44"/>
      <c r="AE839" s="44"/>
      <c r="AF839" s="44"/>
    </row>
    <row r="840" spans="3:32" ht="14.25" customHeight="1" x14ac:dyDescent="0.25">
      <c r="C840" s="11"/>
      <c r="F840" s="79"/>
      <c r="AC840" s="43"/>
      <c r="AD840" s="44"/>
      <c r="AE840" s="44"/>
      <c r="AF840" s="44"/>
    </row>
    <row r="841" spans="3:32" ht="14.25" customHeight="1" x14ac:dyDescent="0.25">
      <c r="C841" s="11"/>
      <c r="F841" s="79"/>
      <c r="AC841" s="43"/>
      <c r="AD841" s="44"/>
      <c r="AE841" s="44"/>
      <c r="AF841" s="44"/>
    </row>
    <row r="842" spans="3:32" ht="14.25" customHeight="1" x14ac:dyDescent="0.25">
      <c r="C842" s="11"/>
      <c r="F842" s="79"/>
      <c r="AC842" s="43"/>
      <c r="AD842" s="44"/>
      <c r="AE842" s="44"/>
      <c r="AF842" s="44"/>
    </row>
    <row r="843" spans="3:32" ht="14.25" customHeight="1" x14ac:dyDescent="0.25">
      <c r="C843" s="11"/>
      <c r="F843" s="79"/>
      <c r="AC843" s="43"/>
      <c r="AD843" s="44"/>
      <c r="AE843" s="44"/>
      <c r="AF843" s="44"/>
    </row>
    <row r="844" spans="3:32" ht="14.25" customHeight="1" x14ac:dyDescent="0.25">
      <c r="C844" s="11"/>
      <c r="F844" s="79"/>
      <c r="AC844" s="43"/>
      <c r="AD844" s="44"/>
      <c r="AE844" s="44"/>
      <c r="AF844" s="44"/>
    </row>
    <row r="845" spans="3:32" ht="14.25" customHeight="1" x14ac:dyDescent="0.25">
      <c r="C845" s="11"/>
      <c r="F845" s="79"/>
      <c r="AC845" s="43"/>
      <c r="AD845" s="44"/>
      <c r="AE845" s="44"/>
      <c r="AF845" s="44"/>
    </row>
    <row r="846" spans="3:32" ht="14.25" customHeight="1" x14ac:dyDescent="0.25">
      <c r="C846" s="11"/>
      <c r="F846" s="79"/>
      <c r="AC846" s="43"/>
      <c r="AD846" s="44"/>
      <c r="AE846" s="44"/>
      <c r="AF846" s="44"/>
    </row>
    <row r="847" spans="3:32" ht="14.25" customHeight="1" x14ac:dyDescent="0.25">
      <c r="C847" s="11"/>
      <c r="F847" s="79"/>
      <c r="AC847" s="43"/>
      <c r="AD847" s="44"/>
      <c r="AE847" s="44"/>
      <c r="AF847" s="44"/>
    </row>
    <row r="848" spans="3:32" ht="14.25" customHeight="1" x14ac:dyDescent="0.25">
      <c r="C848" s="11"/>
      <c r="F848" s="79"/>
      <c r="AC848" s="43"/>
      <c r="AD848" s="44"/>
      <c r="AE848" s="44"/>
      <c r="AF848" s="44"/>
    </row>
    <row r="849" spans="3:32" ht="14.25" customHeight="1" x14ac:dyDescent="0.25">
      <c r="C849" s="11"/>
      <c r="F849" s="79"/>
      <c r="AC849" s="43"/>
      <c r="AD849" s="44"/>
      <c r="AE849" s="44"/>
      <c r="AF849" s="44"/>
    </row>
    <row r="850" spans="3:32" ht="14.25" customHeight="1" x14ac:dyDescent="0.25">
      <c r="C850" s="11"/>
      <c r="F850" s="79"/>
      <c r="AC850" s="43"/>
      <c r="AD850" s="44"/>
      <c r="AE850" s="44"/>
      <c r="AF850" s="44"/>
    </row>
    <row r="851" spans="3:32" ht="14.25" customHeight="1" x14ac:dyDescent="0.25">
      <c r="C851" s="11"/>
      <c r="F851" s="79"/>
      <c r="AC851" s="43"/>
      <c r="AD851" s="44"/>
      <c r="AE851" s="44"/>
      <c r="AF851" s="44"/>
    </row>
    <row r="852" spans="3:32" ht="14.25" customHeight="1" x14ac:dyDescent="0.25">
      <c r="C852" s="11"/>
      <c r="F852" s="79"/>
      <c r="AC852" s="43"/>
      <c r="AD852" s="44"/>
      <c r="AE852" s="44"/>
      <c r="AF852" s="44"/>
    </row>
    <row r="853" spans="3:32" ht="14.25" customHeight="1" x14ac:dyDescent="0.25">
      <c r="C853" s="11"/>
      <c r="F853" s="79"/>
      <c r="AC853" s="43"/>
      <c r="AD853" s="44"/>
      <c r="AE853" s="44"/>
      <c r="AF853" s="44"/>
    </row>
    <row r="854" spans="3:32" ht="14.25" customHeight="1" x14ac:dyDescent="0.25">
      <c r="C854" s="11"/>
      <c r="F854" s="79"/>
      <c r="AC854" s="43"/>
      <c r="AD854" s="44"/>
      <c r="AE854" s="44"/>
      <c r="AF854" s="44"/>
    </row>
    <row r="855" spans="3:32" ht="14.25" customHeight="1" x14ac:dyDescent="0.25">
      <c r="C855" s="11"/>
      <c r="F855" s="79"/>
      <c r="AC855" s="43"/>
      <c r="AD855" s="44"/>
      <c r="AE855" s="44"/>
      <c r="AF855" s="44"/>
    </row>
    <row r="856" spans="3:32" ht="14.25" customHeight="1" x14ac:dyDescent="0.25">
      <c r="C856" s="11"/>
      <c r="F856" s="79"/>
      <c r="AC856" s="43"/>
      <c r="AD856" s="44"/>
      <c r="AE856" s="44"/>
      <c r="AF856" s="44"/>
    </row>
    <row r="857" spans="3:32" ht="14.25" customHeight="1" x14ac:dyDescent="0.25">
      <c r="C857" s="11"/>
      <c r="F857" s="79"/>
      <c r="AC857" s="43"/>
      <c r="AD857" s="44"/>
      <c r="AE857" s="44"/>
      <c r="AF857" s="44"/>
    </row>
    <row r="858" spans="3:32" ht="14.25" customHeight="1" x14ac:dyDescent="0.25">
      <c r="C858" s="11"/>
      <c r="F858" s="79"/>
      <c r="AC858" s="43"/>
      <c r="AD858" s="44"/>
      <c r="AE858" s="44"/>
      <c r="AF858" s="44"/>
    </row>
    <row r="859" spans="3:32" ht="14.25" customHeight="1" x14ac:dyDescent="0.25">
      <c r="C859" s="11"/>
      <c r="F859" s="79"/>
      <c r="AC859" s="43"/>
      <c r="AD859" s="44"/>
      <c r="AE859" s="44"/>
      <c r="AF859" s="44"/>
    </row>
    <row r="860" spans="3:32" ht="14.25" customHeight="1" x14ac:dyDescent="0.25">
      <c r="C860" s="11"/>
      <c r="F860" s="79"/>
      <c r="AC860" s="43"/>
      <c r="AD860" s="44"/>
      <c r="AE860" s="44"/>
      <c r="AF860" s="44"/>
    </row>
    <row r="861" spans="3:32" ht="14.25" customHeight="1" x14ac:dyDescent="0.25">
      <c r="C861" s="11"/>
      <c r="F861" s="79"/>
      <c r="AC861" s="43"/>
      <c r="AD861" s="44"/>
      <c r="AE861" s="44"/>
      <c r="AF861" s="44"/>
    </row>
    <row r="862" spans="3:32" ht="14.25" customHeight="1" x14ac:dyDescent="0.25">
      <c r="C862" s="11"/>
      <c r="F862" s="79"/>
      <c r="AC862" s="43"/>
      <c r="AD862" s="44"/>
      <c r="AE862" s="44"/>
      <c r="AF862" s="44"/>
    </row>
    <row r="863" spans="3:32" ht="14.25" customHeight="1" x14ac:dyDescent="0.25">
      <c r="C863" s="11"/>
      <c r="F863" s="79"/>
      <c r="AC863" s="43"/>
      <c r="AD863" s="44"/>
      <c r="AE863" s="44"/>
      <c r="AF863" s="44"/>
    </row>
    <row r="864" spans="3:32" ht="14.25" customHeight="1" x14ac:dyDescent="0.25">
      <c r="C864" s="11"/>
      <c r="F864" s="79"/>
      <c r="AC864" s="43"/>
      <c r="AD864" s="44"/>
      <c r="AE864" s="44"/>
      <c r="AF864" s="44"/>
    </row>
    <row r="865" spans="3:32" ht="14.25" customHeight="1" x14ac:dyDescent="0.25">
      <c r="C865" s="11"/>
      <c r="F865" s="79"/>
      <c r="AC865" s="43"/>
      <c r="AD865" s="44"/>
      <c r="AE865" s="44"/>
      <c r="AF865" s="44"/>
    </row>
    <row r="866" spans="3:32" ht="14.25" customHeight="1" x14ac:dyDescent="0.25">
      <c r="C866" s="11"/>
      <c r="F866" s="79"/>
      <c r="AC866" s="43"/>
      <c r="AD866" s="44"/>
      <c r="AE866" s="44"/>
      <c r="AF866" s="44"/>
    </row>
    <row r="867" spans="3:32" ht="14.25" customHeight="1" x14ac:dyDescent="0.25">
      <c r="C867" s="11"/>
      <c r="F867" s="79"/>
      <c r="AC867" s="43"/>
      <c r="AD867" s="44"/>
      <c r="AE867" s="44"/>
      <c r="AF867" s="44"/>
    </row>
    <row r="868" spans="3:32" ht="14.25" customHeight="1" x14ac:dyDescent="0.25">
      <c r="C868" s="11"/>
      <c r="F868" s="79"/>
      <c r="AC868" s="43"/>
      <c r="AD868" s="44"/>
      <c r="AE868" s="44"/>
      <c r="AF868" s="44"/>
    </row>
    <row r="869" spans="3:32" ht="14.25" customHeight="1" x14ac:dyDescent="0.25">
      <c r="C869" s="11"/>
      <c r="F869" s="79"/>
      <c r="AC869" s="43"/>
      <c r="AD869" s="44"/>
      <c r="AE869" s="44"/>
      <c r="AF869" s="44"/>
    </row>
    <row r="870" spans="3:32" ht="14.25" customHeight="1" x14ac:dyDescent="0.25">
      <c r="C870" s="11"/>
      <c r="F870" s="79"/>
      <c r="AC870" s="43"/>
      <c r="AD870" s="44"/>
      <c r="AE870" s="44"/>
      <c r="AF870" s="44"/>
    </row>
    <row r="871" spans="3:32" ht="14.25" customHeight="1" x14ac:dyDescent="0.25">
      <c r="C871" s="11"/>
      <c r="F871" s="79"/>
      <c r="AC871" s="43"/>
      <c r="AD871" s="44"/>
      <c r="AE871" s="44"/>
      <c r="AF871" s="44"/>
    </row>
    <row r="872" spans="3:32" ht="14.25" customHeight="1" x14ac:dyDescent="0.25">
      <c r="C872" s="11"/>
      <c r="F872" s="79"/>
      <c r="AC872" s="43"/>
      <c r="AD872" s="44"/>
      <c r="AE872" s="44"/>
      <c r="AF872" s="44"/>
    </row>
    <row r="873" spans="3:32" ht="14.25" customHeight="1" x14ac:dyDescent="0.25">
      <c r="C873" s="11"/>
      <c r="F873" s="79"/>
      <c r="AC873" s="43"/>
      <c r="AD873" s="44"/>
      <c r="AE873" s="44"/>
      <c r="AF873" s="44"/>
    </row>
    <row r="874" spans="3:32" ht="14.25" customHeight="1" x14ac:dyDescent="0.25">
      <c r="C874" s="11"/>
      <c r="F874" s="79"/>
      <c r="AC874" s="43"/>
      <c r="AD874" s="44"/>
      <c r="AE874" s="44"/>
      <c r="AF874" s="44"/>
    </row>
    <row r="875" spans="3:32" ht="14.25" customHeight="1" x14ac:dyDescent="0.25">
      <c r="C875" s="11"/>
      <c r="F875" s="79"/>
      <c r="AC875" s="43"/>
      <c r="AD875" s="44"/>
      <c r="AE875" s="44"/>
      <c r="AF875" s="44"/>
    </row>
    <row r="876" spans="3:32" ht="14.25" customHeight="1" x14ac:dyDescent="0.25">
      <c r="C876" s="11"/>
      <c r="F876" s="79"/>
      <c r="AC876" s="43"/>
      <c r="AD876" s="44"/>
      <c r="AE876" s="44"/>
      <c r="AF876" s="44"/>
    </row>
    <row r="877" spans="3:32" ht="14.25" customHeight="1" x14ac:dyDescent="0.25">
      <c r="C877" s="11"/>
      <c r="F877" s="79"/>
      <c r="AC877" s="43"/>
      <c r="AD877" s="44"/>
      <c r="AE877" s="44"/>
      <c r="AF877" s="44"/>
    </row>
    <row r="878" spans="3:32" ht="14.25" customHeight="1" x14ac:dyDescent="0.25">
      <c r="C878" s="11"/>
      <c r="F878" s="79"/>
      <c r="AC878" s="43"/>
      <c r="AD878" s="44"/>
      <c r="AE878" s="44"/>
      <c r="AF878" s="44"/>
    </row>
    <row r="879" spans="3:32" ht="14.25" customHeight="1" x14ac:dyDescent="0.25">
      <c r="C879" s="11"/>
      <c r="F879" s="79"/>
      <c r="AC879" s="43"/>
      <c r="AD879" s="44"/>
      <c r="AE879" s="44"/>
      <c r="AF879" s="44"/>
    </row>
    <row r="880" spans="3:32" ht="14.25" customHeight="1" x14ac:dyDescent="0.25">
      <c r="C880" s="11"/>
      <c r="F880" s="79"/>
      <c r="AC880" s="43"/>
      <c r="AD880" s="44"/>
      <c r="AE880" s="44"/>
      <c r="AF880" s="44"/>
    </row>
    <row r="881" spans="3:32" ht="14.25" customHeight="1" x14ac:dyDescent="0.25">
      <c r="C881" s="11"/>
      <c r="F881" s="79"/>
      <c r="AC881" s="43"/>
      <c r="AD881" s="44"/>
      <c r="AE881" s="44"/>
      <c r="AF881" s="44"/>
    </row>
    <row r="882" spans="3:32" ht="14.25" customHeight="1" x14ac:dyDescent="0.25">
      <c r="C882" s="11"/>
      <c r="F882" s="79"/>
      <c r="AC882" s="43"/>
      <c r="AD882" s="44"/>
      <c r="AE882" s="44"/>
      <c r="AF882" s="44"/>
    </row>
    <row r="883" spans="3:32" ht="14.25" customHeight="1" x14ac:dyDescent="0.25">
      <c r="C883" s="11"/>
      <c r="F883" s="79"/>
      <c r="AC883" s="43"/>
      <c r="AD883" s="44"/>
      <c r="AE883" s="44"/>
      <c r="AF883" s="44"/>
    </row>
    <row r="884" spans="3:32" ht="14.25" customHeight="1" x14ac:dyDescent="0.25">
      <c r="C884" s="11"/>
      <c r="F884" s="79"/>
      <c r="AC884" s="43"/>
      <c r="AD884" s="44"/>
      <c r="AE884" s="44"/>
      <c r="AF884" s="44"/>
    </row>
    <row r="885" spans="3:32" ht="14.25" customHeight="1" x14ac:dyDescent="0.25">
      <c r="C885" s="11"/>
      <c r="F885" s="79"/>
      <c r="AC885" s="43"/>
      <c r="AD885" s="44"/>
      <c r="AE885" s="44"/>
      <c r="AF885" s="44"/>
    </row>
    <row r="886" spans="3:32" ht="14.25" customHeight="1" x14ac:dyDescent="0.25">
      <c r="C886" s="11"/>
      <c r="F886" s="79"/>
      <c r="AC886" s="43"/>
      <c r="AD886" s="44"/>
      <c r="AE886" s="44"/>
      <c r="AF886" s="44"/>
    </row>
    <row r="887" spans="3:32" ht="14.25" customHeight="1" x14ac:dyDescent="0.25">
      <c r="C887" s="11"/>
      <c r="F887" s="79"/>
      <c r="AC887" s="43"/>
      <c r="AD887" s="44"/>
      <c r="AE887" s="44"/>
      <c r="AF887" s="44"/>
    </row>
    <row r="888" spans="3:32" ht="14.25" customHeight="1" x14ac:dyDescent="0.25">
      <c r="C888" s="11"/>
      <c r="F888" s="79"/>
      <c r="AC888" s="43"/>
      <c r="AD888" s="44"/>
      <c r="AE888" s="44"/>
      <c r="AF888" s="44"/>
    </row>
    <row r="889" spans="3:32" ht="14.25" customHeight="1" x14ac:dyDescent="0.25">
      <c r="C889" s="11"/>
      <c r="F889" s="79"/>
      <c r="AC889" s="43"/>
      <c r="AD889" s="44"/>
      <c r="AE889" s="44"/>
      <c r="AF889" s="44"/>
    </row>
    <row r="890" spans="3:32" ht="14.25" customHeight="1" x14ac:dyDescent="0.25">
      <c r="C890" s="11"/>
      <c r="F890" s="79"/>
      <c r="AC890" s="43"/>
      <c r="AD890" s="44"/>
      <c r="AE890" s="44"/>
      <c r="AF890" s="44"/>
    </row>
    <row r="891" spans="3:32" ht="14.25" customHeight="1" x14ac:dyDescent="0.25">
      <c r="C891" s="11"/>
      <c r="F891" s="79"/>
      <c r="AC891" s="43"/>
      <c r="AD891" s="44"/>
      <c r="AE891" s="44"/>
      <c r="AF891" s="44"/>
    </row>
    <row r="892" spans="3:32" ht="14.25" customHeight="1" x14ac:dyDescent="0.25">
      <c r="C892" s="11"/>
      <c r="F892" s="79"/>
      <c r="AC892" s="43"/>
      <c r="AD892" s="44"/>
      <c r="AE892" s="44"/>
      <c r="AF892" s="44"/>
    </row>
    <row r="893" spans="3:32" ht="14.25" customHeight="1" x14ac:dyDescent="0.25">
      <c r="C893" s="11"/>
      <c r="F893" s="79"/>
      <c r="AC893" s="43"/>
      <c r="AD893" s="44"/>
      <c r="AE893" s="44"/>
      <c r="AF893" s="44"/>
    </row>
    <row r="894" spans="3:32" ht="14.25" customHeight="1" x14ac:dyDescent="0.25">
      <c r="C894" s="11"/>
      <c r="F894" s="79"/>
      <c r="AC894" s="43"/>
      <c r="AD894" s="44"/>
      <c r="AE894" s="44"/>
      <c r="AF894" s="44"/>
    </row>
    <row r="895" spans="3:32" ht="14.25" customHeight="1" x14ac:dyDescent="0.25">
      <c r="C895" s="11"/>
      <c r="F895" s="79"/>
      <c r="AC895" s="43"/>
      <c r="AD895" s="44"/>
      <c r="AE895" s="44"/>
      <c r="AF895" s="44"/>
    </row>
    <row r="896" spans="3:32" ht="14.25" customHeight="1" x14ac:dyDescent="0.25">
      <c r="C896" s="11"/>
      <c r="F896" s="79"/>
      <c r="AC896" s="43"/>
      <c r="AD896" s="44"/>
      <c r="AE896" s="44"/>
      <c r="AF896" s="44"/>
    </row>
    <row r="897" spans="3:32" ht="14.25" customHeight="1" x14ac:dyDescent="0.25">
      <c r="C897" s="11"/>
      <c r="F897" s="79"/>
      <c r="AC897" s="43"/>
      <c r="AD897" s="44"/>
      <c r="AE897" s="44"/>
      <c r="AF897" s="44"/>
    </row>
    <row r="898" spans="3:32" ht="14.25" customHeight="1" x14ac:dyDescent="0.25">
      <c r="C898" s="11"/>
      <c r="F898" s="79"/>
      <c r="AC898" s="43"/>
      <c r="AD898" s="44"/>
      <c r="AE898" s="44"/>
      <c r="AF898" s="44"/>
    </row>
    <row r="899" spans="3:32" ht="14.25" customHeight="1" x14ac:dyDescent="0.25">
      <c r="C899" s="11"/>
      <c r="F899" s="79"/>
      <c r="AC899" s="43"/>
      <c r="AD899" s="44"/>
      <c r="AE899" s="44"/>
      <c r="AF899" s="44"/>
    </row>
    <row r="900" spans="3:32" ht="14.25" customHeight="1" x14ac:dyDescent="0.25">
      <c r="C900" s="11"/>
      <c r="F900" s="79"/>
      <c r="AC900" s="43"/>
      <c r="AD900" s="44"/>
      <c r="AE900" s="44"/>
      <c r="AF900" s="44"/>
    </row>
    <row r="901" spans="3:32" ht="14.25" customHeight="1" x14ac:dyDescent="0.25">
      <c r="C901" s="11"/>
      <c r="F901" s="79"/>
      <c r="AC901" s="43"/>
      <c r="AD901" s="44"/>
      <c r="AE901" s="44"/>
      <c r="AF901" s="44"/>
    </row>
    <row r="902" spans="3:32" ht="14.25" customHeight="1" x14ac:dyDescent="0.25">
      <c r="C902" s="11"/>
      <c r="F902" s="79"/>
      <c r="AC902" s="43"/>
      <c r="AD902" s="44"/>
      <c r="AE902" s="44"/>
      <c r="AF902" s="44"/>
    </row>
    <row r="903" spans="3:32" ht="14.25" customHeight="1" x14ac:dyDescent="0.25">
      <c r="C903" s="11"/>
      <c r="F903" s="79"/>
      <c r="AC903" s="43"/>
      <c r="AD903" s="44"/>
      <c r="AE903" s="44"/>
      <c r="AF903" s="44"/>
    </row>
    <row r="904" spans="3:32" ht="14.25" customHeight="1" x14ac:dyDescent="0.25">
      <c r="C904" s="11"/>
      <c r="F904" s="79"/>
      <c r="AC904" s="43"/>
      <c r="AD904" s="44"/>
      <c r="AE904" s="44"/>
      <c r="AF904" s="44"/>
    </row>
    <row r="905" spans="3:32" ht="14.25" customHeight="1" x14ac:dyDescent="0.25">
      <c r="C905" s="11"/>
      <c r="F905" s="79"/>
      <c r="AC905" s="43"/>
      <c r="AD905" s="44"/>
      <c r="AE905" s="44"/>
      <c r="AF905" s="44"/>
    </row>
    <row r="906" spans="3:32" ht="14.25" customHeight="1" x14ac:dyDescent="0.25">
      <c r="C906" s="11"/>
      <c r="F906" s="79"/>
      <c r="AC906" s="43"/>
      <c r="AD906" s="44"/>
      <c r="AE906" s="44"/>
      <c r="AF906" s="44"/>
    </row>
    <row r="907" spans="3:32" ht="14.25" customHeight="1" x14ac:dyDescent="0.25">
      <c r="C907" s="11"/>
      <c r="F907" s="79"/>
      <c r="AC907" s="43"/>
      <c r="AD907" s="44"/>
      <c r="AE907" s="44"/>
      <c r="AF907" s="44"/>
    </row>
    <row r="908" spans="3:32" ht="14.25" customHeight="1" x14ac:dyDescent="0.25">
      <c r="C908" s="11"/>
      <c r="F908" s="79"/>
      <c r="AC908" s="43"/>
      <c r="AD908" s="44"/>
      <c r="AE908" s="44"/>
      <c r="AF908" s="44"/>
    </row>
    <row r="909" spans="3:32" ht="14.25" customHeight="1" x14ac:dyDescent="0.25">
      <c r="C909" s="11"/>
      <c r="F909" s="79"/>
      <c r="AC909" s="43"/>
      <c r="AD909" s="44"/>
      <c r="AE909" s="44"/>
      <c r="AF909" s="44"/>
    </row>
    <row r="910" spans="3:32" ht="14.25" customHeight="1" x14ac:dyDescent="0.25">
      <c r="C910" s="11"/>
      <c r="F910" s="79"/>
      <c r="AC910" s="43"/>
      <c r="AD910" s="44"/>
      <c r="AE910" s="44"/>
      <c r="AF910" s="44"/>
    </row>
    <row r="911" spans="3:32" ht="14.25" customHeight="1" x14ac:dyDescent="0.25">
      <c r="C911" s="11"/>
      <c r="F911" s="79"/>
      <c r="AC911" s="43"/>
      <c r="AD911" s="44"/>
      <c r="AE911" s="44"/>
      <c r="AF911" s="44"/>
    </row>
    <row r="912" spans="3:32" ht="14.25" customHeight="1" x14ac:dyDescent="0.25">
      <c r="C912" s="11"/>
      <c r="F912" s="79"/>
      <c r="AC912" s="43"/>
      <c r="AD912" s="44"/>
      <c r="AE912" s="44"/>
      <c r="AF912" s="44"/>
    </row>
    <row r="913" spans="3:32" ht="14.25" customHeight="1" x14ac:dyDescent="0.25">
      <c r="C913" s="11"/>
      <c r="F913" s="79"/>
      <c r="AC913" s="43"/>
      <c r="AD913" s="44"/>
      <c r="AE913" s="44"/>
      <c r="AF913" s="44"/>
    </row>
    <row r="914" spans="3:32" ht="14.25" customHeight="1" x14ac:dyDescent="0.25">
      <c r="C914" s="11"/>
      <c r="F914" s="79"/>
      <c r="AC914" s="43"/>
      <c r="AD914" s="44"/>
      <c r="AE914" s="44"/>
      <c r="AF914" s="44"/>
    </row>
    <row r="915" spans="3:32" ht="14.25" customHeight="1" x14ac:dyDescent="0.25">
      <c r="C915" s="11"/>
      <c r="F915" s="79"/>
      <c r="AC915" s="43"/>
      <c r="AD915" s="44"/>
      <c r="AE915" s="44"/>
      <c r="AF915" s="44"/>
    </row>
    <row r="916" spans="3:32" ht="14.25" customHeight="1" x14ac:dyDescent="0.25">
      <c r="C916" s="11"/>
      <c r="F916" s="79"/>
      <c r="AC916" s="43"/>
      <c r="AD916" s="44"/>
      <c r="AE916" s="44"/>
      <c r="AF916" s="44"/>
    </row>
    <row r="917" spans="3:32" ht="14.25" customHeight="1" x14ac:dyDescent="0.25">
      <c r="C917" s="11"/>
      <c r="F917" s="79"/>
      <c r="AC917" s="43"/>
      <c r="AD917" s="44"/>
      <c r="AE917" s="44"/>
      <c r="AF917" s="44"/>
    </row>
    <row r="918" spans="3:32" ht="14.25" customHeight="1" x14ac:dyDescent="0.25">
      <c r="C918" s="11"/>
      <c r="F918" s="79"/>
      <c r="AC918" s="43"/>
      <c r="AD918" s="44"/>
      <c r="AE918" s="44"/>
      <c r="AF918" s="44"/>
    </row>
    <row r="919" spans="3:32" ht="14.25" customHeight="1" x14ac:dyDescent="0.25">
      <c r="C919" s="11"/>
      <c r="F919" s="79"/>
      <c r="AC919" s="43"/>
      <c r="AD919" s="44"/>
      <c r="AE919" s="44"/>
      <c r="AF919" s="44"/>
    </row>
    <row r="920" spans="3:32" ht="14.25" customHeight="1" x14ac:dyDescent="0.25">
      <c r="C920" s="11"/>
      <c r="F920" s="79"/>
      <c r="AC920" s="43"/>
      <c r="AD920" s="44"/>
      <c r="AE920" s="44"/>
      <c r="AF920" s="44"/>
    </row>
    <row r="921" spans="3:32" ht="14.25" customHeight="1" x14ac:dyDescent="0.25">
      <c r="C921" s="11"/>
      <c r="F921" s="79"/>
      <c r="AC921" s="43"/>
      <c r="AD921" s="44"/>
      <c r="AE921" s="44"/>
      <c r="AF921" s="44"/>
    </row>
    <row r="922" spans="3:32" ht="14.25" customHeight="1" x14ac:dyDescent="0.25">
      <c r="C922" s="11"/>
      <c r="F922" s="79"/>
      <c r="AC922" s="43"/>
      <c r="AD922" s="44"/>
      <c r="AE922" s="44"/>
      <c r="AF922" s="44"/>
    </row>
    <row r="923" spans="3:32" ht="14.25" customHeight="1" x14ac:dyDescent="0.25">
      <c r="C923" s="11"/>
      <c r="F923" s="79"/>
      <c r="AC923" s="43"/>
      <c r="AD923" s="44"/>
      <c r="AE923" s="44"/>
      <c r="AF923" s="44"/>
    </row>
    <row r="924" spans="3:32" ht="14.25" customHeight="1" x14ac:dyDescent="0.25">
      <c r="C924" s="11"/>
      <c r="F924" s="79"/>
      <c r="AC924" s="43"/>
      <c r="AD924" s="44"/>
      <c r="AE924" s="44"/>
      <c r="AF924" s="44"/>
    </row>
    <row r="925" spans="3:32" ht="14.25" customHeight="1" x14ac:dyDescent="0.25">
      <c r="C925" s="11"/>
      <c r="F925" s="79"/>
      <c r="AC925" s="43"/>
      <c r="AD925" s="44"/>
      <c r="AE925" s="44"/>
      <c r="AF925" s="44"/>
    </row>
    <row r="926" spans="3:32" ht="14.25" customHeight="1" x14ac:dyDescent="0.25">
      <c r="C926" s="11"/>
      <c r="F926" s="79"/>
      <c r="AC926" s="43"/>
      <c r="AD926" s="44"/>
      <c r="AE926" s="44"/>
      <c r="AF926" s="44"/>
    </row>
    <row r="927" spans="3:32" ht="14.25" customHeight="1" x14ac:dyDescent="0.25">
      <c r="C927" s="11"/>
      <c r="F927" s="79"/>
      <c r="AC927" s="43"/>
      <c r="AD927" s="44"/>
      <c r="AE927" s="44"/>
      <c r="AF927" s="44"/>
    </row>
    <row r="928" spans="3:32" ht="14.25" customHeight="1" x14ac:dyDescent="0.25">
      <c r="C928" s="11"/>
      <c r="F928" s="79"/>
      <c r="AC928" s="43"/>
      <c r="AD928" s="44"/>
      <c r="AE928" s="44"/>
      <c r="AF928" s="44"/>
    </row>
    <row r="929" spans="3:32" ht="14.25" customHeight="1" x14ac:dyDescent="0.25">
      <c r="C929" s="11"/>
      <c r="F929" s="79"/>
      <c r="AC929" s="43"/>
      <c r="AD929" s="44"/>
      <c r="AE929" s="44"/>
      <c r="AF929" s="44"/>
    </row>
  </sheetData>
  <autoFilter ref="A6:AF72" xr:uid="{00000000-0009-0000-0000-000000000000}"/>
  <mergeCells count="14">
    <mergeCell ref="AE5:AE6"/>
    <mergeCell ref="AF5:AF6"/>
    <mergeCell ref="A1:C1"/>
    <mergeCell ref="A3:C3"/>
    <mergeCell ref="A5:D5"/>
    <mergeCell ref="F5:K5"/>
    <mergeCell ref="L5:O5"/>
    <mergeCell ref="P5:S5"/>
    <mergeCell ref="T5:U5"/>
    <mergeCell ref="V5:W5"/>
    <mergeCell ref="X5:Y5"/>
    <mergeCell ref="Z5:AA5"/>
    <mergeCell ref="AC5:AC6"/>
    <mergeCell ref="AD5:AD6"/>
  </mergeCells>
  <conditionalFormatting sqref="M7:M38 Q7:Q38">
    <cfRule type="expression" dxfId="8" priority="10">
      <formula>AND(M7=0,N7&gt;0)</formula>
    </cfRule>
  </conditionalFormatting>
  <conditionalFormatting sqref="M40 M42 M44 M46 M50 M53 M55 M58 M60 M62:M64">
    <cfRule type="expression" dxfId="7" priority="56">
      <formula>AND(M40=0,N40&gt;0)</formula>
    </cfRule>
  </conditionalFormatting>
  <conditionalFormatting sqref="M67 M69:M73">
    <cfRule type="expression" dxfId="6" priority="5">
      <formula>AND(M67=0,N67&gt;0)</formula>
    </cfRule>
  </conditionalFormatting>
  <conditionalFormatting sqref="Q41 Q43 Q45 Q48:Q49 Q52 Q54 Q57 Q59 Q61:Q64">
    <cfRule type="expression" dxfId="5" priority="53">
      <formula>AND(Q41=0,R41&gt;0)</formula>
    </cfRule>
  </conditionalFormatting>
  <conditionalFormatting sqref="Q67:Q68 Q70:Q73">
    <cfRule type="expression" dxfId="4" priority="4">
      <formula>AND(Q67=0,R67&gt;0)</formula>
    </cfRule>
  </conditionalFormatting>
  <conditionalFormatting sqref="T7:U46 T57:U64">
    <cfRule type="cellIs" dxfId="3" priority="11" operator="equal">
      <formula>0</formula>
    </cfRule>
  </conditionalFormatting>
  <conditionalFormatting sqref="T48:U50 T52:U55 T67:U72">
    <cfRule type="cellIs" dxfId="2" priority="59" operator="equal">
      <formula>0</formula>
    </cfRule>
  </conditionalFormatting>
  <conditionalFormatting sqref="T73:U73">
    <cfRule type="cellIs" dxfId="1" priority="1" operator="equal">
      <formula>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97"/>
  <sheetViews>
    <sheetView topLeftCell="A31" workbookViewId="0">
      <selection activeCell="E58" sqref="E58"/>
    </sheetView>
  </sheetViews>
  <sheetFormatPr defaultColWidth="14.42578125" defaultRowHeight="15" customHeight="1" x14ac:dyDescent="0.25"/>
  <cols>
    <col min="1" max="1" width="6.28515625" customWidth="1"/>
    <col min="2" max="2" width="15.7109375" customWidth="1"/>
    <col min="3" max="4" width="13" customWidth="1"/>
    <col min="5" max="5" width="16.5703125" customWidth="1"/>
    <col min="6" max="6" width="25.42578125" customWidth="1"/>
    <col min="7" max="7" width="14.5703125" customWidth="1"/>
    <col min="8" max="8" width="20.5703125" customWidth="1"/>
    <col min="9" max="9" width="28.140625" customWidth="1"/>
    <col min="10" max="10" width="11.42578125" customWidth="1"/>
    <col min="11" max="11" width="24.42578125" customWidth="1"/>
    <col min="12" max="12" width="31.42578125" customWidth="1"/>
    <col min="13" max="13" width="15.85546875" customWidth="1"/>
    <col min="14" max="14" width="18.28515625" customWidth="1"/>
    <col min="15" max="15" width="29.7109375" customWidth="1"/>
    <col min="16" max="16" width="14.28515625" customWidth="1"/>
    <col min="17" max="17" width="21.140625" customWidth="1"/>
    <col min="18" max="18" width="28.140625" customWidth="1"/>
    <col min="19" max="19" width="12" customWidth="1"/>
    <col min="20" max="20" width="23.5703125" customWidth="1"/>
    <col min="21" max="21" width="21.42578125" customWidth="1"/>
    <col min="22" max="22" width="23.5703125" customWidth="1"/>
    <col min="23" max="23" width="21.42578125" customWidth="1"/>
    <col min="24" max="24" width="23.5703125" customWidth="1"/>
    <col min="25" max="25" width="21.42578125" customWidth="1"/>
    <col min="26" max="26" width="31.28515625" customWidth="1"/>
    <col min="27" max="27" width="11.140625" customWidth="1"/>
    <col min="28" max="28" width="16.42578125" customWidth="1"/>
    <col min="29" max="29" width="9.7109375" customWidth="1"/>
    <col min="30" max="30" width="8" customWidth="1"/>
    <col min="31" max="31" width="14.85546875" customWidth="1"/>
    <col min="32" max="32" width="15.28515625" customWidth="1"/>
  </cols>
  <sheetData>
    <row r="1" spans="1:35" ht="21.75" customHeight="1" thickBot="1" x14ac:dyDescent="0.3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</row>
    <row r="2" spans="1:35" ht="14.25" customHeight="1" thickBot="1" x14ac:dyDescent="0.3">
      <c r="A2" s="2" t="str">
        <f>'Planning Roma'!$D$1</f>
        <v>RM</v>
      </c>
      <c r="B2" s="2" t="str">
        <f>'Planning Roma'!$D$3</f>
        <v xml:space="preserve"> </v>
      </c>
      <c r="C2" s="2">
        <f>'Planning Roma'!$A$7</f>
        <v>1</v>
      </c>
      <c r="E2" s="2" t="s">
        <v>108</v>
      </c>
      <c r="F2" s="2" t="str">
        <f>'Planning Roma'!C7</f>
        <v>BERSHKA</v>
      </c>
      <c r="G2" s="2">
        <f>'Planning Roma'!B7</f>
        <v>8601</v>
      </c>
      <c r="H2" s="3">
        <f>'Planning Roma'!J7</f>
        <v>5.22</v>
      </c>
      <c r="I2" s="3">
        <f>'Planning Roma'!K7</f>
        <v>908</v>
      </c>
      <c r="J2" s="3">
        <f>'Planning Roma'!G7</f>
        <v>50</v>
      </c>
      <c r="M2" s="3">
        <f>'Planning Roma'!I7</f>
        <v>8</v>
      </c>
      <c r="N2" s="3">
        <f>'Planning Roma'!N7</f>
        <v>0.65</v>
      </c>
      <c r="O2" s="3">
        <f>'Planning Roma'!O7</f>
        <v>83</v>
      </c>
      <c r="P2" s="3">
        <f>'Planning Roma'!M7</f>
        <v>6</v>
      </c>
      <c r="Q2" s="2">
        <f>'Planning Roma'!R7</f>
        <v>0.33</v>
      </c>
      <c r="R2" s="2">
        <f>'Planning Roma'!S7</f>
        <v>18</v>
      </c>
      <c r="S2" s="2">
        <f>'Planning Roma'!Q7</f>
        <v>3</v>
      </c>
      <c r="T2" s="2" t="str">
        <f>'Planning Roma'!V7</f>
        <v/>
      </c>
      <c r="U2" s="2">
        <f>'Planning Roma'!W7</f>
        <v>0</v>
      </c>
      <c r="V2" s="2">
        <f>'Planning Roma'!X7</f>
        <v>0</v>
      </c>
      <c r="W2" s="2">
        <f>'Planning Roma'!Y7</f>
        <v>0</v>
      </c>
      <c r="X2" s="2">
        <f>'Planning Roma'!Z7</f>
        <v>0</v>
      </c>
      <c r="Y2" s="2">
        <f>'Planning Roma'!AA7</f>
        <v>0</v>
      </c>
      <c r="Z2" s="2">
        <f>'Planning Roma'!AB7</f>
        <v>0</v>
      </c>
      <c r="AA2" s="5">
        <v>1805282</v>
      </c>
      <c r="AB2" s="2">
        <f>'Planning Roma'!AE7</f>
        <v>0</v>
      </c>
      <c r="AC2" s="2">
        <f>'Planning Roma'!AF7</f>
        <v>0</v>
      </c>
      <c r="AI2" s="3">
        <f>SUM(H2:Z2)</f>
        <v>1082.1999999999998</v>
      </c>
    </row>
    <row r="3" spans="1:35" ht="14.25" customHeight="1" thickBot="1" x14ac:dyDescent="0.3">
      <c r="A3" s="2" t="str">
        <f>'Planning Roma'!$D$1</f>
        <v>RM</v>
      </c>
      <c r="B3" s="2" t="str">
        <f>'Planning Roma'!$D$3</f>
        <v xml:space="preserve"> </v>
      </c>
      <c r="C3" s="2">
        <f>'Planning Roma'!$A$7</f>
        <v>1</v>
      </c>
      <c r="E3" s="2" t="s">
        <v>108</v>
      </c>
      <c r="F3" s="2" t="str">
        <f>'Planning Roma'!C8</f>
        <v>BERSHKA</v>
      </c>
      <c r="G3" s="2">
        <f>'Planning Roma'!B8</f>
        <v>8364</v>
      </c>
      <c r="H3" s="3">
        <f>'Planning Roma'!J8</f>
        <v>9.44</v>
      </c>
      <c r="I3" s="3">
        <f>'Planning Roma'!K8</f>
        <v>1652</v>
      </c>
      <c r="J3" s="3">
        <f>'Planning Roma'!G8</f>
        <v>94</v>
      </c>
      <c r="M3" s="3">
        <f>'Planning Roma'!I8</f>
        <v>6</v>
      </c>
      <c r="N3" s="3">
        <f>'Planning Roma'!N8</f>
        <v>1.08</v>
      </c>
      <c r="O3" s="3">
        <f>'Planning Roma'!O8</f>
        <v>149</v>
      </c>
      <c r="P3" s="3">
        <f>'Planning Roma'!M8</f>
        <v>10</v>
      </c>
      <c r="Q3" s="2">
        <f>'Planning Roma'!R8</f>
        <v>0</v>
      </c>
      <c r="R3" s="2">
        <f>'Planning Roma'!S8</f>
        <v>0</v>
      </c>
      <c r="S3" s="2">
        <f>'Planning Roma'!Q8</f>
        <v>0</v>
      </c>
      <c r="T3" s="2" t="str">
        <f>'Planning Roma'!V8</f>
        <v/>
      </c>
      <c r="U3" s="2">
        <f>'Planning Roma'!W8</f>
        <v>0</v>
      </c>
      <c r="V3" s="2">
        <f>'Planning Roma'!X8</f>
        <v>0</v>
      </c>
      <c r="W3" s="2">
        <f>'Planning Roma'!Y8</f>
        <v>0</v>
      </c>
      <c r="X3" s="2">
        <f>'Planning Roma'!Z8</f>
        <v>0</v>
      </c>
      <c r="Y3" s="2">
        <f>'Planning Roma'!AA8</f>
        <v>0</v>
      </c>
      <c r="Z3" s="2">
        <f>'Planning Roma'!AB8</f>
        <v>0</v>
      </c>
      <c r="AA3" s="6">
        <v>1805282</v>
      </c>
      <c r="AB3" s="2">
        <f>'Planning Roma'!AE8</f>
        <v>0</v>
      </c>
      <c r="AC3" s="2">
        <f>'Planning Roma'!AF8</f>
        <v>0</v>
      </c>
      <c r="AI3" s="3">
        <f t="shared" ref="AI3:AI66" si="0">SUM(H3:Z3)</f>
        <v>1921.52</v>
      </c>
    </row>
    <row r="4" spans="1:35" ht="14.25" customHeight="1" thickBot="1" x14ac:dyDescent="0.3">
      <c r="A4" s="2" t="str">
        <f>'Planning Roma'!$D$1</f>
        <v>RM</v>
      </c>
      <c r="B4" s="2" t="str">
        <f>'Planning Roma'!$D$3</f>
        <v xml:space="preserve"> </v>
      </c>
      <c r="C4" s="2">
        <f>'Planning Roma'!$A$7</f>
        <v>1</v>
      </c>
      <c r="E4" s="2" t="s">
        <v>108</v>
      </c>
      <c r="F4" s="2" t="str">
        <f>'Planning Roma'!C9</f>
        <v>BERSHKA</v>
      </c>
      <c r="G4" s="2">
        <f>'Planning Roma'!B9</f>
        <v>14825</v>
      </c>
      <c r="H4" s="3">
        <f>'Planning Roma'!J9</f>
        <v>17.690000000000001</v>
      </c>
      <c r="I4" s="3">
        <f>'Planning Roma'!K9</f>
        <v>3091</v>
      </c>
      <c r="J4" s="3">
        <f>'Planning Roma'!G9</f>
        <v>170</v>
      </c>
      <c r="M4" s="3">
        <f>'Planning Roma'!I9</f>
        <v>10</v>
      </c>
      <c r="N4" s="3">
        <f>'Planning Roma'!N9</f>
        <v>1.38</v>
      </c>
      <c r="O4" s="3">
        <f>'Planning Roma'!O9</f>
        <v>179</v>
      </c>
      <c r="P4" s="3">
        <f>'Planning Roma'!M9</f>
        <v>14</v>
      </c>
      <c r="Q4" s="2">
        <f>'Planning Roma'!R9</f>
        <v>0</v>
      </c>
      <c r="R4" s="2">
        <f>'Planning Roma'!S9</f>
        <v>0</v>
      </c>
      <c r="S4" s="2">
        <f>'Planning Roma'!Q9</f>
        <v>0</v>
      </c>
      <c r="T4" s="2" t="str">
        <f>'Planning Roma'!V9</f>
        <v/>
      </c>
      <c r="U4" s="2">
        <f>'Planning Roma'!W9</f>
        <v>0</v>
      </c>
      <c r="V4" s="2">
        <f>'Planning Roma'!X9</f>
        <v>0</v>
      </c>
      <c r="W4" s="2">
        <f>'Planning Roma'!Y9</f>
        <v>0</v>
      </c>
      <c r="X4" s="2">
        <f>'Planning Roma'!Z9</f>
        <v>0</v>
      </c>
      <c r="Y4" s="2">
        <f>'Planning Roma'!AA9</f>
        <v>0</v>
      </c>
      <c r="Z4" s="2">
        <f>'Planning Roma'!AB9</f>
        <v>0</v>
      </c>
      <c r="AA4" s="6">
        <v>1805282</v>
      </c>
      <c r="AB4" s="2">
        <f>'Planning Roma'!AE9</f>
        <v>0</v>
      </c>
      <c r="AC4" s="2">
        <f>'Planning Roma'!AF9</f>
        <v>0</v>
      </c>
      <c r="AI4" s="3">
        <f t="shared" si="0"/>
        <v>3483.07</v>
      </c>
    </row>
    <row r="5" spans="1:35" ht="14.25" customHeight="1" thickBot="1" x14ac:dyDescent="0.3">
      <c r="A5" s="2" t="str">
        <f>'Planning Roma'!$D$1</f>
        <v>RM</v>
      </c>
      <c r="B5" s="2" t="str">
        <f>'Planning Roma'!$D$3</f>
        <v xml:space="preserve"> </v>
      </c>
      <c r="C5" s="2">
        <f>'Planning Roma'!$A$7</f>
        <v>1</v>
      </c>
      <c r="E5" s="2" t="s">
        <v>108</v>
      </c>
      <c r="F5" s="2" t="str">
        <f>'Planning Roma'!C10</f>
        <v>BERSHKA</v>
      </c>
      <c r="G5" s="2">
        <f>'Planning Roma'!B10</f>
        <v>12899</v>
      </c>
      <c r="H5" s="3">
        <f>'Planning Roma'!J10</f>
        <v>4.3</v>
      </c>
      <c r="I5" s="3">
        <f>'Planning Roma'!K10</f>
        <v>717</v>
      </c>
      <c r="J5" s="3">
        <f>'Planning Roma'!G10</f>
        <v>47</v>
      </c>
      <c r="M5" s="3">
        <f>'Planning Roma'!I10</f>
        <v>3</v>
      </c>
      <c r="N5" s="3">
        <f>'Planning Roma'!N10</f>
        <v>0.68</v>
      </c>
      <c r="O5" s="3">
        <f>'Planning Roma'!O10</f>
        <v>85</v>
      </c>
      <c r="P5" s="3">
        <f>'Planning Roma'!M10</f>
        <v>7</v>
      </c>
      <c r="Q5" s="2">
        <f>'Planning Roma'!R10</f>
        <v>0</v>
      </c>
      <c r="R5" s="2">
        <f>'Planning Roma'!S10</f>
        <v>0</v>
      </c>
      <c r="S5" s="2">
        <f>'Planning Roma'!Q10</f>
        <v>0</v>
      </c>
      <c r="T5" s="2" t="str">
        <f>'Planning Roma'!V10</f>
        <v/>
      </c>
      <c r="U5" s="2">
        <f>'Planning Roma'!W10</f>
        <v>0</v>
      </c>
      <c r="V5" s="2">
        <f>'Planning Roma'!X10</f>
        <v>0</v>
      </c>
      <c r="W5" s="2">
        <f>'Planning Roma'!Y10</f>
        <v>0</v>
      </c>
      <c r="X5" s="2">
        <f>'Planning Roma'!Z10</f>
        <v>0</v>
      </c>
      <c r="Y5" s="2">
        <f>'Planning Roma'!AA10</f>
        <v>0</v>
      </c>
      <c r="Z5" s="2">
        <f>'Planning Roma'!AB10</f>
        <v>0</v>
      </c>
      <c r="AA5" s="6">
        <v>1805282</v>
      </c>
      <c r="AB5" s="2">
        <f>'Planning Roma'!AE10</f>
        <v>0</v>
      </c>
      <c r="AC5" s="2">
        <f>'Planning Roma'!AF10</f>
        <v>0</v>
      </c>
      <c r="AI5" s="3">
        <f t="shared" si="0"/>
        <v>863.9799999999999</v>
      </c>
    </row>
    <row r="6" spans="1:35" ht="14.25" customHeight="1" thickBot="1" x14ac:dyDescent="0.3">
      <c r="A6" s="2" t="str">
        <f>'Planning Roma'!$D$1</f>
        <v>RM</v>
      </c>
      <c r="B6" s="2" t="str">
        <f>'Planning Roma'!$D$3</f>
        <v xml:space="preserve"> </v>
      </c>
      <c r="C6" s="2">
        <f>'Planning Roma'!$A$7</f>
        <v>1</v>
      </c>
      <c r="E6" s="2" t="s">
        <v>108</v>
      </c>
      <c r="F6" s="2" t="str">
        <f>'Planning Roma'!C11</f>
        <v>BERSHKA</v>
      </c>
      <c r="G6" s="2">
        <f>'Planning Roma'!B11</f>
        <v>8428</v>
      </c>
      <c r="H6" s="3">
        <f>'Planning Roma'!J11</f>
        <v>12.04</v>
      </c>
      <c r="I6" s="3">
        <f>'Planning Roma'!K11</f>
        <v>2109</v>
      </c>
      <c r="J6" s="3">
        <f>'Planning Roma'!G11</f>
        <v>130</v>
      </c>
      <c r="M6" s="3">
        <f>'Planning Roma'!I11</f>
        <v>2</v>
      </c>
      <c r="N6" s="3">
        <f>'Planning Roma'!N11</f>
        <v>1.51</v>
      </c>
      <c r="O6" s="3">
        <f>'Planning Roma'!O11</f>
        <v>197</v>
      </c>
      <c r="P6" s="3">
        <f>'Planning Roma'!M11</f>
        <v>14</v>
      </c>
      <c r="Q6" s="2">
        <f>'Planning Roma'!R11</f>
        <v>0</v>
      </c>
      <c r="R6" s="2">
        <f>'Planning Roma'!S11</f>
        <v>0</v>
      </c>
      <c r="S6" s="2">
        <f>'Planning Roma'!Q11</f>
        <v>0</v>
      </c>
      <c r="T6" s="2" t="str">
        <f>'Planning Roma'!V11</f>
        <v/>
      </c>
      <c r="U6" s="2">
        <f>'Planning Roma'!W11</f>
        <v>0</v>
      </c>
      <c r="V6" s="2">
        <f>'Planning Roma'!X11</f>
        <v>0</v>
      </c>
      <c r="W6" s="2">
        <f>'Planning Roma'!Y11</f>
        <v>0</v>
      </c>
      <c r="X6" s="2">
        <f>'Planning Roma'!Z11</f>
        <v>0</v>
      </c>
      <c r="Y6" s="2">
        <f>'Planning Roma'!AA11</f>
        <v>0</v>
      </c>
      <c r="Z6" s="2">
        <f>'Planning Roma'!AB11</f>
        <v>0</v>
      </c>
      <c r="AA6" s="6">
        <v>1805282</v>
      </c>
      <c r="AB6" s="2">
        <f>'Planning Roma'!AE11</f>
        <v>0</v>
      </c>
      <c r="AC6" s="2">
        <f>'Planning Roma'!AF11</f>
        <v>0</v>
      </c>
      <c r="AI6" s="3">
        <f t="shared" si="0"/>
        <v>2465.5500000000002</v>
      </c>
    </row>
    <row r="7" spans="1:35" ht="14.25" customHeight="1" thickBot="1" x14ac:dyDescent="0.3">
      <c r="A7" s="2" t="str">
        <f>'Planning Roma'!$D$1</f>
        <v>RM</v>
      </c>
      <c r="B7" s="2" t="str">
        <f>'Planning Roma'!$D$3</f>
        <v xml:space="preserve"> </v>
      </c>
      <c r="C7" s="2">
        <f>'Planning Roma'!$A$7</f>
        <v>1</v>
      </c>
      <c r="E7" s="2" t="s">
        <v>108</v>
      </c>
      <c r="F7" s="2" t="str">
        <f>'Planning Roma'!C12</f>
        <v>BERSHKA</v>
      </c>
      <c r="G7" s="2">
        <f>'Planning Roma'!B12</f>
        <v>8453</v>
      </c>
      <c r="H7" s="3">
        <f>'Planning Roma'!J12</f>
        <v>6.02</v>
      </c>
      <c r="I7" s="3">
        <f>'Planning Roma'!K12</f>
        <v>970</v>
      </c>
      <c r="J7" s="3">
        <f>'Planning Roma'!G12</f>
        <v>58</v>
      </c>
      <c r="M7" s="3">
        <f>'Planning Roma'!I12</f>
        <v>8</v>
      </c>
      <c r="N7" s="3">
        <f>'Planning Roma'!N12</f>
        <v>0.56999999999999995</v>
      </c>
      <c r="O7" s="3">
        <f>'Planning Roma'!O12</f>
        <v>67</v>
      </c>
      <c r="P7" s="3">
        <f>'Planning Roma'!M12</f>
        <v>6</v>
      </c>
      <c r="Q7" s="2">
        <f>'Planning Roma'!R12</f>
        <v>0.3</v>
      </c>
      <c r="R7" s="2">
        <f>'Planning Roma'!S12</f>
        <v>17</v>
      </c>
      <c r="S7" s="2">
        <f>'Planning Roma'!Q12</f>
        <v>3</v>
      </c>
      <c r="T7" s="2" t="str">
        <f>'Planning Roma'!V12</f>
        <v/>
      </c>
      <c r="U7" s="2">
        <f>'Planning Roma'!W12</f>
        <v>0</v>
      </c>
      <c r="V7" s="2">
        <f>'Planning Roma'!X12</f>
        <v>0</v>
      </c>
      <c r="W7" s="2">
        <f>'Planning Roma'!Y12</f>
        <v>0</v>
      </c>
      <c r="X7" s="2">
        <f>'Planning Roma'!Z12</f>
        <v>0</v>
      </c>
      <c r="Y7" s="2">
        <f>'Planning Roma'!AA12</f>
        <v>0</v>
      </c>
      <c r="Z7" s="2">
        <f>'Planning Roma'!AB12</f>
        <v>0</v>
      </c>
      <c r="AA7" s="6">
        <v>1805282</v>
      </c>
      <c r="AB7" s="2">
        <f>'Planning Roma'!AE12</f>
        <v>0</v>
      </c>
      <c r="AC7" s="2">
        <f>'Planning Roma'!AF12</f>
        <v>0</v>
      </c>
      <c r="AI7" s="3">
        <f t="shared" si="0"/>
        <v>1135.8899999999999</v>
      </c>
    </row>
    <row r="8" spans="1:35" ht="14.25" customHeight="1" thickBot="1" x14ac:dyDescent="0.3">
      <c r="A8" s="2" t="str">
        <f>'Planning Roma'!$D$1</f>
        <v>RM</v>
      </c>
      <c r="B8" s="2" t="str">
        <f>'Planning Roma'!$D$3</f>
        <v xml:space="preserve"> </v>
      </c>
      <c r="C8" s="2">
        <f>'Planning Roma'!$A$7</f>
        <v>1</v>
      </c>
      <c r="E8" s="2" t="s">
        <v>108</v>
      </c>
      <c r="F8" s="2" t="str">
        <f>'Planning Roma'!C13</f>
        <v>BERSHKA</v>
      </c>
      <c r="G8" s="2">
        <f>'Planning Roma'!B13</f>
        <v>16037</v>
      </c>
      <c r="H8" s="3">
        <f>'Planning Roma'!J13</f>
        <v>6.97</v>
      </c>
      <c r="I8" s="3">
        <f>'Planning Roma'!K13</f>
        <v>1197</v>
      </c>
      <c r="J8" s="3">
        <f>'Planning Roma'!G13</f>
        <v>70</v>
      </c>
      <c r="M8" s="3">
        <f>'Planning Roma'!I13</f>
        <v>0</v>
      </c>
      <c r="N8" s="3">
        <f>'Planning Roma'!N13</f>
        <v>0.65</v>
      </c>
      <c r="O8" s="3">
        <f>'Planning Roma'!O13</f>
        <v>77</v>
      </c>
      <c r="P8" s="3">
        <f>'Planning Roma'!M13</f>
        <v>6</v>
      </c>
      <c r="Q8" s="2">
        <f>'Planning Roma'!R13</f>
        <v>0.33</v>
      </c>
      <c r="R8" s="2">
        <f>'Planning Roma'!S13</f>
        <v>16</v>
      </c>
      <c r="S8" s="2">
        <f>'Planning Roma'!Q13</f>
        <v>3</v>
      </c>
      <c r="T8" s="2" t="str">
        <f>'Planning Roma'!V13</f>
        <v/>
      </c>
      <c r="U8" s="2">
        <f>'Planning Roma'!W13</f>
        <v>0</v>
      </c>
      <c r="V8" s="2">
        <f>'Planning Roma'!X13</f>
        <v>0</v>
      </c>
      <c r="W8" s="2">
        <f>'Planning Roma'!Y13</f>
        <v>0</v>
      </c>
      <c r="X8" s="2">
        <f>'Planning Roma'!Z13</f>
        <v>0</v>
      </c>
      <c r="Y8" s="2">
        <f>'Planning Roma'!AA13</f>
        <v>0</v>
      </c>
      <c r="Z8" s="2">
        <f>'Planning Roma'!AB13</f>
        <v>0</v>
      </c>
      <c r="AA8" s="6">
        <v>1805282</v>
      </c>
      <c r="AB8" s="2">
        <f>'Planning Roma'!AE13</f>
        <v>0</v>
      </c>
      <c r="AC8" s="2">
        <f>'Planning Roma'!AF13</f>
        <v>0</v>
      </c>
      <c r="AI8" s="3">
        <f t="shared" si="0"/>
        <v>1376.95</v>
      </c>
    </row>
    <row r="9" spans="1:35" ht="14.25" customHeight="1" thickBot="1" x14ac:dyDescent="0.3">
      <c r="A9" s="2" t="str">
        <f>'Planning Roma'!$D$1</f>
        <v>RM</v>
      </c>
      <c r="B9" s="2" t="str">
        <f>'Planning Roma'!$D$3</f>
        <v xml:space="preserve"> </v>
      </c>
      <c r="C9" s="2">
        <f>'Planning Roma'!$A$7</f>
        <v>1</v>
      </c>
      <c r="E9" s="2" t="s">
        <v>108</v>
      </c>
      <c r="F9" s="2" t="str">
        <f>'Planning Roma'!C14</f>
        <v>BERSHKA</v>
      </c>
      <c r="G9" s="2">
        <f>'Planning Roma'!B14</f>
        <v>11796</v>
      </c>
      <c r="H9" s="3">
        <f>'Planning Roma'!J14</f>
        <v>2.94</v>
      </c>
      <c r="I9" s="3">
        <f>'Planning Roma'!K14</f>
        <v>480</v>
      </c>
      <c r="J9" s="3">
        <f>'Planning Roma'!G14</f>
        <v>29</v>
      </c>
      <c r="M9" s="3">
        <f>'Planning Roma'!I14</f>
        <v>0</v>
      </c>
      <c r="N9" s="3">
        <f>'Planning Roma'!N14</f>
        <v>0.43</v>
      </c>
      <c r="O9" s="3">
        <f>'Planning Roma'!O14</f>
        <v>55</v>
      </c>
      <c r="P9" s="3">
        <f>'Planning Roma'!M14</f>
        <v>4</v>
      </c>
      <c r="Q9" s="2">
        <f>'Planning Roma'!R14</f>
        <v>0.22</v>
      </c>
      <c r="R9" s="2">
        <f>'Planning Roma'!S14</f>
        <v>13</v>
      </c>
      <c r="S9" s="2">
        <f>'Planning Roma'!Q14</f>
        <v>2</v>
      </c>
      <c r="T9" s="2">
        <f>'Planning Roma'!V14</f>
        <v>0</v>
      </c>
      <c r="U9" s="2">
        <f>'Planning Roma'!W14</f>
        <v>0</v>
      </c>
      <c r="V9" s="2">
        <f>'Planning Roma'!X14</f>
        <v>0</v>
      </c>
      <c r="W9" s="2">
        <f>'Planning Roma'!Y14</f>
        <v>0</v>
      </c>
      <c r="X9" s="2">
        <f>'Planning Roma'!Z14</f>
        <v>0</v>
      </c>
      <c r="Y9" s="2">
        <f>'Planning Roma'!AA14</f>
        <v>0</v>
      </c>
      <c r="Z9" s="2">
        <f>'Planning Roma'!AB14</f>
        <v>0</v>
      </c>
      <c r="AA9" s="6">
        <v>1805282</v>
      </c>
      <c r="AB9" s="2">
        <f>'Planning Roma'!AE14</f>
        <v>0</v>
      </c>
      <c r="AC9" s="2">
        <f>'Planning Roma'!AF14</f>
        <v>0</v>
      </c>
      <c r="AI9" s="3">
        <f t="shared" si="0"/>
        <v>586.59</v>
      </c>
    </row>
    <row r="10" spans="1:35" ht="14.25" customHeight="1" thickBot="1" x14ac:dyDescent="0.3">
      <c r="A10" s="2" t="str">
        <f>'Planning Roma'!$D$1</f>
        <v>RM</v>
      </c>
      <c r="B10" s="2" t="str">
        <f>'Planning Roma'!$D$3</f>
        <v xml:space="preserve"> </v>
      </c>
      <c r="C10" s="2">
        <f>'Planning Roma'!$A$7</f>
        <v>1</v>
      </c>
      <c r="E10" s="2" t="s">
        <v>108</v>
      </c>
      <c r="F10" s="2" t="str">
        <f>'Planning Roma'!C15</f>
        <v>BERSHKA</v>
      </c>
      <c r="G10" s="2">
        <f>'Planning Roma'!B15</f>
        <v>16351</v>
      </c>
      <c r="H10" s="3">
        <f>'Planning Roma'!J15</f>
        <v>9.48</v>
      </c>
      <c r="I10" s="3">
        <f>'Planning Roma'!K15</f>
        <v>1690</v>
      </c>
      <c r="J10" s="3">
        <f>'Planning Roma'!G15</f>
        <v>94</v>
      </c>
      <c r="M10" s="3">
        <f>'Planning Roma'!I15</f>
        <v>7</v>
      </c>
      <c r="N10" s="3">
        <f>'Planning Roma'!N15</f>
        <v>1.3</v>
      </c>
      <c r="O10" s="3">
        <f>'Planning Roma'!O15</f>
        <v>162</v>
      </c>
      <c r="P10" s="3">
        <f>'Planning Roma'!M15</f>
        <v>12</v>
      </c>
      <c r="Q10" s="2">
        <f>'Planning Roma'!R15</f>
        <v>0.22</v>
      </c>
      <c r="R10" s="2">
        <f>'Planning Roma'!S15</f>
        <v>9</v>
      </c>
      <c r="S10" s="2">
        <f>'Planning Roma'!Q15</f>
        <v>2</v>
      </c>
      <c r="T10" s="2" t="str">
        <f>'Planning Roma'!V15</f>
        <v/>
      </c>
      <c r="U10" s="2">
        <f>'Planning Roma'!W15</f>
        <v>0</v>
      </c>
      <c r="V10" s="2">
        <f>'Planning Roma'!X15</f>
        <v>0</v>
      </c>
      <c r="W10" s="2">
        <f>'Planning Roma'!Y15</f>
        <v>0</v>
      </c>
      <c r="X10" s="2">
        <f>'Planning Roma'!Z15</f>
        <v>0</v>
      </c>
      <c r="Y10" s="2">
        <f>'Planning Roma'!AA15</f>
        <v>0</v>
      </c>
      <c r="Z10" s="2">
        <f>'Planning Roma'!AB15</f>
        <v>0</v>
      </c>
      <c r="AA10" s="6">
        <v>1805282</v>
      </c>
      <c r="AB10" s="2">
        <f>'Planning Roma'!AE15</f>
        <v>0</v>
      </c>
      <c r="AC10" s="2">
        <f>'Planning Roma'!AF15</f>
        <v>0</v>
      </c>
      <c r="AI10" s="3">
        <f t="shared" si="0"/>
        <v>1987</v>
      </c>
    </row>
    <row r="11" spans="1:35" ht="14.25" customHeight="1" thickBot="1" x14ac:dyDescent="0.3">
      <c r="A11" s="2" t="str">
        <f>'Planning Roma'!$D$1</f>
        <v>RM</v>
      </c>
      <c r="B11" s="2" t="str">
        <f>'Planning Roma'!$D$3</f>
        <v xml:space="preserve"> </v>
      </c>
      <c r="C11" s="2">
        <f>'Planning Roma'!$A$7</f>
        <v>1</v>
      </c>
      <c r="E11" s="2" t="s">
        <v>108</v>
      </c>
      <c r="F11" s="2" t="str">
        <f>'Planning Roma'!C16</f>
        <v>BERSHKA</v>
      </c>
      <c r="G11" s="2">
        <f>'Planning Roma'!B16</f>
        <v>14010</v>
      </c>
      <c r="H11" s="3">
        <f>'Planning Roma'!J16</f>
        <v>13.77</v>
      </c>
      <c r="I11" s="3">
        <f>'Planning Roma'!K16</f>
        <v>2385</v>
      </c>
      <c r="J11" s="3">
        <f>'Planning Roma'!G16</f>
        <v>139</v>
      </c>
      <c r="M11" s="3">
        <f>'Planning Roma'!I16</f>
        <v>10</v>
      </c>
      <c r="N11" s="3">
        <f>'Planning Roma'!N16</f>
        <v>1.1599999999999999</v>
      </c>
      <c r="O11" s="3">
        <f>'Planning Roma'!O16</f>
        <v>152</v>
      </c>
      <c r="P11" s="3">
        <f>'Planning Roma'!M16</f>
        <v>12</v>
      </c>
      <c r="Q11" s="2">
        <f>'Planning Roma'!R16</f>
        <v>0</v>
      </c>
      <c r="R11" s="2">
        <f>'Planning Roma'!S16</f>
        <v>0</v>
      </c>
      <c r="S11" s="2">
        <f>'Planning Roma'!Q16</f>
        <v>0</v>
      </c>
      <c r="T11" s="2" t="str">
        <f>'Planning Roma'!V16</f>
        <v/>
      </c>
      <c r="U11" s="2">
        <f>'Planning Roma'!W16</f>
        <v>0</v>
      </c>
      <c r="V11" s="2">
        <f>'Planning Roma'!X16</f>
        <v>0</v>
      </c>
      <c r="W11" s="2">
        <f>'Planning Roma'!Y16</f>
        <v>0</v>
      </c>
      <c r="X11" s="2">
        <f>'Planning Roma'!Z16</f>
        <v>0</v>
      </c>
      <c r="Y11" s="2">
        <f>'Planning Roma'!AA16</f>
        <v>0</v>
      </c>
      <c r="Z11" s="2">
        <f>'Planning Roma'!AB16</f>
        <v>0</v>
      </c>
      <c r="AA11" s="6">
        <v>1805282</v>
      </c>
      <c r="AB11" s="2">
        <f>'Planning Roma'!AE16</f>
        <v>0</v>
      </c>
      <c r="AC11" s="2">
        <f>'Planning Roma'!AF16</f>
        <v>0</v>
      </c>
      <c r="AI11" s="3">
        <f t="shared" ref="AI11" si="1">SUM(H11:Z11)</f>
        <v>2712.93</v>
      </c>
    </row>
    <row r="12" spans="1:35" ht="14.25" customHeight="1" thickBot="1" x14ac:dyDescent="0.3">
      <c r="A12" s="2" t="str">
        <f>'Planning Roma'!$D$1</f>
        <v>RM</v>
      </c>
      <c r="B12" s="2" t="str">
        <f>'Planning Roma'!$D$3</f>
        <v xml:space="preserve"> </v>
      </c>
      <c r="C12" s="2">
        <f>'Planning Roma'!$A$7</f>
        <v>1</v>
      </c>
      <c r="E12" s="2" t="s">
        <v>108</v>
      </c>
      <c r="F12" s="2" t="str">
        <f>'Planning Roma'!C17</f>
        <v>MASSIMO DUTTI</v>
      </c>
      <c r="G12" s="2">
        <f>'Planning Roma'!B17</f>
        <v>4518</v>
      </c>
      <c r="H12" s="3">
        <f>'Planning Roma'!J17</f>
        <v>4.96</v>
      </c>
      <c r="I12" s="3">
        <f>'Planning Roma'!K17</f>
        <v>710</v>
      </c>
      <c r="J12" s="3">
        <f>'Planning Roma'!G17</f>
        <v>35</v>
      </c>
      <c r="M12" s="3">
        <f>'Planning Roma'!I17</f>
        <v>14</v>
      </c>
      <c r="N12" s="3">
        <f>'Planning Roma'!N17</f>
        <v>0.43</v>
      </c>
      <c r="O12" s="3">
        <f>'Planning Roma'!O17</f>
        <v>45</v>
      </c>
      <c r="P12" s="3">
        <f>'Planning Roma'!M17</f>
        <v>3</v>
      </c>
      <c r="Q12" s="2">
        <f>'Planning Roma'!R17</f>
        <v>0</v>
      </c>
      <c r="R12" s="2">
        <f>'Planning Roma'!S17</f>
        <v>0</v>
      </c>
      <c r="S12" s="2">
        <f>'Planning Roma'!Q17</f>
        <v>0</v>
      </c>
      <c r="T12" s="2" t="str">
        <f>'Planning Roma'!V17</f>
        <v/>
      </c>
      <c r="U12" s="2">
        <f>'Planning Roma'!W17</f>
        <v>0</v>
      </c>
      <c r="V12" s="2">
        <f>'Planning Roma'!X17</f>
        <v>0</v>
      </c>
      <c r="W12" s="2">
        <f>'Planning Roma'!Y17</f>
        <v>0</v>
      </c>
      <c r="X12" s="2">
        <f>'Planning Roma'!Z17</f>
        <v>0</v>
      </c>
      <c r="Y12" s="2">
        <f>'Planning Roma'!AA17</f>
        <v>0</v>
      </c>
      <c r="Z12" s="2">
        <f>'Planning Roma'!AB17</f>
        <v>0</v>
      </c>
      <c r="AA12" s="6">
        <v>1805282</v>
      </c>
      <c r="AB12" s="2">
        <f>'Planning Roma'!AE17</f>
        <v>0</v>
      </c>
      <c r="AC12" s="2">
        <f>'Planning Roma'!AF17</f>
        <v>0</v>
      </c>
      <c r="AI12" s="3">
        <f t="shared" si="0"/>
        <v>812.39</v>
      </c>
    </row>
    <row r="13" spans="1:35" ht="14.25" customHeight="1" thickBot="1" x14ac:dyDescent="0.3">
      <c r="A13" s="2" t="str">
        <f>'Planning Roma'!$D$1</f>
        <v>RM</v>
      </c>
      <c r="B13" s="2" t="str">
        <f>'Planning Roma'!$D$3</f>
        <v xml:space="preserve"> </v>
      </c>
      <c r="C13" s="2">
        <f>'Planning Roma'!$A$7</f>
        <v>1</v>
      </c>
      <c r="E13" s="2" t="s">
        <v>108</v>
      </c>
      <c r="F13" s="2" t="str">
        <f>'Planning Roma'!C18</f>
        <v xml:space="preserve">OYSHO  </v>
      </c>
      <c r="G13" s="2">
        <f>'Planning Roma'!B18</f>
        <v>2435</v>
      </c>
      <c r="H13" s="3">
        <f>'Planning Roma'!J18</f>
        <v>1.1499999999999999</v>
      </c>
      <c r="I13" s="3">
        <f>'Planning Roma'!K18</f>
        <v>186</v>
      </c>
      <c r="J13" s="3">
        <f>'Planning Roma'!G18</f>
        <v>20</v>
      </c>
      <c r="M13" s="3">
        <f>'Planning Roma'!I18</f>
        <v>0</v>
      </c>
      <c r="N13" s="3">
        <f>'Planning Roma'!N18</f>
        <v>0</v>
      </c>
      <c r="O13" s="3">
        <f>'Planning Roma'!O18</f>
        <v>0</v>
      </c>
      <c r="P13" s="3">
        <f>'Planning Roma'!M18</f>
        <v>0</v>
      </c>
      <c r="Q13" s="2">
        <f>'Planning Roma'!R18</f>
        <v>0.1</v>
      </c>
      <c r="R13" s="2">
        <f>'Planning Roma'!S18</f>
        <v>3</v>
      </c>
      <c r="S13" s="2">
        <f>'Planning Roma'!Q18</f>
        <v>1</v>
      </c>
      <c r="T13" s="2" t="str">
        <f>'Planning Roma'!V18</f>
        <v/>
      </c>
      <c r="U13" s="2">
        <f>'Planning Roma'!W18</f>
        <v>0</v>
      </c>
      <c r="V13" s="2">
        <f>'Planning Roma'!X18</f>
        <v>0</v>
      </c>
      <c r="W13" s="2">
        <f>'Planning Roma'!Y18</f>
        <v>0</v>
      </c>
      <c r="X13" s="2">
        <f>'Planning Roma'!Z18</f>
        <v>0</v>
      </c>
      <c r="Y13" s="2">
        <f>'Planning Roma'!AA18</f>
        <v>0</v>
      </c>
      <c r="Z13" s="2">
        <f>'Planning Roma'!AB18</f>
        <v>0</v>
      </c>
      <c r="AA13" s="6">
        <v>1805282</v>
      </c>
      <c r="AB13" s="2">
        <f>'Planning Roma'!AE18</f>
        <v>0</v>
      </c>
      <c r="AC13" s="2">
        <f>'Planning Roma'!AF18</f>
        <v>0</v>
      </c>
      <c r="AI13" s="3">
        <f t="shared" si="0"/>
        <v>211.25</v>
      </c>
    </row>
    <row r="14" spans="1:35" ht="14.25" customHeight="1" thickBot="1" x14ac:dyDescent="0.3">
      <c r="A14" s="2" t="str">
        <f>'Planning Roma'!$D$1</f>
        <v>RM</v>
      </c>
      <c r="B14" s="2" t="str">
        <f>'Planning Roma'!$D$3</f>
        <v xml:space="preserve"> </v>
      </c>
      <c r="C14" s="2">
        <f>'Planning Roma'!$A$7</f>
        <v>1</v>
      </c>
      <c r="E14" s="2" t="s">
        <v>108</v>
      </c>
      <c r="F14" s="2" t="str">
        <f>'Planning Roma'!C19</f>
        <v xml:space="preserve">OYSHO  </v>
      </c>
      <c r="G14" s="2">
        <f>'Planning Roma'!B19</f>
        <v>2414</v>
      </c>
      <c r="H14" s="3">
        <f>'Planning Roma'!J19</f>
        <v>1.04</v>
      </c>
      <c r="I14" s="3">
        <f>'Planning Roma'!K19</f>
        <v>158</v>
      </c>
      <c r="J14" s="3">
        <f>'Planning Roma'!G19</f>
        <v>12</v>
      </c>
      <c r="M14" s="3">
        <f>'Planning Roma'!I19</f>
        <v>4</v>
      </c>
      <c r="N14" s="3">
        <f>'Planning Roma'!N19</f>
        <v>0</v>
      </c>
      <c r="O14" s="3">
        <f>'Planning Roma'!O19</f>
        <v>0</v>
      </c>
      <c r="P14" s="3">
        <f>'Planning Roma'!M19</f>
        <v>0</v>
      </c>
      <c r="Q14" s="2">
        <f>'Planning Roma'!R19</f>
        <v>0.1</v>
      </c>
      <c r="R14" s="2">
        <f>'Planning Roma'!S19</f>
        <v>3</v>
      </c>
      <c r="S14" s="2">
        <f>'Planning Roma'!Q19</f>
        <v>1</v>
      </c>
      <c r="T14" s="2" t="str">
        <f>'Planning Roma'!V19</f>
        <v/>
      </c>
      <c r="U14" s="2">
        <f>'Planning Roma'!W19</f>
        <v>0</v>
      </c>
      <c r="V14" s="2">
        <f>'Planning Roma'!X19</f>
        <v>0</v>
      </c>
      <c r="W14" s="2">
        <f>'Planning Roma'!Y19</f>
        <v>0</v>
      </c>
      <c r="X14" s="2">
        <f>'Planning Roma'!Z19</f>
        <v>0</v>
      </c>
      <c r="Y14" s="2">
        <f>'Planning Roma'!AA19</f>
        <v>0</v>
      </c>
      <c r="Z14" s="2">
        <f>'Planning Roma'!AB19</f>
        <v>0</v>
      </c>
      <c r="AA14" s="6">
        <v>1805282</v>
      </c>
      <c r="AB14" s="2">
        <f>'Planning Roma'!AE19</f>
        <v>0</v>
      </c>
      <c r="AC14" s="2">
        <f>'Planning Roma'!AF19</f>
        <v>0</v>
      </c>
      <c r="AI14" s="3">
        <f t="shared" si="0"/>
        <v>179.14</v>
      </c>
    </row>
    <row r="15" spans="1:35" ht="14.25" customHeight="1" thickBot="1" x14ac:dyDescent="0.3">
      <c r="A15" s="2" t="str">
        <f>'Planning Roma'!$D$1</f>
        <v>RM</v>
      </c>
      <c r="B15" s="2" t="str">
        <f>'Planning Roma'!$D$3</f>
        <v xml:space="preserve"> </v>
      </c>
      <c r="C15" s="2">
        <f>'Planning Roma'!$A$7</f>
        <v>1</v>
      </c>
      <c r="E15" s="2" t="s">
        <v>108</v>
      </c>
      <c r="F15" s="2" t="str">
        <f>'Planning Roma'!C20</f>
        <v>STRADIVARIUS</v>
      </c>
      <c r="G15" s="2">
        <f>'Planning Roma'!B20</f>
        <v>16269</v>
      </c>
      <c r="H15" s="3">
        <f>'Planning Roma'!J20</f>
        <v>7.58</v>
      </c>
      <c r="I15" s="3">
        <f>'Planning Roma'!K20</f>
        <v>1157</v>
      </c>
      <c r="J15" s="3">
        <f>'Planning Roma'!G20</f>
        <v>69</v>
      </c>
      <c r="M15" s="3">
        <f>'Planning Roma'!I20</f>
        <v>12</v>
      </c>
      <c r="N15" s="3">
        <f>'Planning Roma'!N20</f>
        <v>1.22</v>
      </c>
      <c r="O15" s="3">
        <f>'Planning Roma'!O20</f>
        <v>133</v>
      </c>
      <c r="P15" s="3">
        <f>'Planning Roma'!M20</f>
        <v>12</v>
      </c>
      <c r="Q15" s="2">
        <f>'Planning Roma'!R20</f>
        <v>0</v>
      </c>
      <c r="R15" s="2">
        <f>'Planning Roma'!S20</f>
        <v>0</v>
      </c>
      <c r="S15" s="2">
        <f>'Planning Roma'!Q20</f>
        <v>0</v>
      </c>
      <c r="T15" s="2" t="str">
        <f>'Planning Roma'!V20</f>
        <v/>
      </c>
      <c r="U15" s="2">
        <f>'Planning Roma'!W20</f>
        <v>0</v>
      </c>
      <c r="V15" s="2">
        <f>'Planning Roma'!X20</f>
        <v>0</v>
      </c>
      <c r="W15" s="2">
        <f>'Planning Roma'!Y20</f>
        <v>0</v>
      </c>
      <c r="X15" s="2">
        <f>'Planning Roma'!Z20</f>
        <v>0</v>
      </c>
      <c r="Y15" s="2">
        <f>'Planning Roma'!AA20</f>
        <v>0</v>
      </c>
      <c r="Z15" s="2">
        <f>'Planning Roma'!AB20</f>
        <v>0</v>
      </c>
      <c r="AA15" s="6">
        <v>1805282</v>
      </c>
      <c r="AB15" s="2">
        <f>'Planning Roma'!AE20</f>
        <v>0</v>
      </c>
      <c r="AC15" s="2">
        <f>'Planning Roma'!AF20</f>
        <v>0</v>
      </c>
      <c r="AI15" s="3">
        <f t="shared" ref="AI15" si="2">SUM(H15:Z15)</f>
        <v>1391.8</v>
      </c>
    </row>
    <row r="16" spans="1:35" ht="14.25" customHeight="1" thickBot="1" x14ac:dyDescent="0.3">
      <c r="A16" s="2" t="str">
        <f>'Planning Roma'!$D$1</f>
        <v>RM</v>
      </c>
      <c r="B16" s="2" t="str">
        <f>'Planning Roma'!$D$3</f>
        <v xml:space="preserve"> </v>
      </c>
      <c r="C16" s="2">
        <f>'Planning Roma'!$A$7</f>
        <v>1</v>
      </c>
      <c r="E16" s="2" t="s">
        <v>108</v>
      </c>
      <c r="F16" s="2" t="str">
        <f>'Planning Roma'!C21</f>
        <v>PULL&amp;BEAR</v>
      </c>
      <c r="G16" s="2">
        <f>'Planning Roma'!B21</f>
        <v>16060</v>
      </c>
      <c r="H16" s="3">
        <f>'Planning Roma'!J21</f>
        <v>10.48</v>
      </c>
      <c r="I16" s="3">
        <f>'Planning Roma'!K21</f>
        <v>1633</v>
      </c>
      <c r="J16" s="3">
        <f>'Planning Roma'!G21</f>
        <v>114</v>
      </c>
      <c r="M16" s="3">
        <f>'Planning Roma'!I21</f>
        <v>0</v>
      </c>
      <c r="N16" s="3">
        <f>'Planning Roma'!N21</f>
        <v>0.43</v>
      </c>
      <c r="O16" s="3">
        <f>'Planning Roma'!O21</f>
        <v>39</v>
      </c>
      <c r="P16" s="3">
        <f>'Planning Roma'!M21</f>
        <v>6</v>
      </c>
      <c r="Q16" s="2">
        <f>'Planning Roma'!R21</f>
        <v>0.26</v>
      </c>
      <c r="R16" s="2">
        <f>'Planning Roma'!S21</f>
        <v>12</v>
      </c>
      <c r="S16" s="2">
        <f>'Planning Roma'!Q21</f>
        <v>3</v>
      </c>
      <c r="T16" s="2" t="str">
        <f>'Planning Roma'!V21</f>
        <v/>
      </c>
      <c r="U16" s="2">
        <f>'Planning Roma'!W21</f>
        <v>0</v>
      </c>
      <c r="V16" s="2">
        <f>'Planning Roma'!X21</f>
        <v>0</v>
      </c>
      <c r="W16" s="2">
        <f>'Planning Roma'!Y21</f>
        <v>0</v>
      </c>
      <c r="X16" s="2">
        <f>'Planning Roma'!Z21</f>
        <v>0</v>
      </c>
      <c r="Y16" s="2">
        <f>'Planning Roma'!AA21</f>
        <v>0</v>
      </c>
      <c r="Z16" s="2">
        <f>'Planning Roma'!AB21</f>
        <v>0</v>
      </c>
      <c r="AA16" s="6">
        <v>1805282</v>
      </c>
      <c r="AB16" s="2">
        <f>'Planning Roma'!AE21</f>
        <v>0</v>
      </c>
      <c r="AC16" s="2">
        <f>'Planning Roma'!AF21</f>
        <v>0</v>
      </c>
      <c r="AI16" s="3">
        <f t="shared" si="0"/>
        <v>1818.17</v>
      </c>
    </row>
    <row r="17" spans="1:35" ht="14.25" customHeight="1" thickBot="1" x14ac:dyDescent="0.3">
      <c r="A17" s="2" t="str">
        <f>'Planning Roma'!$D$1</f>
        <v>RM</v>
      </c>
      <c r="B17" s="2" t="str">
        <f>'Planning Roma'!$D$3</f>
        <v xml:space="preserve"> </v>
      </c>
      <c r="C17" s="2">
        <f>'Planning Roma'!$A$7</f>
        <v>1</v>
      </c>
      <c r="E17" s="2" t="s">
        <v>108</v>
      </c>
      <c r="F17" s="2" t="str">
        <f>'Planning Roma'!C22</f>
        <v>PULL&amp;BEAR</v>
      </c>
      <c r="G17" s="2">
        <f>'Planning Roma'!B22</f>
        <v>12152</v>
      </c>
      <c r="H17" s="3">
        <f>'Planning Roma'!J22</f>
        <v>4.41</v>
      </c>
      <c r="I17" s="3">
        <f>'Planning Roma'!K22</f>
        <v>669</v>
      </c>
      <c r="J17" s="3">
        <f>'Planning Roma'!G22</f>
        <v>44</v>
      </c>
      <c r="M17" s="3">
        <f>'Planning Roma'!I22</f>
        <v>0</v>
      </c>
      <c r="N17" s="3">
        <f>'Planning Roma'!N22</f>
        <v>0.46</v>
      </c>
      <c r="O17" s="3">
        <f>'Planning Roma'!O22</f>
        <v>47</v>
      </c>
      <c r="P17" s="3">
        <f>'Planning Roma'!M22</f>
        <v>6</v>
      </c>
      <c r="Q17" s="2">
        <f>'Planning Roma'!R22</f>
        <v>0.26</v>
      </c>
      <c r="R17" s="2">
        <f>'Planning Roma'!S22</f>
        <v>11</v>
      </c>
      <c r="S17" s="2">
        <f>'Planning Roma'!Q22</f>
        <v>3</v>
      </c>
      <c r="T17" s="2" t="str">
        <f>'Planning Roma'!V22</f>
        <v/>
      </c>
      <c r="U17" s="2">
        <f>'Planning Roma'!W22</f>
        <v>0</v>
      </c>
      <c r="V17" s="2">
        <f>'Planning Roma'!X22</f>
        <v>0</v>
      </c>
      <c r="W17" s="2">
        <f>'Planning Roma'!Y22</f>
        <v>0</v>
      </c>
      <c r="X17" s="2">
        <f>'Planning Roma'!Z22</f>
        <v>0</v>
      </c>
      <c r="Y17" s="2">
        <f>'Planning Roma'!AA22</f>
        <v>0</v>
      </c>
      <c r="Z17" s="2">
        <f>'Planning Roma'!AB22</f>
        <v>0</v>
      </c>
      <c r="AA17" s="6">
        <v>1805282</v>
      </c>
      <c r="AB17" s="2">
        <f>'Planning Roma'!AE22</f>
        <v>0</v>
      </c>
      <c r="AC17" s="2">
        <f>'Planning Roma'!AF22</f>
        <v>0</v>
      </c>
      <c r="AI17" s="3">
        <f t="shared" si="0"/>
        <v>785.13</v>
      </c>
    </row>
    <row r="18" spans="1:35" ht="14.25" customHeight="1" thickBot="1" x14ac:dyDescent="0.3">
      <c r="A18" s="2" t="str">
        <f>'Planning Roma'!$D$1</f>
        <v>RM</v>
      </c>
      <c r="B18" s="2" t="str">
        <f>'Planning Roma'!$D$3</f>
        <v xml:space="preserve"> </v>
      </c>
      <c r="C18" s="2">
        <f>'Planning Roma'!$A$7</f>
        <v>1</v>
      </c>
      <c r="E18" s="2" t="s">
        <v>108</v>
      </c>
      <c r="F18" s="2" t="str">
        <f>'Planning Roma'!C23</f>
        <v>PULL&amp;BEAR</v>
      </c>
      <c r="G18" s="2">
        <f>'Planning Roma'!B23</f>
        <v>5306</v>
      </c>
      <c r="H18" s="3">
        <f>'Planning Roma'!J23</f>
        <v>10.86</v>
      </c>
      <c r="I18" s="3">
        <f>'Planning Roma'!K23</f>
        <v>1771</v>
      </c>
      <c r="J18" s="3">
        <f>'Planning Roma'!G23</f>
        <v>92</v>
      </c>
      <c r="M18" s="3">
        <f>'Planning Roma'!I23</f>
        <v>0</v>
      </c>
      <c r="N18" s="3">
        <f>'Planning Roma'!N23</f>
        <v>0.51</v>
      </c>
      <c r="O18" s="3">
        <f>'Planning Roma'!O23</f>
        <v>54</v>
      </c>
      <c r="P18" s="3">
        <f>'Planning Roma'!M23</f>
        <v>6</v>
      </c>
      <c r="Q18" s="2">
        <f>'Planning Roma'!R23</f>
        <v>0.18</v>
      </c>
      <c r="R18" s="2">
        <f>'Planning Roma'!S23</f>
        <v>7</v>
      </c>
      <c r="S18" s="2">
        <f>'Planning Roma'!Q23</f>
        <v>2</v>
      </c>
      <c r="T18" s="2" t="str">
        <f>'Planning Roma'!V23</f>
        <v/>
      </c>
      <c r="U18" s="2">
        <f>'Planning Roma'!W23</f>
        <v>0</v>
      </c>
      <c r="V18" s="2">
        <f>'Planning Roma'!X23</f>
        <v>0</v>
      </c>
      <c r="W18" s="2">
        <f>'Planning Roma'!Y23</f>
        <v>0</v>
      </c>
      <c r="X18" s="2">
        <f>'Planning Roma'!Z23</f>
        <v>0</v>
      </c>
      <c r="Y18" s="2">
        <f>'Planning Roma'!AA23</f>
        <v>0</v>
      </c>
      <c r="Z18" s="2">
        <f>'Planning Roma'!AB23</f>
        <v>0</v>
      </c>
      <c r="AA18" s="6">
        <v>1805282</v>
      </c>
      <c r="AB18" s="2">
        <f>'Planning Roma'!AE23</f>
        <v>0</v>
      </c>
      <c r="AC18" s="2">
        <f>'Planning Roma'!AF23</f>
        <v>0</v>
      </c>
      <c r="AI18" s="3">
        <f t="shared" si="0"/>
        <v>1943.55</v>
      </c>
    </row>
    <row r="19" spans="1:35" ht="14.25" customHeight="1" thickBot="1" x14ac:dyDescent="0.3">
      <c r="A19" s="2" t="str">
        <f>'Planning Roma'!$D$1</f>
        <v>RM</v>
      </c>
      <c r="B19" s="2" t="str">
        <f>'Planning Roma'!$D$3</f>
        <v xml:space="preserve"> </v>
      </c>
      <c r="C19" s="2">
        <f>'Planning Roma'!$A$7</f>
        <v>1</v>
      </c>
      <c r="E19" s="2" t="s">
        <v>108</v>
      </c>
      <c r="F19" s="2" t="str">
        <f>'Planning Roma'!C24</f>
        <v>PULL&amp;BEAR</v>
      </c>
      <c r="G19" s="2">
        <f>'Planning Roma'!B24</f>
        <v>5367</v>
      </c>
      <c r="H19" s="3">
        <f>'Planning Roma'!J24</f>
        <v>17.61</v>
      </c>
      <c r="I19" s="3">
        <f>'Planning Roma'!K24</f>
        <v>2911</v>
      </c>
      <c r="J19" s="3">
        <f>'Planning Roma'!G24</f>
        <v>84</v>
      </c>
      <c r="M19" s="3">
        <f>'Planning Roma'!I24</f>
        <v>0</v>
      </c>
      <c r="N19" s="3">
        <f>'Planning Roma'!N24</f>
        <v>1.69</v>
      </c>
      <c r="O19" s="3">
        <f>'Planning Roma'!O24</f>
        <v>171</v>
      </c>
      <c r="P19" s="3">
        <f>'Planning Roma'!M24</f>
        <v>10</v>
      </c>
      <c r="Q19" s="2">
        <f>'Planning Roma'!R24</f>
        <v>0.35</v>
      </c>
      <c r="R19" s="2">
        <f>'Planning Roma'!S24</f>
        <v>14</v>
      </c>
      <c r="S19" s="2">
        <f>'Planning Roma'!Q24</f>
        <v>0</v>
      </c>
      <c r="T19" s="2" t="str">
        <f>'Planning Roma'!V24</f>
        <v/>
      </c>
      <c r="U19" s="2">
        <f>'Planning Roma'!W24</f>
        <v>0</v>
      </c>
      <c r="V19" s="2">
        <f>'Planning Roma'!X24</f>
        <v>0</v>
      </c>
      <c r="W19" s="2">
        <f>'Planning Roma'!Y24</f>
        <v>0</v>
      </c>
      <c r="X19" s="2">
        <f>'Planning Roma'!Z24</f>
        <v>0</v>
      </c>
      <c r="Y19" s="2">
        <f>'Planning Roma'!AA24</f>
        <v>0</v>
      </c>
      <c r="Z19" s="2">
        <f>'Planning Roma'!AB24</f>
        <v>0</v>
      </c>
      <c r="AA19" s="6">
        <v>1805282</v>
      </c>
      <c r="AB19" s="2">
        <f>'Planning Roma'!AE24</f>
        <v>0</v>
      </c>
      <c r="AC19" s="2">
        <f>'Planning Roma'!AF24</f>
        <v>0</v>
      </c>
      <c r="AI19" s="3">
        <f t="shared" si="0"/>
        <v>3209.65</v>
      </c>
    </row>
    <row r="20" spans="1:35" ht="14.25" customHeight="1" thickBot="1" x14ac:dyDescent="0.3">
      <c r="A20" s="2" t="str">
        <f>'Planning Roma'!$D$1</f>
        <v>RM</v>
      </c>
      <c r="B20" s="2" t="str">
        <f>'Planning Roma'!$D$3</f>
        <v xml:space="preserve"> </v>
      </c>
      <c r="C20" s="2">
        <f>'Planning Roma'!$A$7</f>
        <v>1</v>
      </c>
      <c r="E20" s="2" t="s">
        <v>108</v>
      </c>
      <c r="F20" s="2" t="str">
        <f>'Planning Roma'!C25</f>
        <v>PULL&amp;BEAR</v>
      </c>
      <c r="G20" s="2">
        <f>'Planning Roma'!B25</f>
        <v>10504</v>
      </c>
      <c r="H20" s="3">
        <f>'Planning Roma'!J25</f>
        <v>5.72</v>
      </c>
      <c r="I20" s="3">
        <f>'Planning Roma'!K25</f>
        <v>922</v>
      </c>
      <c r="J20" s="3">
        <f>'Planning Roma'!G25</f>
        <v>54</v>
      </c>
      <c r="M20" s="3">
        <f>'Planning Roma'!I25</f>
        <v>0</v>
      </c>
      <c r="N20" s="3">
        <f>'Planning Roma'!N25</f>
        <v>0.32</v>
      </c>
      <c r="O20" s="3">
        <f>'Planning Roma'!O25</f>
        <v>39</v>
      </c>
      <c r="P20" s="3">
        <f>'Planning Roma'!M25</f>
        <v>4</v>
      </c>
      <c r="Q20" s="2">
        <f>'Planning Roma'!R25</f>
        <v>0.35</v>
      </c>
      <c r="R20" s="2">
        <f>'Planning Roma'!S25</f>
        <v>20</v>
      </c>
      <c r="S20" s="2">
        <f>'Planning Roma'!Q25</f>
        <v>4</v>
      </c>
      <c r="T20" s="2" t="str">
        <f>'Planning Roma'!V25</f>
        <v/>
      </c>
      <c r="U20" s="2">
        <f>'Planning Roma'!W25</f>
        <v>0</v>
      </c>
      <c r="V20" s="2">
        <f>'Planning Roma'!X25</f>
        <v>0</v>
      </c>
      <c r="W20" s="2">
        <f>'Planning Roma'!Y25</f>
        <v>0</v>
      </c>
      <c r="X20" s="2">
        <f>'Planning Roma'!Z25</f>
        <v>0</v>
      </c>
      <c r="Y20" s="2">
        <f>'Planning Roma'!AA25</f>
        <v>0</v>
      </c>
      <c r="Z20" s="2">
        <f>'Planning Roma'!AB25</f>
        <v>0</v>
      </c>
      <c r="AA20" s="6">
        <v>1805282</v>
      </c>
      <c r="AB20" s="2">
        <f>'Planning Roma'!AE25</f>
        <v>0</v>
      </c>
      <c r="AC20" s="2">
        <f>'Planning Roma'!AF25</f>
        <v>0</v>
      </c>
      <c r="AI20" s="3">
        <f t="shared" si="0"/>
        <v>1049.3899999999999</v>
      </c>
    </row>
    <row r="21" spans="1:35" ht="14.25" customHeight="1" thickBot="1" x14ac:dyDescent="0.3">
      <c r="A21" s="2" t="str">
        <f>'Planning Roma'!$D$1</f>
        <v>RM</v>
      </c>
      <c r="B21" s="2" t="str">
        <f>'Planning Roma'!$D$3</f>
        <v xml:space="preserve"> </v>
      </c>
      <c r="C21" s="2">
        <f>'Planning Roma'!$A$7</f>
        <v>1</v>
      </c>
      <c r="E21" s="2" t="s">
        <v>108</v>
      </c>
      <c r="F21" s="2" t="str">
        <f>'Planning Roma'!C26</f>
        <v>PULL&amp;BEAR</v>
      </c>
      <c r="G21" s="2">
        <f>'Planning Roma'!B26</f>
        <v>5349</v>
      </c>
      <c r="H21" s="3">
        <f>'Planning Roma'!J26</f>
        <v>14.83</v>
      </c>
      <c r="I21" s="3">
        <f>'Planning Roma'!K26</f>
        <v>2407</v>
      </c>
      <c r="J21" s="3">
        <f>'Planning Roma'!G26</f>
        <v>140</v>
      </c>
      <c r="M21" s="3">
        <f>'Planning Roma'!I26</f>
        <v>5</v>
      </c>
      <c r="N21" s="3">
        <f>'Planning Roma'!N26</f>
        <v>0.73</v>
      </c>
      <c r="O21" s="3">
        <f>'Planning Roma'!O26</f>
        <v>71</v>
      </c>
      <c r="P21" s="3">
        <f>'Planning Roma'!M26</f>
        <v>8</v>
      </c>
      <c r="Q21" s="2">
        <f>'Planning Roma'!R26</f>
        <v>0</v>
      </c>
      <c r="R21" s="2">
        <f>'Planning Roma'!S26</f>
        <v>0</v>
      </c>
      <c r="S21" s="2">
        <f>'Planning Roma'!Q26</f>
        <v>0</v>
      </c>
      <c r="T21" s="2" t="str">
        <f>'Planning Roma'!V26</f>
        <v/>
      </c>
      <c r="U21" s="2">
        <f>'Planning Roma'!W26</f>
        <v>0</v>
      </c>
      <c r="V21" s="2">
        <f>'Planning Roma'!X26</f>
        <v>0</v>
      </c>
      <c r="W21" s="2">
        <f>'Planning Roma'!Y26</f>
        <v>0</v>
      </c>
      <c r="X21" s="2">
        <f>'Planning Roma'!Z26</f>
        <v>0</v>
      </c>
      <c r="Y21" s="2">
        <f>'Planning Roma'!AA26</f>
        <v>0</v>
      </c>
      <c r="Z21" s="2">
        <f>'Planning Roma'!AB26</f>
        <v>0</v>
      </c>
      <c r="AA21" s="6">
        <v>1805282</v>
      </c>
      <c r="AB21" s="2">
        <f>'Planning Roma'!AE26</f>
        <v>0</v>
      </c>
      <c r="AC21" s="2">
        <f>'Planning Roma'!AF26</f>
        <v>0</v>
      </c>
      <c r="AI21" s="3">
        <f t="shared" si="0"/>
        <v>2646.56</v>
      </c>
    </row>
    <row r="22" spans="1:35" ht="14.25" customHeight="1" thickBot="1" x14ac:dyDescent="0.3">
      <c r="A22" s="2" t="str">
        <f>'Planning Roma'!$D$1</f>
        <v>RM</v>
      </c>
      <c r="B22" s="2" t="str">
        <f>'Planning Roma'!$D$3</f>
        <v xml:space="preserve"> </v>
      </c>
      <c r="C22" s="2">
        <f>'Planning Roma'!$A$7</f>
        <v>1</v>
      </c>
      <c r="E22" s="2" t="s">
        <v>108</v>
      </c>
      <c r="F22" s="2" t="str">
        <f>'Planning Roma'!C27</f>
        <v>PULL&amp;BEAR</v>
      </c>
      <c r="G22" s="2" t="str">
        <f>'Planning Roma'!B27</f>
        <v>5349B</v>
      </c>
      <c r="H22" s="3">
        <f>'Planning Roma'!J27</f>
        <v>0</v>
      </c>
      <c r="I22" s="3">
        <f>'Planning Roma'!K27</f>
        <v>0</v>
      </c>
      <c r="J22" s="3">
        <f>'Planning Roma'!G27</f>
        <v>0</v>
      </c>
      <c r="M22" s="3">
        <f>'Planning Roma'!I27</f>
        <v>0</v>
      </c>
      <c r="N22" s="3">
        <f>'Planning Roma'!N27</f>
        <v>0</v>
      </c>
      <c r="O22" s="3">
        <f>'Planning Roma'!O27</f>
        <v>0</v>
      </c>
      <c r="P22" s="3">
        <f>'Planning Roma'!M27</f>
        <v>0</v>
      </c>
      <c r="Q22" s="2">
        <f>'Planning Roma'!R27</f>
        <v>0</v>
      </c>
      <c r="R22" s="2">
        <f>'Planning Roma'!S27</f>
        <v>0</v>
      </c>
      <c r="S22" s="2">
        <f>'Planning Roma'!Q27</f>
        <v>0</v>
      </c>
      <c r="T22" s="2" t="str">
        <f>'Planning Roma'!V27</f>
        <v/>
      </c>
      <c r="U22" s="2">
        <f>'Planning Roma'!W27</f>
        <v>0</v>
      </c>
      <c r="V22" s="2">
        <f>'Planning Roma'!X27</f>
        <v>0</v>
      </c>
      <c r="W22" s="2">
        <f>'Planning Roma'!Y27</f>
        <v>0</v>
      </c>
      <c r="X22" s="2">
        <f>'Planning Roma'!Z27</f>
        <v>0</v>
      </c>
      <c r="Y22" s="2">
        <f>'Planning Roma'!AA27</f>
        <v>0</v>
      </c>
      <c r="Z22" s="2">
        <f>'Planning Roma'!AB27</f>
        <v>0</v>
      </c>
      <c r="AA22" s="6">
        <v>1805282</v>
      </c>
      <c r="AB22" s="2">
        <f>'Planning Roma'!AE27</f>
        <v>0</v>
      </c>
      <c r="AC22" s="2">
        <f>'Planning Roma'!AF27</f>
        <v>0</v>
      </c>
      <c r="AI22" s="3">
        <f t="shared" si="0"/>
        <v>0</v>
      </c>
    </row>
    <row r="23" spans="1:35" ht="14.25" customHeight="1" thickBot="1" x14ac:dyDescent="0.3">
      <c r="A23" s="2" t="str">
        <f>'Planning Roma'!$D$1</f>
        <v>RM</v>
      </c>
      <c r="B23" s="2" t="str">
        <f>'Planning Roma'!$D$3</f>
        <v xml:space="preserve"> </v>
      </c>
      <c r="C23" s="2">
        <f>'Planning Roma'!$A$7</f>
        <v>1</v>
      </c>
      <c r="E23" s="2" t="s">
        <v>108</v>
      </c>
      <c r="F23" s="2" t="str">
        <f>'Planning Roma'!C28</f>
        <v>PULL&amp;BEAR</v>
      </c>
      <c r="G23" s="2">
        <f>'Planning Roma'!B28</f>
        <v>6525</v>
      </c>
      <c r="H23" s="3">
        <f>'Planning Roma'!J28</f>
        <v>11.39</v>
      </c>
      <c r="I23" s="3">
        <f>'Planning Roma'!K28</f>
        <v>1733</v>
      </c>
      <c r="J23" s="3">
        <f>'Planning Roma'!G28</f>
        <v>100</v>
      </c>
      <c r="M23" s="3">
        <f>'Planning Roma'!I28</f>
        <v>0</v>
      </c>
      <c r="N23" s="3">
        <f>'Planning Roma'!N28</f>
        <v>0.81</v>
      </c>
      <c r="O23" s="3">
        <f>'Planning Roma'!O28</f>
        <v>90</v>
      </c>
      <c r="P23" s="3">
        <f>'Planning Roma'!M28</f>
        <v>10</v>
      </c>
      <c r="Q23" s="2">
        <f>'Planning Roma'!R28</f>
        <v>0.18</v>
      </c>
      <c r="R23" s="2">
        <f>'Planning Roma'!S28</f>
        <v>8</v>
      </c>
      <c r="S23" s="2">
        <f>'Planning Roma'!Q28</f>
        <v>2</v>
      </c>
      <c r="T23" s="2" t="str">
        <f>'Planning Roma'!V28</f>
        <v/>
      </c>
      <c r="U23" s="2">
        <f>'Planning Roma'!W28</f>
        <v>0</v>
      </c>
      <c r="V23" s="2">
        <f>'Planning Roma'!X28</f>
        <v>0</v>
      </c>
      <c r="W23" s="2">
        <f>'Planning Roma'!Y28</f>
        <v>0</v>
      </c>
      <c r="X23" s="2">
        <f>'Planning Roma'!Z28</f>
        <v>0</v>
      </c>
      <c r="Y23" s="2">
        <f>'Planning Roma'!AA28</f>
        <v>0</v>
      </c>
      <c r="Z23" s="2">
        <f>'Planning Roma'!AB28</f>
        <v>0</v>
      </c>
      <c r="AA23" s="6">
        <v>1805282</v>
      </c>
      <c r="AB23" s="2">
        <f>'Planning Roma'!AE28</f>
        <v>0</v>
      </c>
      <c r="AC23" s="2">
        <f>'Planning Roma'!AF28</f>
        <v>0</v>
      </c>
      <c r="AI23" s="3">
        <f t="shared" si="0"/>
        <v>1955.38</v>
      </c>
    </row>
    <row r="24" spans="1:35" ht="14.25" customHeight="1" thickBot="1" x14ac:dyDescent="0.3">
      <c r="A24" s="2" t="str">
        <f>'Planning Roma'!$D$1</f>
        <v>RM</v>
      </c>
      <c r="B24" s="2" t="str">
        <f>'Planning Roma'!$D$3</f>
        <v xml:space="preserve"> </v>
      </c>
      <c r="C24" s="2">
        <f>'Planning Roma'!$A$7</f>
        <v>1</v>
      </c>
      <c r="E24" s="2" t="s">
        <v>108</v>
      </c>
      <c r="F24" s="2" t="str">
        <f>'Planning Roma'!C29</f>
        <v xml:space="preserve">PULL&amp;BEAR </v>
      </c>
      <c r="G24" s="2" t="str">
        <f>'Planning Roma'!B29</f>
        <v>6525B</v>
      </c>
      <c r="H24" s="3">
        <f>'Planning Roma'!J29</f>
        <v>0</v>
      </c>
      <c r="I24" s="3">
        <f>'Planning Roma'!K29</f>
        <v>0</v>
      </c>
      <c r="J24" s="3">
        <f>'Planning Roma'!G29</f>
        <v>0</v>
      </c>
      <c r="M24" s="3">
        <f>'Planning Roma'!I29</f>
        <v>0</v>
      </c>
      <c r="N24" s="3">
        <f>'Planning Roma'!N29</f>
        <v>0</v>
      </c>
      <c r="O24" s="3">
        <f>'Planning Roma'!O29</f>
        <v>0</v>
      </c>
      <c r="P24" s="3">
        <f>'Planning Roma'!M29</f>
        <v>0</v>
      </c>
      <c r="Q24" s="2">
        <f>'Planning Roma'!R29</f>
        <v>0</v>
      </c>
      <c r="R24" s="2">
        <f>'Planning Roma'!S29</f>
        <v>0</v>
      </c>
      <c r="S24" s="2">
        <f>'Planning Roma'!Q29</f>
        <v>0</v>
      </c>
      <c r="T24" s="2" t="str">
        <f>'Planning Roma'!V29</f>
        <v/>
      </c>
      <c r="U24" s="2">
        <f>'Planning Roma'!W29</f>
        <v>0</v>
      </c>
      <c r="V24" s="2">
        <f>'Planning Roma'!X29</f>
        <v>0</v>
      </c>
      <c r="W24" s="2">
        <f>'Planning Roma'!Y29</f>
        <v>0</v>
      </c>
      <c r="X24" s="2">
        <f>'Planning Roma'!Z29</f>
        <v>0</v>
      </c>
      <c r="Y24" s="2">
        <f>'Planning Roma'!AA29</f>
        <v>0</v>
      </c>
      <c r="Z24" s="2">
        <f>'Planning Roma'!AB29</f>
        <v>0</v>
      </c>
      <c r="AA24" s="6">
        <v>1805282</v>
      </c>
      <c r="AB24" s="2">
        <f>'Planning Roma'!AE29</f>
        <v>0</v>
      </c>
      <c r="AC24" s="2">
        <f>'Planning Roma'!AF29</f>
        <v>0</v>
      </c>
      <c r="AI24" s="3">
        <f t="shared" si="0"/>
        <v>0</v>
      </c>
    </row>
    <row r="25" spans="1:35" ht="14.25" customHeight="1" thickBot="1" x14ac:dyDescent="0.3">
      <c r="A25" s="2" t="str">
        <f>'Planning Roma'!$D$1</f>
        <v>RM</v>
      </c>
      <c r="B25" s="2" t="str">
        <f>'Planning Roma'!$D$3</f>
        <v xml:space="preserve"> </v>
      </c>
      <c r="C25" s="2">
        <f>'Planning Roma'!$A$7</f>
        <v>1</v>
      </c>
      <c r="E25" s="2" t="s">
        <v>108</v>
      </c>
      <c r="F25" s="2" t="str">
        <f>'Planning Roma'!C30</f>
        <v>PULL&amp;BEAR</v>
      </c>
      <c r="G25" s="2">
        <f>'Planning Roma'!B30</f>
        <v>16564</v>
      </c>
      <c r="H25" s="3">
        <f>'Planning Roma'!J30</f>
        <v>9.8699999999999992</v>
      </c>
      <c r="I25" s="3">
        <f>'Planning Roma'!K30</f>
        <v>1605</v>
      </c>
      <c r="J25" s="3">
        <f>'Planning Roma'!G30</f>
        <v>96</v>
      </c>
      <c r="M25" s="3">
        <f>'Planning Roma'!I30</f>
        <v>0</v>
      </c>
      <c r="N25" s="3">
        <f>'Planning Roma'!N30</f>
        <v>0.54</v>
      </c>
      <c r="O25" s="3">
        <f>'Planning Roma'!O30</f>
        <v>59</v>
      </c>
      <c r="P25" s="3">
        <f>'Planning Roma'!M30</f>
        <v>5</v>
      </c>
      <c r="Q25" s="2">
        <f>'Planning Roma'!R30</f>
        <v>0</v>
      </c>
      <c r="R25" s="2">
        <f>'Planning Roma'!S30</f>
        <v>0</v>
      </c>
      <c r="S25" s="2">
        <f>'Planning Roma'!Q30</f>
        <v>0</v>
      </c>
      <c r="T25" s="2" t="str">
        <f>'Planning Roma'!V30</f>
        <v/>
      </c>
      <c r="U25" s="2">
        <f>'Planning Roma'!W30</f>
        <v>0</v>
      </c>
      <c r="V25" s="2">
        <f>'Planning Roma'!X30</f>
        <v>0</v>
      </c>
      <c r="W25" s="2">
        <f>'Planning Roma'!Y30</f>
        <v>0</v>
      </c>
      <c r="X25" s="2">
        <f>'Planning Roma'!Z30</f>
        <v>0</v>
      </c>
      <c r="Y25" s="2">
        <f>'Planning Roma'!AA30</f>
        <v>0</v>
      </c>
      <c r="Z25" s="2">
        <f>'Planning Roma'!AB30</f>
        <v>0</v>
      </c>
      <c r="AA25" s="6">
        <v>1805282</v>
      </c>
      <c r="AB25" s="2">
        <f>'Planning Roma'!AE30</f>
        <v>0</v>
      </c>
      <c r="AC25" s="2">
        <f>'Planning Roma'!AF30</f>
        <v>0</v>
      </c>
      <c r="AI25" s="3">
        <f t="shared" si="0"/>
        <v>1775.4099999999999</v>
      </c>
    </row>
    <row r="26" spans="1:35" ht="14.25" customHeight="1" thickBot="1" x14ac:dyDescent="0.3">
      <c r="A26" s="2" t="str">
        <f>'Planning Roma'!$D$1</f>
        <v>RM</v>
      </c>
      <c r="B26" s="2" t="str">
        <f>'Planning Roma'!$D$3</f>
        <v xml:space="preserve"> </v>
      </c>
      <c r="C26" s="2">
        <f>'Planning Roma'!$A$7</f>
        <v>1</v>
      </c>
      <c r="E26" s="2" t="s">
        <v>108</v>
      </c>
      <c r="F26" s="2" t="str">
        <f>'Planning Roma'!C31</f>
        <v>PULL&amp;BEAR</v>
      </c>
      <c r="G26" s="2">
        <f>'Planning Roma'!B31</f>
        <v>11629</v>
      </c>
      <c r="H26" s="3">
        <f>'Planning Roma'!J31</f>
        <v>4</v>
      </c>
      <c r="I26" s="3">
        <f>'Planning Roma'!K31</f>
        <v>630</v>
      </c>
      <c r="J26" s="3">
        <f>'Planning Roma'!G31</f>
        <v>38</v>
      </c>
      <c r="M26" s="3">
        <f>'Planning Roma'!I31</f>
        <v>0</v>
      </c>
      <c r="N26" s="3">
        <f>'Planning Roma'!N31</f>
        <v>0.41</v>
      </c>
      <c r="O26" s="3">
        <f>'Planning Roma'!O31</f>
        <v>40</v>
      </c>
      <c r="P26" s="3">
        <f>'Planning Roma'!M31</f>
        <v>5</v>
      </c>
      <c r="Q26" s="2">
        <f>'Planning Roma'!R31</f>
        <v>0.18</v>
      </c>
      <c r="R26" s="2">
        <f>'Planning Roma'!S31</f>
        <v>6</v>
      </c>
      <c r="S26" s="2">
        <f>'Planning Roma'!Q31</f>
        <v>2</v>
      </c>
      <c r="T26" s="2" t="str">
        <f>'Planning Roma'!V31</f>
        <v/>
      </c>
      <c r="U26" s="2">
        <f>'Planning Roma'!W31</f>
        <v>0</v>
      </c>
      <c r="V26" s="2">
        <f>'Planning Roma'!X31</f>
        <v>0</v>
      </c>
      <c r="W26" s="2">
        <f>'Planning Roma'!Y31</f>
        <v>0</v>
      </c>
      <c r="X26" s="2">
        <f>'Planning Roma'!Z31</f>
        <v>0</v>
      </c>
      <c r="Y26" s="2">
        <f>'Planning Roma'!AA31</f>
        <v>0</v>
      </c>
      <c r="Z26" s="2">
        <f>'Planning Roma'!AB31</f>
        <v>0</v>
      </c>
      <c r="AA26" s="6">
        <v>1805282</v>
      </c>
      <c r="AB26" s="2">
        <f>'Planning Roma'!AE31</f>
        <v>0</v>
      </c>
      <c r="AC26" s="2">
        <f>'Planning Roma'!AF31</f>
        <v>0</v>
      </c>
      <c r="AI26" s="3">
        <f t="shared" si="0"/>
        <v>725.58999999999992</v>
      </c>
    </row>
    <row r="27" spans="1:35" ht="14.25" customHeight="1" thickBot="1" x14ac:dyDescent="0.3">
      <c r="A27" s="2" t="str">
        <f>'Planning Roma'!$D$1</f>
        <v>RM</v>
      </c>
      <c r="B27" s="2" t="str">
        <f>'Planning Roma'!$D$3</f>
        <v xml:space="preserve"> </v>
      </c>
      <c r="C27" s="2">
        <f>'Planning Roma'!$A$7</f>
        <v>1</v>
      </c>
      <c r="E27" s="2" t="s">
        <v>108</v>
      </c>
      <c r="F27" s="2" t="str">
        <f>'Planning Roma'!C32</f>
        <v>STRADIVARIUS</v>
      </c>
      <c r="G27" s="2">
        <f>'Planning Roma'!B32</f>
        <v>7593</v>
      </c>
      <c r="H27" s="3">
        <f>'Planning Roma'!J32</f>
        <v>6.58</v>
      </c>
      <c r="I27" s="3">
        <f>'Planning Roma'!K32</f>
        <v>1038</v>
      </c>
      <c r="J27" s="3">
        <f>'Planning Roma'!G32</f>
        <v>63</v>
      </c>
      <c r="M27" s="3">
        <f>'Planning Roma'!I32</f>
        <v>0</v>
      </c>
      <c r="N27" s="3">
        <f>'Planning Roma'!N32</f>
        <v>1.19</v>
      </c>
      <c r="O27" s="3">
        <f>'Planning Roma'!O32</f>
        <v>129</v>
      </c>
      <c r="P27" s="3">
        <f>'Planning Roma'!M32</f>
        <v>11</v>
      </c>
      <c r="Q27" s="2">
        <f>'Planning Roma'!R32</f>
        <v>0</v>
      </c>
      <c r="R27" s="2">
        <f>'Planning Roma'!S32</f>
        <v>0</v>
      </c>
      <c r="S27" s="2">
        <f>'Planning Roma'!Q32</f>
        <v>0</v>
      </c>
      <c r="T27" s="2" t="str">
        <f>'Planning Roma'!V32</f>
        <v/>
      </c>
      <c r="U27" s="2">
        <f>'Planning Roma'!W32</f>
        <v>0</v>
      </c>
      <c r="V27" s="2">
        <f>'Planning Roma'!X32</f>
        <v>0</v>
      </c>
      <c r="W27" s="2">
        <f>'Planning Roma'!Y32</f>
        <v>0</v>
      </c>
      <c r="X27" s="2">
        <f>'Planning Roma'!Z32</f>
        <v>0</v>
      </c>
      <c r="Y27" s="2">
        <f>'Planning Roma'!AA32</f>
        <v>0</v>
      </c>
      <c r="Z27" s="2">
        <f>'Planning Roma'!AB32</f>
        <v>0</v>
      </c>
      <c r="AA27" s="6">
        <v>1805282</v>
      </c>
      <c r="AB27" s="2">
        <f>'Planning Roma'!AE32</f>
        <v>0</v>
      </c>
      <c r="AC27" s="2">
        <f>'Planning Roma'!AF32</f>
        <v>0</v>
      </c>
      <c r="AI27" s="3">
        <f t="shared" si="0"/>
        <v>1248.77</v>
      </c>
    </row>
    <row r="28" spans="1:35" ht="14.25" customHeight="1" thickBot="1" x14ac:dyDescent="0.3">
      <c r="A28" s="2" t="str">
        <f>'Planning Roma'!$D$1</f>
        <v>RM</v>
      </c>
      <c r="B28" s="2" t="str">
        <f>'Planning Roma'!$D$3</f>
        <v xml:space="preserve"> </v>
      </c>
      <c r="C28" s="2">
        <f>'Planning Roma'!$A$7</f>
        <v>1</v>
      </c>
      <c r="E28" s="2" t="s">
        <v>108</v>
      </c>
      <c r="F28" s="2" t="str">
        <f>'Planning Roma'!C33</f>
        <v>STRADIVARIUS</v>
      </c>
      <c r="G28" s="2">
        <f>'Planning Roma'!B33</f>
        <v>2898</v>
      </c>
      <c r="H28" s="3">
        <f>'Planning Roma'!J33</f>
        <v>9.27</v>
      </c>
      <c r="I28" s="3">
        <f>'Planning Roma'!K33</f>
        <v>1495</v>
      </c>
      <c r="J28" s="3">
        <f>'Planning Roma'!G33</f>
        <v>90</v>
      </c>
      <c r="M28" s="3">
        <f>'Planning Roma'!I33</f>
        <v>0</v>
      </c>
      <c r="N28" s="3">
        <f>'Planning Roma'!N33</f>
        <v>0.89</v>
      </c>
      <c r="O28" s="3">
        <f>'Planning Roma'!O33</f>
        <v>93</v>
      </c>
      <c r="P28" s="3">
        <f>'Planning Roma'!M33</f>
        <v>9</v>
      </c>
      <c r="Q28" s="2">
        <f>'Planning Roma'!R33</f>
        <v>0</v>
      </c>
      <c r="R28" s="2">
        <f>'Planning Roma'!S33</f>
        <v>0</v>
      </c>
      <c r="S28" s="2">
        <f>'Planning Roma'!Q33</f>
        <v>0</v>
      </c>
      <c r="T28" s="2" t="str">
        <f>'Planning Roma'!V33</f>
        <v/>
      </c>
      <c r="U28" s="2">
        <f>'Planning Roma'!W33</f>
        <v>0</v>
      </c>
      <c r="V28" s="2">
        <f>'Planning Roma'!X33</f>
        <v>0</v>
      </c>
      <c r="W28" s="2">
        <f>'Planning Roma'!Y33</f>
        <v>0</v>
      </c>
      <c r="X28" s="2">
        <f>'Planning Roma'!Z33</f>
        <v>0</v>
      </c>
      <c r="Y28" s="2">
        <f>'Planning Roma'!AA33</f>
        <v>0</v>
      </c>
      <c r="Z28" s="2">
        <f>'Planning Roma'!AB33</f>
        <v>0</v>
      </c>
      <c r="AA28" s="6">
        <v>1805282</v>
      </c>
      <c r="AB28" s="2">
        <f>'Planning Roma'!AE33</f>
        <v>0</v>
      </c>
      <c r="AC28" s="2">
        <f>'Planning Roma'!AF33</f>
        <v>0</v>
      </c>
      <c r="AI28" s="3">
        <f t="shared" si="0"/>
        <v>1697.16</v>
      </c>
    </row>
    <row r="29" spans="1:35" ht="14.25" customHeight="1" thickBot="1" x14ac:dyDescent="0.3">
      <c r="A29" s="2" t="str">
        <f>'Planning Roma'!$D$1</f>
        <v>RM</v>
      </c>
      <c r="B29" s="2" t="str">
        <f>'Planning Roma'!$D$3</f>
        <v xml:space="preserve"> </v>
      </c>
      <c r="C29" s="2">
        <f>'Planning Roma'!$A$7</f>
        <v>1</v>
      </c>
      <c r="E29" s="2" t="s">
        <v>108</v>
      </c>
      <c r="F29" s="2" t="str">
        <f>'Planning Roma'!C34</f>
        <v>STRADIVARIUS</v>
      </c>
      <c r="G29" s="2">
        <f>'Planning Roma'!B34</f>
        <v>12093</v>
      </c>
      <c r="H29" s="3">
        <f>'Planning Roma'!J34</f>
        <v>4.22</v>
      </c>
      <c r="I29" s="3">
        <f>'Planning Roma'!K34</f>
        <v>660</v>
      </c>
      <c r="J29" s="3">
        <f>'Planning Roma'!G34</f>
        <v>46</v>
      </c>
      <c r="M29" s="3">
        <f>'Planning Roma'!I34</f>
        <v>0</v>
      </c>
      <c r="N29" s="3">
        <f>'Planning Roma'!N34</f>
        <v>0.97</v>
      </c>
      <c r="O29" s="3">
        <f>'Planning Roma'!O34</f>
        <v>106</v>
      </c>
      <c r="P29" s="3">
        <f>'Planning Roma'!M34</f>
        <v>9</v>
      </c>
      <c r="Q29" s="2">
        <f>'Planning Roma'!R34</f>
        <v>0</v>
      </c>
      <c r="R29" s="2">
        <f>'Planning Roma'!S34</f>
        <v>0</v>
      </c>
      <c r="S29" s="2">
        <f>'Planning Roma'!Q34</f>
        <v>0</v>
      </c>
      <c r="T29" s="2" t="str">
        <f>'Planning Roma'!V34</f>
        <v/>
      </c>
      <c r="U29" s="2">
        <f>'Planning Roma'!W34</f>
        <v>0</v>
      </c>
      <c r="V29" s="2">
        <f>'Planning Roma'!X34</f>
        <v>0</v>
      </c>
      <c r="W29" s="2">
        <f>'Planning Roma'!Y34</f>
        <v>0</v>
      </c>
      <c r="X29" s="2">
        <f>'Planning Roma'!Z34</f>
        <v>0</v>
      </c>
      <c r="Y29" s="2">
        <f>'Planning Roma'!AA34</f>
        <v>0</v>
      </c>
      <c r="Z29" s="2">
        <f>'Planning Roma'!AB34</f>
        <v>0</v>
      </c>
      <c r="AA29" s="6">
        <v>1805282</v>
      </c>
      <c r="AB29" s="2">
        <f>'Planning Roma'!AE34</f>
        <v>0</v>
      </c>
      <c r="AC29" s="2">
        <f>'Planning Roma'!AF34</f>
        <v>0</v>
      </c>
      <c r="AI29" s="3">
        <f t="shared" si="0"/>
        <v>826.19</v>
      </c>
    </row>
    <row r="30" spans="1:35" ht="14.25" customHeight="1" thickBot="1" x14ac:dyDescent="0.3">
      <c r="A30" s="2" t="str">
        <f>'Planning Roma'!$D$1</f>
        <v>RM</v>
      </c>
      <c r="B30" s="2" t="str">
        <f>'Planning Roma'!$D$3</f>
        <v xml:space="preserve"> </v>
      </c>
      <c r="C30" s="2">
        <f>'Planning Roma'!$A$7</f>
        <v>1</v>
      </c>
      <c r="E30" s="2" t="s">
        <v>108</v>
      </c>
      <c r="F30" s="2" t="str">
        <f>'Planning Roma'!C35</f>
        <v>STRADIVARIUS</v>
      </c>
      <c r="G30" s="2">
        <f>'Planning Roma'!B35</f>
        <v>2917</v>
      </c>
      <c r="H30" s="3">
        <f>'Planning Roma'!J35</f>
        <v>10.01</v>
      </c>
      <c r="I30" s="3">
        <f>'Planning Roma'!K35</f>
        <v>1608</v>
      </c>
      <c r="J30" s="3">
        <f>'Planning Roma'!G35</f>
        <v>95</v>
      </c>
      <c r="M30" s="3">
        <f>'Planning Roma'!I35</f>
        <v>1</v>
      </c>
      <c r="N30" s="3">
        <f>'Planning Roma'!N35</f>
        <v>1.51</v>
      </c>
      <c r="O30" s="3">
        <f>'Planning Roma'!O35</f>
        <v>164</v>
      </c>
      <c r="P30" s="3">
        <f>'Planning Roma'!M35</f>
        <v>15</v>
      </c>
      <c r="Q30" s="2">
        <f>'Planning Roma'!R35</f>
        <v>0</v>
      </c>
      <c r="R30" s="2">
        <f>'Planning Roma'!S35</f>
        <v>0</v>
      </c>
      <c r="S30" s="2">
        <f>'Planning Roma'!Q35</f>
        <v>0</v>
      </c>
      <c r="T30" s="2" t="str">
        <f>'Planning Roma'!V35</f>
        <v/>
      </c>
      <c r="U30" s="2">
        <f>'Planning Roma'!W35</f>
        <v>0</v>
      </c>
      <c r="V30" s="2">
        <f>'Planning Roma'!X35</f>
        <v>0</v>
      </c>
      <c r="W30" s="2">
        <f>'Planning Roma'!Y35</f>
        <v>0</v>
      </c>
      <c r="X30" s="2">
        <f>'Planning Roma'!Z35</f>
        <v>0</v>
      </c>
      <c r="Y30" s="2">
        <f>'Planning Roma'!AA35</f>
        <v>0</v>
      </c>
      <c r="Z30" s="2">
        <f>'Planning Roma'!AB35</f>
        <v>0</v>
      </c>
      <c r="AA30" s="6">
        <v>1805282</v>
      </c>
      <c r="AB30" s="2">
        <f>'Planning Roma'!AE35</f>
        <v>0</v>
      </c>
      <c r="AC30" s="2">
        <f>'Planning Roma'!AF35</f>
        <v>0</v>
      </c>
      <c r="AI30" s="3">
        <f t="shared" si="0"/>
        <v>1894.52</v>
      </c>
    </row>
    <row r="31" spans="1:35" ht="14.25" customHeight="1" thickBot="1" x14ac:dyDescent="0.3">
      <c r="A31" s="2" t="str">
        <f>'Planning Roma'!$D$1</f>
        <v>RM</v>
      </c>
      <c r="B31" s="2" t="str">
        <f>'Planning Roma'!$D$3</f>
        <v xml:space="preserve"> </v>
      </c>
      <c r="C31" s="2">
        <f>'Planning Roma'!$A$7</f>
        <v>1</v>
      </c>
      <c r="E31" s="2" t="s">
        <v>108</v>
      </c>
      <c r="F31" s="2" t="str">
        <f>'Planning Roma'!C36</f>
        <v>STRADIVARIUS</v>
      </c>
      <c r="G31" s="2">
        <f>'Planning Roma'!B36</f>
        <v>10265</v>
      </c>
      <c r="H31" s="3">
        <f>'Planning Roma'!J36</f>
        <v>3.82</v>
      </c>
      <c r="I31" s="3">
        <f>'Planning Roma'!K36</f>
        <v>535</v>
      </c>
      <c r="J31" s="3">
        <f>'Planning Roma'!G36</f>
        <v>38</v>
      </c>
      <c r="M31" s="3">
        <f>'Planning Roma'!I36</f>
        <v>1</v>
      </c>
      <c r="N31" s="3">
        <f>'Planning Roma'!N36</f>
        <v>0.81</v>
      </c>
      <c r="O31" s="3">
        <f>'Planning Roma'!O36</f>
        <v>84</v>
      </c>
      <c r="P31" s="3">
        <f>'Planning Roma'!M36</f>
        <v>8</v>
      </c>
      <c r="Q31" s="2">
        <f>'Planning Roma'!R36</f>
        <v>0</v>
      </c>
      <c r="R31" s="2">
        <f>'Planning Roma'!S36</f>
        <v>0</v>
      </c>
      <c r="S31" s="2">
        <f>'Planning Roma'!Q36</f>
        <v>0</v>
      </c>
      <c r="T31" s="2" t="str">
        <f>'Planning Roma'!V36</f>
        <v/>
      </c>
      <c r="U31" s="2">
        <f>'Planning Roma'!W36</f>
        <v>0</v>
      </c>
      <c r="V31" s="2">
        <f>'Planning Roma'!X36</f>
        <v>0</v>
      </c>
      <c r="W31" s="2">
        <f>'Planning Roma'!Y36</f>
        <v>0</v>
      </c>
      <c r="X31" s="2">
        <f>'Planning Roma'!Z36</f>
        <v>0</v>
      </c>
      <c r="Y31" s="2">
        <f>'Planning Roma'!AA36</f>
        <v>0</v>
      </c>
      <c r="Z31" s="2">
        <f>'Planning Roma'!AB36</f>
        <v>0</v>
      </c>
      <c r="AA31" s="6">
        <v>1805282</v>
      </c>
      <c r="AB31" s="2">
        <f>'Planning Roma'!AE36</f>
        <v>0</v>
      </c>
      <c r="AC31" s="2">
        <f>'Planning Roma'!AF36</f>
        <v>0</v>
      </c>
      <c r="AI31" s="3">
        <f t="shared" si="0"/>
        <v>670.63</v>
      </c>
    </row>
    <row r="32" spans="1:35" ht="14.25" customHeight="1" thickBot="1" x14ac:dyDescent="0.3">
      <c r="A32" s="2" t="str">
        <f>'Planning Roma'!$D$1</f>
        <v>RM</v>
      </c>
      <c r="B32" s="2" t="str">
        <f>'Planning Roma'!$D$3</f>
        <v xml:space="preserve"> </v>
      </c>
      <c r="C32" s="2">
        <f>'Planning Roma'!$A$7</f>
        <v>1</v>
      </c>
      <c r="E32" s="2" t="s">
        <v>108</v>
      </c>
      <c r="F32" s="2" t="str">
        <f>'Planning Roma'!C37</f>
        <v>STRADIVARIUS</v>
      </c>
      <c r="G32" s="2">
        <f>'Planning Roma'!B37</f>
        <v>16647</v>
      </c>
      <c r="H32" s="3">
        <f>'Planning Roma'!J37</f>
        <v>6.4</v>
      </c>
      <c r="I32" s="3">
        <f>'Planning Roma'!K37</f>
        <v>958</v>
      </c>
      <c r="J32" s="3">
        <f>'Planning Roma'!G37</f>
        <v>59</v>
      </c>
      <c r="M32" s="3">
        <f>'Planning Roma'!I37</f>
        <v>2</v>
      </c>
      <c r="N32" s="3">
        <f>'Planning Roma'!N37</f>
        <v>0.97</v>
      </c>
      <c r="O32" s="3">
        <f>'Planning Roma'!O37</f>
        <v>108</v>
      </c>
      <c r="P32" s="3">
        <f>'Planning Roma'!M37</f>
        <v>9</v>
      </c>
      <c r="Q32" s="2">
        <f>'Planning Roma'!R37</f>
        <v>0</v>
      </c>
      <c r="R32" s="2">
        <f>'Planning Roma'!S37</f>
        <v>0</v>
      </c>
      <c r="S32" s="2">
        <f>'Planning Roma'!Q37</f>
        <v>0</v>
      </c>
      <c r="T32" s="2" t="str">
        <f>'Planning Roma'!V37</f>
        <v/>
      </c>
      <c r="U32" s="2">
        <f>'Planning Roma'!W37</f>
        <v>0</v>
      </c>
      <c r="V32" s="2">
        <f>'Planning Roma'!X37</f>
        <v>0</v>
      </c>
      <c r="W32" s="2">
        <f>'Planning Roma'!Y37</f>
        <v>0</v>
      </c>
      <c r="X32" s="2">
        <f>'Planning Roma'!Z37</f>
        <v>0</v>
      </c>
      <c r="Y32" s="2">
        <f>'Planning Roma'!AA37</f>
        <v>0</v>
      </c>
      <c r="Z32" s="2">
        <f>'Planning Roma'!AB37</f>
        <v>0</v>
      </c>
      <c r="AA32" s="6">
        <v>1805282</v>
      </c>
      <c r="AB32" s="2">
        <f>'Planning Roma'!AE37</f>
        <v>0</v>
      </c>
      <c r="AC32" s="2">
        <f>'Planning Roma'!AF37</f>
        <v>0</v>
      </c>
      <c r="AI32" s="3">
        <f t="shared" si="0"/>
        <v>1143.3700000000001</v>
      </c>
    </row>
    <row r="33" spans="1:35" ht="14.25" customHeight="1" thickBot="1" x14ac:dyDescent="0.3">
      <c r="A33" s="2" t="str">
        <f>'Planning Roma'!$D$1</f>
        <v>RM</v>
      </c>
      <c r="B33" s="2" t="str">
        <f>'Planning Roma'!$D$3</f>
        <v xml:space="preserve"> </v>
      </c>
      <c r="C33" s="2">
        <f>'Planning Roma'!$A$7</f>
        <v>1</v>
      </c>
      <c r="E33" s="2" t="s">
        <v>108</v>
      </c>
      <c r="F33" s="2" t="str">
        <f>'Planning Roma'!C38</f>
        <v>STRADIVARIUS</v>
      </c>
      <c r="G33" s="2">
        <f>'Planning Roma'!B38</f>
        <v>12154</v>
      </c>
      <c r="H33" s="3">
        <f>'Planning Roma'!J38</f>
        <v>4.97</v>
      </c>
      <c r="I33" s="3">
        <f>'Planning Roma'!K38</f>
        <v>743</v>
      </c>
      <c r="J33" s="3">
        <f>'Planning Roma'!G38</f>
        <v>50</v>
      </c>
      <c r="K33" s="2" t="s">
        <v>109</v>
      </c>
      <c r="M33" s="3">
        <f>'Planning Roma'!I38</f>
        <v>0</v>
      </c>
      <c r="N33" s="3">
        <f>'Planning Roma'!N38</f>
        <v>1.1299999999999999</v>
      </c>
      <c r="O33" s="3">
        <f>'Planning Roma'!O38</f>
        <v>128</v>
      </c>
      <c r="P33" s="3">
        <f>'Planning Roma'!M38</f>
        <v>12</v>
      </c>
      <c r="Q33" s="2">
        <f>'Planning Roma'!R38</f>
        <v>0</v>
      </c>
      <c r="R33" s="2">
        <f>'Planning Roma'!S38</f>
        <v>0</v>
      </c>
      <c r="S33" s="2">
        <f>'Planning Roma'!Q38</f>
        <v>0</v>
      </c>
      <c r="T33" s="2" t="str">
        <f>'Planning Roma'!V38</f>
        <v/>
      </c>
      <c r="U33" s="2">
        <f>'Planning Roma'!W38</f>
        <v>0</v>
      </c>
      <c r="V33" s="2">
        <f>'Planning Roma'!X38</f>
        <v>0</v>
      </c>
      <c r="W33" s="2">
        <f>'Planning Roma'!Y38</f>
        <v>0</v>
      </c>
      <c r="X33" s="2">
        <f>'Planning Roma'!Z38</f>
        <v>0</v>
      </c>
      <c r="Y33" s="2">
        <f>'Planning Roma'!AA38</f>
        <v>0</v>
      </c>
      <c r="Z33" s="2">
        <f>'Planning Roma'!AB38</f>
        <v>0</v>
      </c>
      <c r="AA33" s="6">
        <v>1805282</v>
      </c>
      <c r="AB33" s="2">
        <f>'Planning Roma'!AE38</f>
        <v>0</v>
      </c>
      <c r="AC33" s="2">
        <f>'Planning Roma'!AF38</f>
        <v>0</v>
      </c>
      <c r="AI33" s="3">
        <f t="shared" si="0"/>
        <v>939.1</v>
      </c>
    </row>
    <row r="34" spans="1:35" ht="14.25" customHeight="1" thickBot="1" x14ac:dyDescent="0.3">
      <c r="A34" s="2" t="str">
        <f>'Planning Roma'!$D$1</f>
        <v>RM</v>
      </c>
      <c r="B34" s="2" t="str">
        <f>'Planning Roma'!$D$3</f>
        <v xml:space="preserve"> </v>
      </c>
      <c r="C34" s="2">
        <f>'Planning Roma'!$A$7</f>
        <v>1</v>
      </c>
      <c r="E34" s="2" t="s">
        <v>108</v>
      </c>
      <c r="F34" s="2" t="str">
        <f>'Planning Roma'!C39</f>
        <v xml:space="preserve">ZARA   </v>
      </c>
      <c r="G34" s="2">
        <f>'Planning Roma'!B39</f>
        <v>12271</v>
      </c>
      <c r="H34" s="3">
        <f>'Planning Roma'!J39</f>
        <v>22.18</v>
      </c>
      <c r="I34" s="3">
        <f>'Planning Roma'!K39</f>
        <v>3134</v>
      </c>
      <c r="J34" s="3">
        <f>'Planning Roma'!G39</f>
        <v>183</v>
      </c>
      <c r="M34" s="3">
        <f>'Planning Roma'!I39</f>
        <v>0</v>
      </c>
      <c r="N34" s="3">
        <f>'Planning Roma'!N39</f>
        <v>0</v>
      </c>
      <c r="O34" s="3">
        <f>'Planning Roma'!O39</f>
        <v>0</v>
      </c>
      <c r="P34" s="3">
        <f>'Planning Roma'!M39</f>
        <v>0</v>
      </c>
      <c r="Q34" s="2">
        <f>'Planning Roma'!R39</f>
        <v>0</v>
      </c>
      <c r="R34" s="2">
        <f>'Planning Roma'!S39</f>
        <v>0</v>
      </c>
      <c r="S34" s="2">
        <f>'Planning Roma'!Q39</f>
        <v>0</v>
      </c>
      <c r="T34" s="2" t="str">
        <f>'Planning Roma'!V39</f>
        <v/>
      </c>
      <c r="U34" s="2">
        <f>'Planning Roma'!W39</f>
        <v>0</v>
      </c>
      <c r="V34" s="2">
        <f>'Planning Roma'!X39</f>
        <v>0</v>
      </c>
      <c r="W34" s="2">
        <f>'Planning Roma'!Y39</f>
        <v>0</v>
      </c>
      <c r="X34" s="2">
        <f>'Planning Roma'!Z39</f>
        <v>0</v>
      </c>
      <c r="Y34" s="2">
        <f>'Planning Roma'!AA39</f>
        <v>0</v>
      </c>
      <c r="Z34" s="2">
        <f>'Planning Roma'!AB39</f>
        <v>0</v>
      </c>
      <c r="AA34" s="6">
        <v>1805282</v>
      </c>
      <c r="AB34" s="2">
        <f>'Planning Roma'!AE39</f>
        <v>0</v>
      </c>
      <c r="AC34" s="2">
        <f>'Planning Roma'!AF39</f>
        <v>0</v>
      </c>
      <c r="AI34" s="3">
        <f t="shared" si="0"/>
        <v>3339.18</v>
      </c>
    </row>
    <row r="35" spans="1:35" ht="14.25" customHeight="1" thickBot="1" x14ac:dyDescent="0.3">
      <c r="A35" s="2" t="str">
        <f>'Planning Roma'!$D$1</f>
        <v>RM</v>
      </c>
      <c r="B35" s="2" t="str">
        <f>'Planning Roma'!$D$3</f>
        <v xml:space="preserve"> </v>
      </c>
      <c r="C35" s="2">
        <f>'Planning Roma'!$A$7</f>
        <v>1</v>
      </c>
      <c r="E35" s="2" t="s">
        <v>108</v>
      </c>
      <c r="F35" s="2" t="str">
        <f>'Planning Roma'!C40</f>
        <v>ZARA SHOES</v>
      </c>
      <c r="G35" s="2">
        <f>'Planning Roma'!B40</f>
        <v>12271</v>
      </c>
      <c r="H35" s="3">
        <f>'Planning Roma'!J40</f>
        <v>0</v>
      </c>
      <c r="I35" s="3">
        <f>'Planning Roma'!K40</f>
        <v>0</v>
      </c>
      <c r="J35" s="3">
        <f>'Planning Roma'!G40</f>
        <v>0</v>
      </c>
      <c r="M35" s="3">
        <f>'Planning Roma'!I40</f>
        <v>0</v>
      </c>
      <c r="N35" s="3">
        <f>'Planning Roma'!N40</f>
        <v>1.08</v>
      </c>
      <c r="O35" s="3">
        <f>'Planning Roma'!O40</f>
        <v>109</v>
      </c>
      <c r="P35" s="3">
        <f>'Planning Roma'!M40</f>
        <v>10</v>
      </c>
      <c r="Q35" s="2">
        <f>'Planning Roma'!R40</f>
        <v>0</v>
      </c>
      <c r="R35" s="2">
        <f>'Planning Roma'!S40</f>
        <v>0</v>
      </c>
      <c r="S35" s="2">
        <f>'Planning Roma'!Q40</f>
        <v>0</v>
      </c>
      <c r="T35" s="2">
        <f>'Planning Roma'!V40</f>
        <v>0</v>
      </c>
      <c r="U35" s="2">
        <f>'Planning Roma'!W40</f>
        <v>0</v>
      </c>
      <c r="V35" s="2">
        <f>'Planning Roma'!X40</f>
        <v>0</v>
      </c>
      <c r="W35" s="2">
        <f>'Planning Roma'!Y40</f>
        <v>0</v>
      </c>
      <c r="X35" s="2">
        <f>'Planning Roma'!Z40</f>
        <v>0</v>
      </c>
      <c r="Y35" s="2">
        <f>'Planning Roma'!AA40</f>
        <v>0</v>
      </c>
      <c r="Z35" s="2">
        <f>'Planning Roma'!AB40</f>
        <v>0</v>
      </c>
      <c r="AA35" s="6">
        <v>1805282</v>
      </c>
      <c r="AB35" s="2">
        <f>'Planning Roma'!AE40</f>
        <v>0</v>
      </c>
      <c r="AC35" s="2">
        <f>'Planning Roma'!AF40</f>
        <v>0</v>
      </c>
      <c r="AI35" s="3">
        <f t="shared" si="0"/>
        <v>120.08</v>
      </c>
    </row>
    <row r="36" spans="1:35" ht="14.25" customHeight="1" thickBot="1" x14ac:dyDescent="0.3">
      <c r="A36" s="2" t="str">
        <f>'Planning Roma'!$D$1</f>
        <v>RM</v>
      </c>
      <c r="B36" s="2" t="str">
        <f>'Planning Roma'!$D$3</f>
        <v xml:space="preserve"> </v>
      </c>
      <c r="C36" s="2">
        <f>'Planning Roma'!$A$7</f>
        <v>1</v>
      </c>
      <c r="E36" s="2" t="s">
        <v>108</v>
      </c>
      <c r="F36" s="2" t="str">
        <f>'Planning Roma'!C41</f>
        <v xml:space="preserve">ZARA   </v>
      </c>
      <c r="G36" s="2">
        <f>'Planning Roma'!B41</f>
        <v>1265</v>
      </c>
      <c r="H36" s="3">
        <f>'Planning Roma'!J41</f>
        <v>30.88</v>
      </c>
      <c r="I36" s="3">
        <f>'Planning Roma'!K41</f>
        <v>4637</v>
      </c>
      <c r="J36" s="3">
        <f>'Planning Roma'!G41</f>
        <v>262</v>
      </c>
      <c r="M36" s="3">
        <f>'Planning Roma'!I41</f>
        <v>15</v>
      </c>
      <c r="N36" s="3">
        <f>'Planning Roma'!N41</f>
        <v>0</v>
      </c>
      <c r="O36" s="3">
        <f>'Planning Roma'!O41</f>
        <v>0</v>
      </c>
      <c r="P36" s="3">
        <f>'Planning Roma'!M41</f>
        <v>0</v>
      </c>
      <c r="Q36" s="2">
        <f>'Planning Roma'!R41</f>
        <v>0</v>
      </c>
      <c r="R36" s="2">
        <f>'Planning Roma'!S41</f>
        <v>0</v>
      </c>
      <c r="S36" s="2">
        <f>'Planning Roma'!Q41</f>
        <v>0</v>
      </c>
      <c r="T36" s="2" t="str">
        <f>'Planning Roma'!V41</f>
        <v xml:space="preserve">1C  da </v>
      </c>
      <c r="U36" s="2">
        <f>'Planning Roma'!W41</f>
        <v>0</v>
      </c>
      <c r="V36" s="2">
        <f>'Planning Roma'!X41</f>
        <v>0</v>
      </c>
      <c r="W36" s="2">
        <f>'Planning Roma'!Y41</f>
        <v>0</v>
      </c>
      <c r="X36" s="2">
        <f>'Planning Roma'!Z41</f>
        <v>0</v>
      </c>
      <c r="Y36" s="2">
        <f>'Planning Roma'!AA41</f>
        <v>0</v>
      </c>
      <c r="Z36" s="2">
        <f>'Planning Roma'!AB41</f>
        <v>0</v>
      </c>
      <c r="AA36" s="6">
        <v>1805282</v>
      </c>
      <c r="AB36" s="2">
        <f>'Planning Roma'!AE41</f>
        <v>0</v>
      </c>
      <c r="AC36" s="2">
        <f>'Planning Roma'!AF41</f>
        <v>0</v>
      </c>
      <c r="AI36" s="3">
        <f t="shared" si="0"/>
        <v>4944.88</v>
      </c>
    </row>
    <row r="37" spans="1:35" ht="14.25" customHeight="1" thickBot="1" x14ac:dyDescent="0.3">
      <c r="A37" s="2" t="str">
        <f>'Planning Roma'!$D$1</f>
        <v>RM</v>
      </c>
      <c r="B37" s="2" t="str">
        <f>'Planning Roma'!$D$3</f>
        <v xml:space="preserve"> </v>
      </c>
      <c r="C37" s="2">
        <f>'Planning Roma'!$A$7</f>
        <v>1</v>
      </c>
      <c r="E37" s="2" t="s">
        <v>108</v>
      </c>
      <c r="F37" s="2" t="str">
        <f>'Planning Roma'!C42</f>
        <v>ZARA SHOES</v>
      </c>
      <c r="G37" s="2">
        <f>'Planning Roma'!B42</f>
        <v>1265</v>
      </c>
      <c r="H37" s="3">
        <f>'Planning Roma'!J42</f>
        <v>0</v>
      </c>
      <c r="I37" s="3">
        <f>'Planning Roma'!K42</f>
        <v>0</v>
      </c>
      <c r="J37" s="3">
        <f>'Planning Roma'!G42</f>
        <v>0</v>
      </c>
      <c r="M37" s="3">
        <f>'Planning Roma'!I42</f>
        <v>0</v>
      </c>
      <c r="N37" s="3">
        <f>'Planning Roma'!N42</f>
        <v>2.12</v>
      </c>
      <c r="O37" s="3">
        <f>'Planning Roma'!O42</f>
        <v>236</v>
      </c>
      <c r="P37" s="3">
        <f>'Planning Roma'!M42</f>
        <v>22</v>
      </c>
      <c r="Q37" s="2">
        <f>'Planning Roma'!R42</f>
        <v>0</v>
      </c>
      <c r="R37" s="2">
        <f>'Planning Roma'!S42</f>
        <v>0</v>
      </c>
      <c r="S37" s="2">
        <f>'Planning Roma'!Q42</f>
        <v>0</v>
      </c>
      <c r="T37" s="2" t="str">
        <f>'Planning Roma'!V42</f>
        <v xml:space="preserve">1C  da </v>
      </c>
      <c r="U37" s="2">
        <f>'Planning Roma'!W42</f>
        <v>0</v>
      </c>
      <c r="V37" s="2">
        <f>'Planning Roma'!X42</f>
        <v>0</v>
      </c>
      <c r="W37" s="2">
        <f>'Planning Roma'!Y42</f>
        <v>0</v>
      </c>
      <c r="X37" s="2">
        <f>'Planning Roma'!Z42</f>
        <v>0</v>
      </c>
      <c r="Y37" s="2">
        <f>'Planning Roma'!AA42</f>
        <v>0</v>
      </c>
      <c r="Z37" s="2">
        <f>'Planning Roma'!AB42</f>
        <v>0</v>
      </c>
      <c r="AA37" s="6">
        <v>1805282</v>
      </c>
      <c r="AB37" s="2">
        <f>'Planning Roma'!AE42</f>
        <v>0</v>
      </c>
      <c r="AC37" s="2">
        <f>'Planning Roma'!AF42</f>
        <v>0</v>
      </c>
      <c r="AI37" s="3">
        <f t="shared" si="0"/>
        <v>260.12</v>
      </c>
    </row>
    <row r="38" spans="1:35" ht="14.25" customHeight="1" thickBot="1" x14ac:dyDescent="0.3">
      <c r="A38" s="2" t="str">
        <f>'Planning Roma'!$D$1</f>
        <v>RM</v>
      </c>
      <c r="B38" s="2" t="str">
        <f>'Planning Roma'!$D$3</f>
        <v xml:space="preserve"> </v>
      </c>
      <c r="C38" s="2">
        <f>'Planning Roma'!$A$7</f>
        <v>1</v>
      </c>
      <c r="E38" s="2" t="s">
        <v>108</v>
      </c>
      <c r="F38" s="2" t="str">
        <f>'Planning Roma'!C43</f>
        <v xml:space="preserve">ZARA   </v>
      </c>
      <c r="G38" s="2">
        <f>'Planning Roma'!B43</f>
        <v>3534</v>
      </c>
      <c r="H38" s="3">
        <f>'Planning Roma'!J43</f>
        <v>36.479999999999997</v>
      </c>
      <c r="I38" s="3">
        <f>'Planning Roma'!K43</f>
        <v>5315</v>
      </c>
      <c r="J38" s="3">
        <f>'Planning Roma'!G43</f>
        <v>294</v>
      </c>
      <c r="M38" s="3">
        <f>'Planning Roma'!I43</f>
        <v>0</v>
      </c>
      <c r="N38" s="3">
        <f>'Planning Roma'!N43</f>
        <v>0</v>
      </c>
      <c r="O38" s="3">
        <f>'Planning Roma'!O43</f>
        <v>0</v>
      </c>
      <c r="P38" s="3">
        <f>'Planning Roma'!M43</f>
        <v>0</v>
      </c>
      <c r="Q38" s="2">
        <f>'Planning Roma'!R43</f>
        <v>0</v>
      </c>
      <c r="R38" s="2">
        <f>'Planning Roma'!S43</f>
        <v>0</v>
      </c>
      <c r="S38" s="2">
        <f>'Planning Roma'!Q43</f>
        <v>0</v>
      </c>
      <c r="T38" s="2" t="str">
        <f>'Planning Roma'!V43</f>
        <v/>
      </c>
      <c r="U38" s="2">
        <f>'Planning Roma'!W43</f>
        <v>0</v>
      </c>
      <c r="V38" s="2">
        <f>'Planning Roma'!X43</f>
        <v>0</v>
      </c>
      <c r="W38" s="2">
        <f>'Planning Roma'!Y43</f>
        <v>0</v>
      </c>
      <c r="X38" s="2">
        <f>'Planning Roma'!Z43</f>
        <v>0</v>
      </c>
      <c r="Y38" s="2">
        <f>'Planning Roma'!AA43</f>
        <v>0</v>
      </c>
      <c r="Z38" s="2">
        <f>'Planning Roma'!AB43</f>
        <v>0</v>
      </c>
      <c r="AA38" s="6">
        <v>1805282</v>
      </c>
      <c r="AB38" s="2">
        <f>'Planning Roma'!AE43</f>
        <v>0</v>
      </c>
      <c r="AC38" s="2">
        <f>'Planning Roma'!AF43</f>
        <v>0</v>
      </c>
      <c r="AI38" s="3">
        <f t="shared" si="0"/>
        <v>5645.48</v>
      </c>
    </row>
    <row r="39" spans="1:35" ht="14.25" customHeight="1" thickBot="1" x14ac:dyDescent="0.3">
      <c r="A39" s="2" t="str">
        <f>'Planning Roma'!$D$1</f>
        <v>RM</v>
      </c>
      <c r="B39" s="2" t="str">
        <f>'Planning Roma'!$D$3</f>
        <v xml:space="preserve"> </v>
      </c>
      <c r="C39" s="2">
        <f>'Planning Roma'!$A$7</f>
        <v>1</v>
      </c>
      <c r="E39" s="2" t="s">
        <v>108</v>
      </c>
      <c r="F39" s="2" t="str">
        <f>'Planning Roma'!C44</f>
        <v>ZARA SHOES</v>
      </c>
      <c r="G39" s="2">
        <f>'Planning Roma'!B44</f>
        <v>3534</v>
      </c>
      <c r="H39" s="3">
        <f>'Planning Roma'!J44</f>
        <v>0</v>
      </c>
      <c r="I39" s="3">
        <f>'Planning Roma'!K44</f>
        <v>0</v>
      </c>
      <c r="J39" s="3">
        <f>'Planning Roma'!G44</f>
        <v>0</v>
      </c>
      <c r="M39" s="3">
        <f>'Planning Roma'!I44</f>
        <v>0</v>
      </c>
      <c r="N39" s="3">
        <f>'Planning Roma'!N44</f>
        <v>1.78</v>
      </c>
      <c r="O39" s="3">
        <f>'Planning Roma'!O44</f>
        <v>205</v>
      </c>
      <c r="P39" s="3">
        <f>'Planning Roma'!M44</f>
        <v>17</v>
      </c>
      <c r="Q39" s="2">
        <f>'Planning Roma'!R44</f>
        <v>0</v>
      </c>
      <c r="R39" s="2">
        <f>'Planning Roma'!S44</f>
        <v>0</v>
      </c>
      <c r="S39" s="2">
        <f>'Planning Roma'!Q44</f>
        <v>0</v>
      </c>
      <c r="T39" s="2" t="str">
        <f>'Planning Roma'!V44</f>
        <v/>
      </c>
      <c r="U39" s="2">
        <f>'Planning Roma'!W44</f>
        <v>0</v>
      </c>
      <c r="V39" s="2">
        <f>'Planning Roma'!X44</f>
        <v>0</v>
      </c>
      <c r="W39" s="2">
        <f>'Planning Roma'!Y44</f>
        <v>0</v>
      </c>
      <c r="X39" s="2">
        <f>'Planning Roma'!Z44</f>
        <v>0</v>
      </c>
      <c r="Y39" s="2">
        <f>'Planning Roma'!AA44</f>
        <v>0</v>
      </c>
      <c r="Z39" s="2">
        <f>'Planning Roma'!AB44</f>
        <v>0</v>
      </c>
      <c r="AA39" s="6">
        <v>1805282</v>
      </c>
      <c r="AB39" s="2">
        <f>'Planning Roma'!AE44</f>
        <v>0</v>
      </c>
      <c r="AC39" s="2">
        <f>'Planning Roma'!AF44</f>
        <v>0</v>
      </c>
      <c r="AI39" s="3">
        <f t="shared" si="0"/>
        <v>223.78</v>
      </c>
    </row>
    <row r="40" spans="1:35" ht="14.25" customHeight="1" thickBot="1" x14ac:dyDescent="0.3">
      <c r="A40" s="2" t="str">
        <f>'Planning Roma'!$D$1</f>
        <v>RM</v>
      </c>
      <c r="B40" s="2" t="str">
        <f>'Planning Roma'!$D$3</f>
        <v xml:space="preserve"> </v>
      </c>
      <c r="C40" s="2">
        <f>'Planning Roma'!$A$7</f>
        <v>1</v>
      </c>
      <c r="E40" s="2" t="s">
        <v>108</v>
      </c>
      <c r="F40" s="2" t="str">
        <f>'Planning Roma'!C45</f>
        <v>ZARA</v>
      </c>
      <c r="G40" s="2">
        <f>'Planning Roma'!B45</f>
        <v>3680</v>
      </c>
      <c r="H40" s="3">
        <f>'Planning Roma'!J45</f>
        <v>29.26</v>
      </c>
      <c r="I40" s="3">
        <f>'Planning Roma'!K45</f>
        <v>4144</v>
      </c>
      <c r="J40" s="3">
        <f>'Planning Roma'!G45</f>
        <v>19</v>
      </c>
      <c r="M40" s="3">
        <f>'Planning Roma'!I45</f>
        <v>2</v>
      </c>
      <c r="N40" s="3">
        <f>'Planning Roma'!N45</f>
        <v>0</v>
      </c>
      <c r="O40" s="3">
        <f>'Planning Roma'!O45</f>
        <v>0</v>
      </c>
      <c r="P40" s="3">
        <f>'Planning Roma'!M45</f>
        <v>0</v>
      </c>
      <c r="Q40" s="2">
        <f>'Planning Roma'!R45</f>
        <v>0</v>
      </c>
      <c r="R40" s="2">
        <f>'Planning Roma'!S45</f>
        <v>0</v>
      </c>
      <c r="S40" s="2">
        <f>'Planning Roma'!Q45</f>
        <v>0</v>
      </c>
      <c r="T40" s="2" t="str">
        <f>'Planning Roma'!V45</f>
        <v xml:space="preserve">17C  da 215C  da 2C  da </v>
      </c>
      <c r="U40" s="2">
        <f>'Planning Roma'!W45</f>
        <v>0</v>
      </c>
      <c r="V40" s="2">
        <f>'Planning Roma'!X45</f>
        <v>0</v>
      </c>
      <c r="W40" s="2">
        <f>'Planning Roma'!Y45</f>
        <v>0</v>
      </c>
      <c r="X40" s="2">
        <f>'Planning Roma'!Z45</f>
        <v>0</v>
      </c>
      <c r="Y40" s="2">
        <f>'Planning Roma'!AA45</f>
        <v>0</v>
      </c>
      <c r="Z40" s="2">
        <f>'Planning Roma'!AB45</f>
        <v>0</v>
      </c>
      <c r="AA40" s="6">
        <v>1805282</v>
      </c>
      <c r="AB40" s="2">
        <f>'Planning Roma'!AE45</f>
        <v>0</v>
      </c>
      <c r="AC40" s="2">
        <f>'Planning Roma'!AF45</f>
        <v>0</v>
      </c>
      <c r="AI40" s="3">
        <f t="shared" si="0"/>
        <v>4194.26</v>
      </c>
    </row>
    <row r="41" spans="1:35" ht="14.25" customHeight="1" thickBot="1" x14ac:dyDescent="0.3">
      <c r="A41" s="2" t="str">
        <f>'Planning Roma'!$D$1</f>
        <v>RM</v>
      </c>
      <c r="B41" s="2" t="str">
        <f>'Planning Roma'!$D$3</f>
        <v xml:space="preserve"> </v>
      </c>
      <c r="C41" s="2">
        <f>'Planning Roma'!$A$7</f>
        <v>1</v>
      </c>
      <c r="E41" s="2" t="s">
        <v>108</v>
      </c>
      <c r="F41" s="2" t="str">
        <f>'Planning Roma'!C46</f>
        <v>ZARA SHOES</v>
      </c>
      <c r="G41" s="2">
        <f>'Planning Roma'!B46</f>
        <v>3680</v>
      </c>
      <c r="H41" s="3">
        <f>'Planning Roma'!J46</f>
        <v>0</v>
      </c>
      <c r="I41" s="3">
        <f>'Planning Roma'!K46</f>
        <v>0</v>
      </c>
      <c r="J41" s="3">
        <f>'Planning Roma'!G46</f>
        <v>0</v>
      </c>
      <c r="M41" s="3">
        <f>'Planning Roma'!I46</f>
        <v>0</v>
      </c>
      <c r="N41" s="3">
        <f>'Planning Roma'!N46</f>
        <v>3.11</v>
      </c>
      <c r="O41" s="3">
        <f>'Planning Roma'!O46</f>
        <v>357</v>
      </c>
      <c r="P41" s="3">
        <f>'Planning Roma'!M46</f>
        <v>33</v>
      </c>
      <c r="Q41" s="2">
        <f>'Planning Roma'!R46</f>
        <v>0</v>
      </c>
      <c r="R41" s="2">
        <f>'Planning Roma'!S46</f>
        <v>0</v>
      </c>
      <c r="S41" s="2">
        <f>'Planning Roma'!Q46</f>
        <v>0</v>
      </c>
      <c r="T41" s="2" t="str">
        <f>'Planning Roma'!V46</f>
        <v xml:space="preserve">17C  da 215C  da 2C  da </v>
      </c>
      <c r="U41" s="2">
        <f>'Planning Roma'!W46</f>
        <v>0</v>
      </c>
      <c r="V41" s="2">
        <f>'Planning Roma'!X46</f>
        <v>0</v>
      </c>
      <c r="W41" s="2">
        <f>'Planning Roma'!Y46</f>
        <v>0</v>
      </c>
      <c r="X41" s="2">
        <f>'Planning Roma'!Z46</f>
        <v>0</v>
      </c>
      <c r="Y41" s="2">
        <f>'Planning Roma'!AA46</f>
        <v>0</v>
      </c>
      <c r="Z41" s="2">
        <f>'Planning Roma'!AB46</f>
        <v>0</v>
      </c>
      <c r="AA41" s="6">
        <v>1805282</v>
      </c>
      <c r="AB41" s="2">
        <f>'Planning Roma'!AE46</f>
        <v>0</v>
      </c>
      <c r="AC41" s="2">
        <f>'Planning Roma'!AF46</f>
        <v>0</v>
      </c>
      <c r="AI41" s="3">
        <f t="shared" si="0"/>
        <v>393.11</v>
      </c>
    </row>
    <row r="42" spans="1:35" ht="14.25" customHeight="1" thickBot="1" x14ac:dyDescent="0.3">
      <c r="A42" s="2" t="str">
        <f>'Planning Roma'!$D$1</f>
        <v>RM</v>
      </c>
      <c r="B42" s="2" t="str">
        <f>'Planning Roma'!$D$3</f>
        <v xml:space="preserve"> </v>
      </c>
      <c r="C42" s="2">
        <f>'Planning Roma'!$A$7</f>
        <v>1</v>
      </c>
      <c r="E42" s="2" t="s">
        <v>108</v>
      </c>
      <c r="F42" s="136" t="str">
        <f>'Planning Roma'!C47</f>
        <v>ZARA</v>
      </c>
      <c r="G42" s="2">
        <f>'Planning Roma'!B47</f>
        <v>3680</v>
      </c>
      <c r="H42" s="3">
        <f>'Planning Roma'!J47</f>
        <v>0</v>
      </c>
      <c r="I42" s="3">
        <f>'Planning Roma'!K47</f>
        <v>0</v>
      </c>
      <c r="J42" s="3">
        <f>'Planning Roma'!G47</f>
        <v>0</v>
      </c>
      <c r="M42" s="3">
        <f>'Planning Roma'!I47</f>
        <v>0</v>
      </c>
      <c r="N42" s="3">
        <f>'Planning Roma'!N47</f>
        <v>0</v>
      </c>
      <c r="O42" s="3">
        <f>'Planning Roma'!O47</f>
        <v>0</v>
      </c>
      <c r="P42" s="3">
        <f>'Planning Roma'!M47</f>
        <v>0</v>
      </c>
      <c r="Q42" s="2">
        <f>'Planning Roma'!R47</f>
        <v>0</v>
      </c>
      <c r="R42" s="2">
        <f>'Planning Roma'!S47</f>
        <v>0</v>
      </c>
      <c r="S42" s="2">
        <f>'Planning Roma'!Q47</f>
        <v>0</v>
      </c>
      <c r="T42" s="2" t="str">
        <f>'Planning Roma'!V47</f>
        <v xml:space="preserve">17C  da 215C  da 2C  da </v>
      </c>
      <c r="U42" s="2">
        <f>'Planning Roma'!W47</f>
        <v>0</v>
      </c>
      <c r="V42" s="2">
        <f>'Planning Roma'!X47</f>
        <v>0</v>
      </c>
      <c r="W42" s="2">
        <f>'Planning Roma'!Y47</f>
        <v>0</v>
      </c>
      <c r="X42" s="2">
        <f>'Planning Roma'!Z47</f>
        <v>0</v>
      </c>
      <c r="Y42" s="2">
        <f>'Planning Roma'!AA47</f>
        <v>0</v>
      </c>
      <c r="Z42" s="2">
        <f>'Planning Roma'!AB47</f>
        <v>0</v>
      </c>
      <c r="AA42" s="6">
        <v>1805282</v>
      </c>
      <c r="AB42" s="2">
        <f>'Planning Roma'!AE47</f>
        <v>0</v>
      </c>
      <c r="AC42" s="2">
        <f>'Planning Roma'!AF47</f>
        <v>0</v>
      </c>
      <c r="AI42" s="3">
        <f t="shared" si="0"/>
        <v>0</v>
      </c>
    </row>
    <row r="43" spans="1:35" ht="14.25" customHeight="1" thickBot="1" x14ac:dyDescent="0.3">
      <c r="A43" s="2" t="str">
        <f>'Planning Roma'!$D$1</f>
        <v>RM</v>
      </c>
      <c r="B43" s="2" t="str">
        <f>'Planning Roma'!$D$3</f>
        <v xml:space="preserve"> </v>
      </c>
      <c r="C43" s="2">
        <f>'Planning Roma'!$A$7</f>
        <v>1</v>
      </c>
      <c r="E43" s="2" t="s">
        <v>108</v>
      </c>
      <c r="F43" s="2" t="str">
        <f>'Planning Roma'!C48</f>
        <v>ZARA</v>
      </c>
      <c r="G43" s="2" t="str">
        <f>'Planning Roma'!B48</f>
        <v>3680B</v>
      </c>
      <c r="H43" s="3">
        <f>'Planning Roma'!J48</f>
        <v>0</v>
      </c>
      <c r="I43" s="3">
        <f>'Planning Roma'!K48</f>
        <v>0</v>
      </c>
      <c r="J43" s="3">
        <f>'Planning Roma'!G48</f>
        <v>0</v>
      </c>
      <c r="M43" s="3">
        <f>'Planning Roma'!I48</f>
        <v>0</v>
      </c>
      <c r="N43" s="3">
        <f>'Planning Roma'!N48</f>
        <v>0</v>
      </c>
      <c r="O43" s="3">
        <f>'Planning Roma'!O48</f>
        <v>0</v>
      </c>
      <c r="P43" s="3">
        <f>'Planning Roma'!M48</f>
        <v>0</v>
      </c>
      <c r="Q43" s="2">
        <f>'Planning Roma'!R48</f>
        <v>0</v>
      </c>
      <c r="R43" s="2">
        <f>'Planning Roma'!S48</f>
        <v>0</v>
      </c>
      <c r="S43" s="2">
        <f>'Planning Roma'!Q48</f>
        <v>0</v>
      </c>
      <c r="T43" s="2" t="str">
        <f>'Planning Roma'!V48</f>
        <v/>
      </c>
      <c r="U43" s="2">
        <f>'Planning Roma'!W48</f>
        <v>0</v>
      </c>
      <c r="V43" s="2">
        <f>'Planning Roma'!X48</f>
        <v>0</v>
      </c>
      <c r="W43" s="2">
        <f>'Planning Roma'!Y48</f>
        <v>0</v>
      </c>
      <c r="X43" s="2">
        <f>'Planning Roma'!Z48</f>
        <v>0</v>
      </c>
      <c r="Y43" s="2">
        <f>'Planning Roma'!AA48</f>
        <v>0</v>
      </c>
      <c r="Z43" s="2">
        <f>'Planning Roma'!AB48</f>
        <v>0</v>
      </c>
      <c r="AA43" s="6">
        <v>1805282</v>
      </c>
      <c r="AB43" s="2">
        <f>'Planning Roma'!AE48</f>
        <v>0</v>
      </c>
      <c r="AC43" s="2">
        <f>'Planning Roma'!AF48</f>
        <v>0</v>
      </c>
      <c r="AI43" s="3">
        <f t="shared" si="0"/>
        <v>0</v>
      </c>
    </row>
    <row r="44" spans="1:35" ht="14.25" customHeight="1" thickBot="1" x14ac:dyDescent="0.3">
      <c r="A44" s="2" t="str">
        <f>'Planning Roma'!$D$1</f>
        <v>RM</v>
      </c>
      <c r="B44" s="2" t="str">
        <f>'Planning Roma'!$D$3</f>
        <v xml:space="preserve"> </v>
      </c>
      <c r="C44" s="2">
        <f>'Planning Roma'!$A$7</f>
        <v>1</v>
      </c>
      <c r="E44" s="2" t="s">
        <v>108</v>
      </c>
      <c r="F44" s="2" t="str">
        <f>'Planning Roma'!C49</f>
        <v xml:space="preserve">ZARA   </v>
      </c>
      <c r="G44" s="2">
        <f>'Planning Roma'!B49</f>
        <v>9226</v>
      </c>
      <c r="H44" s="3">
        <f>'Planning Roma'!J49</f>
        <v>32.86</v>
      </c>
      <c r="I44" s="3">
        <f>'Planning Roma'!K49</f>
        <v>4313</v>
      </c>
      <c r="J44" s="3">
        <f>'Planning Roma'!G49</f>
        <v>0</v>
      </c>
      <c r="M44" s="3">
        <f>'Planning Roma'!I49</f>
        <v>0</v>
      </c>
      <c r="N44" s="3">
        <f>'Planning Roma'!N49</f>
        <v>0</v>
      </c>
      <c r="O44" s="3">
        <f>'Planning Roma'!O49</f>
        <v>0</v>
      </c>
      <c r="P44" s="3">
        <f>'Planning Roma'!M49</f>
        <v>0</v>
      </c>
      <c r="Q44" s="2">
        <f>'Planning Roma'!R49</f>
        <v>0</v>
      </c>
      <c r="R44" s="2">
        <f>'Planning Roma'!S49</f>
        <v>0</v>
      </c>
      <c r="S44" s="2">
        <f>'Planning Roma'!Q49</f>
        <v>0</v>
      </c>
      <c r="T44" s="2" t="str">
        <f>'Planning Roma'!V49</f>
        <v/>
      </c>
      <c r="U44" s="2">
        <f>'Planning Roma'!W49</f>
        <v>0</v>
      </c>
      <c r="V44" s="2">
        <f>'Planning Roma'!X49</f>
        <v>0</v>
      </c>
      <c r="W44" s="2">
        <f>'Planning Roma'!Y49</f>
        <v>0</v>
      </c>
      <c r="X44" s="2">
        <f>'Planning Roma'!Z49</f>
        <v>0</v>
      </c>
      <c r="Y44" s="2">
        <f>'Planning Roma'!AA49</f>
        <v>0</v>
      </c>
      <c r="Z44" s="2">
        <f>'Planning Roma'!AB49</f>
        <v>0</v>
      </c>
      <c r="AA44" s="6">
        <v>1805282</v>
      </c>
      <c r="AB44" s="2">
        <f>'Planning Roma'!AE49</f>
        <v>0</v>
      </c>
      <c r="AC44" s="2">
        <f>'Planning Roma'!AF49</f>
        <v>0</v>
      </c>
      <c r="AI44" s="3">
        <f t="shared" si="0"/>
        <v>4345.8599999999997</v>
      </c>
    </row>
    <row r="45" spans="1:35" ht="14.25" customHeight="1" thickBot="1" x14ac:dyDescent="0.3">
      <c r="A45" s="2" t="str">
        <f>'Planning Roma'!$D$1</f>
        <v>RM</v>
      </c>
      <c r="B45" s="2" t="str">
        <f>'Planning Roma'!$D$3</f>
        <v xml:space="preserve"> </v>
      </c>
      <c r="C45" s="2">
        <f>'Planning Roma'!$A$7</f>
        <v>1</v>
      </c>
      <c r="E45" s="2" t="s">
        <v>108</v>
      </c>
      <c r="F45" s="2" t="str">
        <f>'Planning Roma'!C50</f>
        <v>ZARA SHOES</v>
      </c>
      <c r="G45" s="2">
        <f>'Planning Roma'!B50</f>
        <v>9226</v>
      </c>
      <c r="H45" s="3">
        <f>'Planning Roma'!J50</f>
        <v>0</v>
      </c>
      <c r="I45" s="3">
        <f>'Planning Roma'!K50</f>
        <v>0</v>
      </c>
      <c r="J45" s="3">
        <f>'Planning Roma'!G50</f>
        <v>0</v>
      </c>
      <c r="M45" s="3">
        <f>'Planning Roma'!I50</f>
        <v>0</v>
      </c>
      <c r="N45" s="3">
        <f>'Planning Roma'!N50</f>
        <v>5.2</v>
      </c>
      <c r="O45" s="3">
        <f>'Planning Roma'!O50</f>
        <v>608</v>
      </c>
      <c r="P45" s="3">
        <f>'Planning Roma'!M50</f>
        <v>0</v>
      </c>
      <c r="Q45" s="2">
        <f>'Planning Roma'!R50</f>
        <v>0</v>
      </c>
      <c r="R45" s="2">
        <f>'Planning Roma'!S50</f>
        <v>0</v>
      </c>
      <c r="S45" s="2">
        <f>'Planning Roma'!Q50</f>
        <v>0</v>
      </c>
      <c r="T45" s="2" t="str">
        <f>'Planning Roma'!V50</f>
        <v/>
      </c>
      <c r="U45" s="2">
        <f>'Planning Roma'!W50</f>
        <v>0</v>
      </c>
      <c r="V45" s="2">
        <f>'Planning Roma'!X50</f>
        <v>0</v>
      </c>
      <c r="W45" s="2">
        <f>'Planning Roma'!Y50</f>
        <v>0</v>
      </c>
      <c r="X45" s="2">
        <f>'Planning Roma'!Z50</f>
        <v>0</v>
      </c>
      <c r="Y45" s="2">
        <f>'Planning Roma'!AA50</f>
        <v>0</v>
      </c>
      <c r="Z45" s="2">
        <f>'Planning Roma'!AB50</f>
        <v>0</v>
      </c>
      <c r="AA45" s="6">
        <v>1805282</v>
      </c>
      <c r="AB45" s="2">
        <f>'Planning Roma'!AE50</f>
        <v>0</v>
      </c>
      <c r="AC45" s="2">
        <f>'Planning Roma'!AF50</f>
        <v>0</v>
      </c>
      <c r="AI45" s="3">
        <f t="shared" si="0"/>
        <v>613.20000000000005</v>
      </c>
    </row>
    <row r="46" spans="1:35" ht="14.25" customHeight="1" thickBot="1" x14ac:dyDescent="0.3">
      <c r="A46" s="2" t="str">
        <f>'Planning Roma'!$D$1</f>
        <v>RM</v>
      </c>
      <c r="B46" s="2" t="str">
        <f>'Planning Roma'!$D$3</f>
        <v xml:space="preserve"> </v>
      </c>
      <c r="C46" s="2">
        <f>'Planning Roma'!$A$7</f>
        <v>1</v>
      </c>
      <c r="E46" s="2" t="s">
        <v>108</v>
      </c>
      <c r="F46" s="136" t="str">
        <f>'Planning Roma'!C51</f>
        <v>ZARA</v>
      </c>
      <c r="G46" s="2">
        <f>'Planning Roma'!B51</f>
        <v>9226</v>
      </c>
      <c r="H46" s="3">
        <f>'Planning Roma'!J51</f>
        <v>0</v>
      </c>
      <c r="I46" s="3">
        <f>'Planning Roma'!K51</f>
        <v>0</v>
      </c>
      <c r="J46" s="3">
        <f>'Planning Roma'!G51</f>
        <v>0</v>
      </c>
      <c r="M46" s="3">
        <f>'Planning Roma'!I51</f>
        <v>0</v>
      </c>
      <c r="N46" s="3">
        <f>'Planning Roma'!N51</f>
        <v>0</v>
      </c>
      <c r="O46" s="3">
        <f>'Planning Roma'!O51</f>
        <v>0</v>
      </c>
      <c r="P46" s="3">
        <f>'Planning Roma'!M51</f>
        <v>0</v>
      </c>
      <c r="Q46" s="2">
        <f>'Planning Roma'!R51</f>
        <v>0</v>
      </c>
      <c r="R46" s="2">
        <f>'Planning Roma'!S51</f>
        <v>0</v>
      </c>
      <c r="S46" s="2">
        <f>'Planning Roma'!Q51</f>
        <v>0</v>
      </c>
      <c r="T46" s="2" t="str">
        <f>'Planning Roma'!V51</f>
        <v/>
      </c>
      <c r="U46" s="2">
        <f>'Planning Roma'!W51</f>
        <v>0</v>
      </c>
      <c r="V46" s="2">
        <f>'Planning Roma'!X51</f>
        <v>0</v>
      </c>
      <c r="W46" s="2">
        <f>'Planning Roma'!Y51</f>
        <v>0</v>
      </c>
      <c r="X46" s="2">
        <f>'Planning Roma'!Z51</f>
        <v>0</v>
      </c>
      <c r="Y46" s="2">
        <f>'Planning Roma'!AA51</f>
        <v>0</v>
      </c>
      <c r="Z46" s="2">
        <f>'Planning Roma'!AB51</f>
        <v>0</v>
      </c>
      <c r="AA46" s="6">
        <v>1805282</v>
      </c>
      <c r="AB46" s="2">
        <f>'Planning Roma'!AE51</f>
        <v>0</v>
      </c>
      <c r="AC46" s="2">
        <f>'Planning Roma'!AF51</f>
        <v>0</v>
      </c>
      <c r="AI46" s="3">
        <f t="shared" si="0"/>
        <v>0</v>
      </c>
    </row>
    <row r="47" spans="1:35" ht="14.25" customHeight="1" thickBot="1" x14ac:dyDescent="0.3">
      <c r="A47" s="2" t="str">
        <f>'Planning Roma'!$D$1</f>
        <v>RM</v>
      </c>
      <c r="B47" s="2" t="str">
        <f>'Planning Roma'!$D$3</f>
        <v xml:space="preserve"> </v>
      </c>
      <c r="C47" s="2">
        <f>'Planning Roma'!$A$7</f>
        <v>1</v>
      </c>
      <c r="E47" s="2" t="s">
        <v>108</v>
      </c>
      <c r="F47" s="2" t="str">
        <f>'Planning Roma'!C52</f>
        <v xml:space="preserve">ZARA   </v>
      </c>
      <c r="G47" s="2">
        <f>'Planning Roma'!B52</f>
        <v>12059</v>
      </c>
      <c r="H47" s="3">
        <f>'Planning Roma'!J52</f>
        <v>27.84</v>
      </c>
      <c r="I47" s="3">
        <f>'Planning Roma'!K52</f>
        <v>4138</v>
      </c>
      <c r="J47" s="3">
        <f>'Planning Roma'!G52</f>
        <v>226</v>
      </c>
      <c r="M47" s="3">
        <f>'Planning Roma'!I52</f>
        <v>15</v>
      </c>
      <c r="N47" s="3">
        <f>'Planning Roma'!N52</f>
        <v>0</v>
      </c>
      <c r="O47" s="3">
        <f>'Planning Roma'!O52</f>
        <v>0</v>
      </c>
      <c r="P47" s="3">
        <f>'Planning Roma'!M52</f>
        <v>0</v>
      </c>
      <c r="Q47" s="2">
        <f>'Planning Roma'!R52</f>
        <v>0</v>
      </c>
      <c r="R47" s="2">
        <f>'Planning Roma'!S52</f>
        <v>0</v>
      </c>
      <c r="S47" s="2">
        <f>'Planning Roma'!Q52</f>
        <v>0</v>
      </c>
      <c r="T47" s="2" t="str">
        <f>'Planning Roma'!V52</f>
        <v/>
      </c>
      <c r="U47" s="2">
        <f>'Planning Roma'!W52</f>
        <v>0</v>
      </c>
      <c r="V47" s="2">
        <f>'Planning Roma'!X52</f>
        <v>0</v>
      </c>
      <c r="W47" s="2">
        <f>'Planning Roma'!Y52</f>
        <v>0</v>
      </c>
      <c r="X47" s="2">
        <f>'Planning Roma'!Z52</f>
        <v>0</v>
      </c>
      <c r="Y47" s="2">
        <f>'Planning Roma'!AA52</f>
        <v>0</v>
      </c>
      <c r="Z47" s="2">
        <f>'Planning Roma'!AB52</f>
        <v>0</v>
      </c>
      <c r="AA47" s="6">
        <v>1805282</v>
      </c>
      <c r="AB47" s="2">
        <f>'Planning Roma'!AE52</f>
        <v>0</v>
      </c>
      <c r="AC47" s="2">
        <f>'Planning Roma'!AF52</f>
        <v>0</v>
      </c>
      <c r="AI47" s="3">
        <f t="shared" si="0"/>
        <v>4406.84</v>
      </c>
    </row>
    <row r="48" spans="1:35" ht="14.25" customHeight="1" thickBot="1" x14ac:dyDescent="0.3">
      <c r="A48" s="2" t="str">
        <f>'Planning Roma'!$D$1</f>
        <v>RM</v>
      </c>
      <c r="B48" s="2" t="str">
        <f>'Planning Roma'!$D$3</f>
        <v xml:space="preserve"> </v>
      </c>
      <c r="C48" s="2">
        <f>'Planning Roma'!$A$7</f>
        <v>1</v>
      </c>
      <c r="E48" s="2" t="s">
        <v>108</v>
      </c>
      <c r="F48" s="2" t="str">
        <f>'Planning Roma'!C53</f>
        <v>ZARA SHOES</v>
      </c>
      <c r="G48" s="2">
        <f>'Planning Roma'!B53</f>
        <v>12059</v>
      </c>
      <c r="H48" s="3">
        <f>'Planning Roma'!J53</f>
        <v>0</v>
      </c>
      <c r="I48" s="3">
        <f>'Planning Roma'!K53</f>
        <v>0</v>
      </c>
      <c r="J48" s="3">
        <f>'Planning Roma'!G53</f>
        <v>0</v>
      </c>
      <c r="M48" s="3">
        <f>'Planning Roma'!I53</f>
        <v>0</v>
      </c>
      <c r="N48" s="3">
        <f>'Planning Roma'!N53</f>
        <v>1.68</v>
      </c>
      <c r="O48" s="3">
        <f>'Planning Roma'!O53</f>
        <v>172</v>
      </c>
      <c r="P48" s="3">
        <f>'Planning Roma'!M53</f>
        <v>18</v>
      </c>
      <c r="Q48" s="2">
        <f>'Planning Roma'!R53</f>
        <v>0</v>
      </c>
      <c r="R48" s="2">
        <f>'Planning Roma'!S53</f>
        <v>0</v>
      </c>
      <c r="S48" s="2">
        <f>'Planning Roma'!Q53</f>
        <v>0</v>
      </c>
      <c r="T48" s="2" t="str">
        <f>'Planning Roma'!V53</f>
        <v/>
      </c>
      <c r="U48" s="2">
        <f>'Planning Roma'!W53</f>
        <v>0</v>
      </c>
      <c r="V48" s="2">
        <f>'Planning Roma'!X53</f>
        <v>0</v>
      </c>
      <c r="W48" s="2">
        <f>'Planning Roma'!Y53</f>
        <v>0</v>
      </c>
      <c r="X48" s="2">
        <f>'Planning Roma'!Z53</f>
        <v>0</v>
      </c>
      <c r="Y48" s="2">
        <f>'Planning Roma'!AA53</f>
        <v>0</v>
      </c>
      <c r="Z48" s="2">
        <f>'Planning Roma'!AB53</f>
        <v>0</v>
      </c>
      <c r="AA48" s="6">
        <v>1805282</v>
      </c>
      <c r="AB48" s="2">
        <f>'Planning Roma'!AE53</f>
        <v>0</v>
      </c>
      <c r="AC48" s="2">
        <f>'Planning Roma'!AF53</f>
        <v>0</v>
      </c>
      <c r="AI48" s="3">
        <f t="shared" si="0"/>
        <v>191.68</v>
      </c>
    </row>
    <row r="49" spans="1:35" ht="14.25" customHeight="1" thickBot="1" x14ac:dyDescent="0.3">
      <c r="A49" s="2" t="str">
        <f>'Planning Roma'!$D$1</f>
        <v>RM</v>
      </c>
      <c r="B49" s="2" t="str">
        <f>'Planning Roma'!$D$3</f>
        <v xml:space="preserve"> </v>
      </c>
      <c r="C49" s="2">
        <f>'Planning Roma'!$A$7</f>
        <v>1</v>
      </c>
      <c r="E49" s="2" t="s">
        <v>108</v>
      </c>
      <c r="F49" s="2" t="str">
        <f>'Planning Roma'!C54</f>
        <v xml:space="preserve">ZARA   </v>
      </c>
      <c r="G49" s="2">
        <f>'Planning Roma'!B54</f>
        <v>3591</v>
      </c>
      <c r="H49" s="3">
        <f>'Planning Roma'!J54</f>
        <v>32.909999999999997</v>
      </c>
      <c r="I49" s="3">
        <f>'Planning Roma'!K54</f>
        <v>5050</v>
      </c>
      <c r="J49" s="3">
        <f>'Planning Roma'!G54</f>
        <v>0</v>
      </c>
      <c r="M49" s="3">
        <f>'Planning Roma'!I54</f>
        <v>0</v>
      </c>
      <c r="N49" s="3">
        <f>'Planning Roma'!N54</f>
        <v>0</v>
      </c>
      <c r="O49" s="3">
        <f>'Planning Roma'!O54</f>
        <v>0</v>
      </c>
      <c r="P49" s="3">
        <f>'Planning Roma'!M54</f>
        <v>0</v>
      </c>
      <c r="Q49" s="2">
        <f>'Planning Roma'!R54</f>
        <v>0</v>
      </c>
      <c r="R49" s="2">
        <f>'Planning Roma'!S54</f>
        <v>0</v>
      </c>
      <c r="S49" s="2">
        <f>'Planning Roma'!Q54</f>
        <v>0</v>
      </c>
      <c r="T49" s="2" t="str">
        <f>'Planning Roma'!V54</f>
        <v xml:space="preserve">17C  da 280C  da </v>
      </c>
      <c r="U49" s="2">
        <f>'Planning Roma'!W54</f>
        <v>0</v>
      </c>
      <c r="V49" s="2">
        <f>'Planning Roma'!X54</f>
        <v>0</v>
      </c>
      <c r="W49" s="2">
        <f>'Planning Roma'!Y54</f>
        <v>0</v>
      </c>
      <c r="X49" s="2">
        <f>'Planning Roma'!Z54</f>
        <v>0</v>
      </c>
      <c r="Y49" s="2">
        <f>'Planning Roma'!AA54</f>
        <v>0</v>
      </c>
      <c r="Z49" s="2">
        <f>'Planning Roma'!AB54</f>
        <v>0</v>
      </c>
      <c r="AA49" s="6">
        <v>1805282</v>
      </c>
      <c r="AB49" s="2">
        <f>'Planning Roma'!AE54</f>
        <v>0</v>
      </c>
      <c r="AC49" s="2">
        <f>'Planning Roma'!AF54</f>
        <v>0</v>
      </c>
      <c r="AI49" s="3">
        <f t="shared" si="0"/>
        <v>5082.91</v>
      </c>
    </row>
    <row r="50" spans="1:35" ht="14.25" customHeight="1" thickBot="1" x14ac:dyDescent="0.3">
      <c r="A50" s="2" t="str">
        <f>'Planning Roma'!$D$1</f>
        <v>RM</v>
      </c>
      <c r="B50" s="2" t="str">
        <f>'Planning Roma'!$D$3</f>
        <v xml:space="preserve"> </v>
      </c>
      <c r="C50" s="2">
        <f>'Planning Roma'!$A$7</f>
        <v>1</v>
      </c>
      <c r="E50" s="2" t="s">
        <v>108</v>
      </c>
      <c r="F50" s="2" t="str">
        <f>'Planning Roma'!C55</f>
        <v>ZARA SHOES</v>
      </c>
      <c r="G50" s="2">
        <f>'Planning Roma'!B55</f>
        <v>3591</v>
      </c>
      <c r="H50" s="3">
        <f>'Planning Roma'!J55</f>
        <v>0</v>
      </c>
      <c r="I50" s="3">
        <f>'Planning Roma'!K55</f>
        <v>0</v>
      </c>
      <c r="J50" s="3">
        <f>'Planning Roma'!G55</f>
        <v>0</v>
      </c>
      <c r="M50" s="3">
        <f>'Planning Roma'!I55</f>
        <v>0</v>
      </c>
      <c r="N50" s="3">
        <f>'Planning Roma'!N55</f>
        <v>2.72</v>
      </c>
      <c r="O50" s="3">
        <f>'Planning Roma'!O55</f>
        <v>305</v>
      </c>
      <c r="P50" s="3">
        <f>'Planning Roma'!M55</f>
        <v>0</v>
      </c>
      <c r="Q50" s="2">
        <f>'Planning Roma'!R55</f>
        <v>0</v>
      </c>
      <c r="R50" s="2">
        <f>'Planning Roma'!S55</f>
        <v>0</v>
      </c>
      <c r="S50" s="2">
        <f>'Planning Roma'!Q55</f>
        <v>0</v>
      </c>
      <c r="T50" s="2" t="str">
        <f>'Planning Roma'!V55</f>
        <v xml:space="preserve">17C  da 280C  da </v>
      </c>
      <c r="U50" s="2">
        <f>'Planning Roma'!W55</f>
        <v>0</v>
      </c>
      <c r="V50" s="2">
        <f>'Planning Roma'!X55</f>
        <v>0</v>
      </c>
      <c r="W50" s="2">
        <f>'Planning Roma'!Y55</f>
        <v>0</v>
      </c>
      <c r="X50" s="2">
        <f>'Planning Roma'!Z55</f>
        <v>0</v>
      </c>
      <c r="Y50" s="2">
        <f>'Planning Roma'!AA55</f>
        <v>0</v>
      </c>
      <c r="Z50" s="2">
        <f>'Planning Roma'!AB55</f>
        <v>0</v>
      </c>
      <c r="AA50" s="6">
        <v>1805282</v>
      </c>
      <c r="AB50" s="2">
        <f>'Planning Roma'!AE55</f>
        <v>0</v>
      </c>
      <c r="AC50" s="2">
        <f>'Planning Roma'!AF55</f>
        <v>0</v>
      </c>
      <c r="AI50" s="3">
        <f t="shared" si="0"/>
        <v>307.72000000000003</v>
      </c>
    </row>
    <row r="51" spans="1:35" ht="14.25" customHeight="1" thickBot="1" x14ac:dyDescent="0.3">
      <c r="A51" s="2" t="str">
        <f>'Planning Roma'!$D$1</f>
        <v>RM</v>
      </c>
      <c r="B51" s="2" t="str">
        <f>'Planning Roma'!$D$3</f>
        <v xml:space="preserve"> </v>
      </c>
      <c r="C51" s="2">
        <f>'Planning Roma'!$A$7</f>
        <v>1</v>
      </c>
      <c r="E51" s="2" t="s">
        <v>108</v>
      </c>
      <c r="F51" s="136" t="str">
        <f>'Planning Roma'!C56</f>
        <v xml:space="preserve">ZARA   </v>
      </c>
      <c r="G51" s="2">
        <f>'Planning Roma'!B56</f>
        <v>3591</v>
      </c>
      <c r="H51" s="3">
        <f>'Planning Roma'!J56</f>
        <v>0</v>
      </c>
      <c r="I51" s="3">
        <f>'Planning Roma'!K56</f>
        <v>0</v>
      </c>
      <c r="J51" s="3">
        <f>'Planning Roma'!G56</f>
        <v>0</v>
      </c>
      <c r="M51" s="3">
        <f>'Planning Roma'!I56</f>
        <v>0</v>
      </c>
      <c r="N51" s="3">
        <f>'Planning Roma'!N56</f>
        <v>0</v>
      </c>
      <c r="O51" s="3">
        <f>'Planning Roma'!O56</f>
        <v>0</v>
      </c>
      <c r="P51" s="3">
        <f>'Planning Roma'!M56</f>
        <v>0</v>
      </c>
      <c r="Q51" s="2">
        <f>'Planning Roma'!R56</f>
        <v>0</v>
      </c>
      <c r="R51" s="2">
        <f>'Planning Roma'!S56</f>
        <v>0</v>
      </c>
      <c r="S51" s="2">
        <f>'Planning Roma'!Q56</f>
        <v>0</v>
      </c>
      <c r="T51" s="2" t="str">
        <f>'Planning Roma'!V56</f>
        <v xml:space="preserve">17C  da 280C  da </v>
      </c>
      <c r="U51" s="2">
        <f>'Planning Roma'!W56</f>
        <v>0</v>
      </c>
      <c r="V51" s="2">
        <f>'Planning Roma'!X56</f>
        <v>0</v>
      </c>
      <c r="W51" s="2">
        <f>'Planning Roma'!Y56</f>
        <v>0</v>
      </c>
      <c r="X51" s="2">
        <f>'Planning Roma'!Z56</f>
        <v>0</v>
      </c>
      <c r="Y51" s="2">
        <f>'Planning Roma'!AA56</f>
        <v>0</v>
      </c>
      <c r="Z51" s="2">
        <f>'Planning Roma'!AB56</f>
        <v>0</v>
      </c>
      <c r="AA51" s="6">
        <v>1805282</v>
      </c>
      <c r="AB51" s="2">
        <f>'Planning Roma'!AE56</f>
        <v>0</v>
      </c>
      <c r="AC51" s="2">
        <f>'Planning Roma'!AF56</f>
        <v>0</v>
      </c>
      <c r="AI51" s="3">
        <f t="shared" ref="AI51" si="3">SUM(H51:Z51)</f>
        <v>0</v>
      </c>
    </row>
    <row r="52" spans="1:35" ht="14.25" customHeight="1" thickBot="1" x14ac:dyDescent="0.3">
      <c r="A52" s="2" t="str">
        <f>'Planning Roma'!$D$1</f>
        <v>RM</v>
      </c>
      <c r="B52" s="2" t="str">
        <f>'Planning Roma'!$D$3</f>
        <v xml:space="preserve"> </v>
      </c>
      <c r="C52" s="2">
        <f>'Planning Roma'!$A$7</f>
        <v>1</v>
      </c>
      <c r="E52" s="2" t="s">
        <v>108</v>
      </c>
      <c r="F52" s="2" t="str">
        <f>'Planning Roma'!C57</f>
        <v xml:space="preserve">ZARA   </v>
      </c>
      <c r="G52" s="2">
        <f>'Planning Roma'!B57</f>
        <v>16723</v>
      </c>
      <c r="H52" s="3">
        <f>'Planning Roma'!J57</f>
        <v>49.49</v>
      </c>
      <c r="I52" s="3">
        <f>'Planning Roma'!K57</f>
        <v>7126</v>
      </c>
      <c r="J52" s="3">
        <f>'Planning Roma'!G57</f>
        <v>400</v>
      </c>
      <c r="M52" s="3">
        <f>'Planning Roma'!I57</f>
        <v>15</v>
      </c>
      <c r="N52" s="3">
        <f>'Planning Roma'!N57</f>
        <v>0</v>
      </c>
      <c r="O52" s="3">
        <f>'Planning Roma'!O57</f>
        <v>0</v>
      </c>
      <c r="P52" s="3">
        <f>'Planning Roma'!M57</f>
        <v>0</v>
      </c>
      <c r="Q52" s="2">
        <f>'Planning Roma'!R57</f>
        <v>0</v>
      </c>
      <c r="R52" s="2">
        <f>'Planning Roma'!S57</f>
        <v>0</v>
      </c>
      <c r="S52" s="2">
        <f>'Planning Roma'!Q57</f>
        <v>0</v>
      </c>
      <c r="T52" s="2" t="str">
        <f>'Planning Roma'!V57</f>
        <v/>
      </c>
      <c r="U52" s="2">
        <f>'Planning Roma'!W57</f>
        <v>0</v>
      </c>
      <c r="V52" s="2">
        <f>'Planning Roma'!X57</f>
        <v>0</v>
      </c>
      <c r="W52" s="2">
        <f>'Planning Roma'!Y57</f>
        <v>0</v>
      </c>
      <c r="X52" s="2">
        <f>'Planning Roma'!Z57</f>
        <v>0</v>
      </c>
      <c r="Y52" s="2">
        <f>'Planning Roma'!AA57</f>
        <v>0</v>
      </c>
      <c r="Z52" s="2">
        <f>'Planning Roma'!AB57</f>
        <v>0</v>
      </c>
      <c r="AA52" s="6">
        <v>1805282</v>
      </c>
      <c r="AB52" s="2">
        <f>'Planning Roma'!AE57</f>
        <v>0</v>
      </c>
      <c r="AC52" s="2">
        <f>'Planning Roma'!AF57</f>
        <v>0</v>
      </c>
      <c r="AI52" s="3">
        <f t="shared" si="0"/>
        <v>7590.49</v>
      </c>
    </row>
    <row r="53" spans="1:35" ht="14.25" customHeight="1" thickBot="1" x14ac:dyDescent="0.3">
      <c r="A53" s="2" t="str">
        <f>'Planning Roma'!$D$1</f>
        <v>RM</v>
      </c>
      <c r="B53" s="2" t="str">
        <f>'Planning Roma'!$D$3</f>
        <v xml:space="preserve"> </v>
      </c>
      <c r="C53" s="2">
        <f>'Planning Roma'!$A$7</f>
        <v>1</v>
      </c>
      <c r="E53" s="2" t="s">
        <v>108</v>
      </c>
      <c r="F53" s="2" t="str">
        <f>'Planning Roma'!C58</f>
        <v>ZARA SHOES</v>
      </c>
      <c r="G53" s="2">
        <f>'Planning Roma'!B58</f>
        <v>16723</v>
      </c>
      <c r="H53" s="3">
        <f>'Planning Roma'!J58</f>
        <v>0</v>
      </c>
      <c r="I53" s="3">
        <f>'Planning Roma'!K58</f>
        <v>0</v>
      </c>
      <c r="J53" s="3">
        <f>'Planning Roma'!G58</f>
        <v>0</v>
      </c>
      <c r="M53" s="3">
        <f>'Planning Roma'!I58</f>
        <v>0</v>
      </c>
      <c r="N53" s="3">
        <f>'Planning Roma'!N58</f>
        <v>2.72</v>
      </c>
      <c r="O53" s="3">
        <f>'Planning Roma'!O58</f>
        <v>306</v>
      </c>
      <c r="P53" s="3">
        <f>'Planning Roma'!M58</f>
        <v>33</v>
      </c>
      <c r="Q53" s="2">
        <f>'Planning Roma'!R58</f>
        <v>0</v>
      </c>
      <c r="R53" s="2">
        <f>'Planning Roma'!S58</f>
        <v>0</v>
      </c>
      <c r="S53" s="2">
        <f>'Planning Roma'!Q58</f>
        <v>0</v>
      </c>
      <c r="T53" s="2" t="str">
        <f>'Planning Roma'!V58</f>
        <v/>
      </c>
      <c r="U53" s="2">
        <f>'Planning Roma'!W58</f>
        <v>0</v>
      </c>
      <c r="V53" s="2">
        <f>'Planning Roma'!X58</f>
        <v>0</v>
      </c>
      <c r="W53" s="2">
        <f>'Planning Roma'!Y58</f>
        <v>0</v>
      </c>
      <c r="X53" s="2">
        <f>'Planning Roma'!Z58</f>
        <v>0</v>
      </c>
      <c r="Y53" s="2">
        <f>'Planning Roma'!AA58</f>
        <v>0</v>
      </c>
      <c r="Z53" s="2">
        <f>'Planning Roma'!AB58</f>
        <v>0</v>
      </c>
      <c r="AA53" s="6">
        <v>1805282</v>
      </c>
      <c r="AB53" s="2">
        <f>'Planning Roma'!AE58</f>
        <v>0</v>
      </c>
      <c r="AC53" s="2">
        <f>'Planning Roma'!AF58</f>
        <v>0</v>
      </c>
      <c r="AI53" s="3">
        <f t="shared" si="0"/>
        <v>341.72</v>
      </c>
    </row>
    <row r="54" spans="1:35" ht="14.25" customHeight="1" thickBot="1" x14ac:dyDescent="0.3">
      <c r="A54" s="2" t="str">
        <f>'Planning Roma'!$D$1</f>
        <v>RM</v>
      </c>
      <c r="B54" s="2" t="str">
        <f>'Planning Roma'!$D$3</f>
        <v xml:space="preserve"> </v>
      </c>
      <c r="C54" s="2">
        <f>'Planning Roma'!$A$7</f>
        <v>1</v>
      </c>
      <c r="E54" s="2" t="s">
        <v>108</v>
      </c>
      <c r="F54" s="2" t="str">
        <f>'Planning Roma'!C59</f>
        <v>ZARA</v>
      </c>
      <c r="G54" s="2">
        <f>'Planning Roma'!B59</f>
        <v>3503</v>
      </c>
      <c r="H54" s="3">
        <f>'Planning Roma'!J59</f>
        <v>40.94</v>
      </c>
      <c r="I54" s="3">
        <f>'Planning Roma'!K59</f>
        <v>5690</v>
      </c>
      <c r="J54" s="3">
        <f>'Planning Roma'!G59</f>
        <v>338</v>
      </c>
      <c r="M54" s="3">
        <f>'Planning Roma'!I59</f>
        <v>6</v>
      </c>
      <c r="N54" s="3">
        <f>'Planning Roma'!N59</f>
        <v>0</v>
      </c>
      <c r="O54" s="3">
        <f>'Planning Roma'!O59</f>
        <v>0</v>
      </c>
      <c r="P54" s="3">
        <f>'Planning Roma'!M59</f>
        <v>0</v>
      </c>
      <c r="Q54" s="2">
        <f>'Planning Roma'!R59</f>
        <v>0</v>
      </c>
      <c r="R54" s="2">
        <f>'Planning Roma'!S59</f>
        <v>0</v>
      </c>
      <c r="S54" s="2">
        <f>'Planning Roma'!Q59</f>
        <v>0</v>
      </c>
      <c r="T54" s="2" t="str">
        <f>'Planning Roma'!V59</f>
        <v/>
      </c>
      <c r="U54" s="2">
        <f>'Planning Roma'!W59</f>
        <v>0</v>
      </c>
      <c r="V54" s="2">
        <f>'Planning Roma'!X59</f>
        <v>0</v>
      </c>
      <c r="W54" s="2">
        <f>'Planning Roma'!Y59</f>
        <v>0</v>
      </c>
      <c r="X54" s="2">
        <f>'Planning Roma'!Z59</f>
        <v>0</v>
      </c>
      <c r="Y54" s="2">
        <f>'Planning Roma'!AA59</f>
        <v>0</v>
      </c>
      <c r="Z54" s="2">
        <f>'Planning Roma'!AB59</f>
        <v>0</v>
      </c>
      <c r="AA54" s="6">
        <v>1805282</v>
      </c>
      <c r="AB54" s="2">
        <f>'Planning Roma'!AE59</f>
        <v>0</v>
      </c>
      <c r="AC54" s="2">
        <f>'Planning Roma'!AF59</f>
        <v>0</v>
      </c>
      <c r="AI54" s="3">
        <f t="shared" si="0"/>
        <v>6074.94</v>
      </c>
    </row>
    <row r="55" spans="1:35" ht="14.25" customHeight="1" thickBot="1" x14ac:dyDescent="0.3">
      <c r="A55" s="2" t="str">
        <f>'Planning Roma'!$D$1</f>
        <v>RM</v>
      </c>
      <c r="B55" s="2" t="str">
        <f>'Planning Roma'!$D$3</f>
        <v xml:space="preserve"> </v>
      </c>
      <c r="C55" s="2">
        <f>'Planning Roma'!$A$7</f>
        <v>1</v>
      </c>
      <c r="E55" s="2" t="s">
        <v>108</v>
      </c>
      <c r="F55" s="2" t="str">
        <f>'Planning Roma'!C60</f>
        <v>ZARA SHOES</v>
      </c>
      <c r="G55" s="2">
        <f>'Planning Roma'!B60</f>
        <v>3503</v>
      </c>
      <c r="H55" s="3">
        <f>'Planning Roma'!J60</f>
        <v>0</v>
      </c>
      <c r="I55" s="3">
        <f>'Planning Roma'!K60</f>
        <v>0</v>
      </c>
      <c r="J55" s="3">
        <f>'Planning Roma'!G60</f>
        <v>0</v>
      </c>
      <c r="M55" s="3">
        <f>'Planning Roma'!I60</f>
        <v>0</v>
      </c>
      <c r="N55" s="3">
        <f>'Planning Roma'!N60</f>
        <v>2.27</v>
      </c>
      <c r="O55" s="3">
        <f>'Planning Roma'!O60</f>
        <v>275</v>
      </c>
      <c r="P55" s="3">
        <f>'Planning Roma'!M60</f>
        <v>25</v>
      </c>
      <c r="Q55" s="2">
        <f>'Planning Roma'!R60</f>
        <v>0</v>
      </c>
      <c r="R55" s="2">
        <f>'Planning Roma'!S60</f>
        <v>0</v>
      </c>
      <c r="S55" s="2">
        <f>'Planning Roma'!Q60</f>
        <v>0</v>
      </c>
      <c r="T55" s="2" t="str">
        <f>'Planning Roma'!V60</f>
        <v/>
      </c>
      <c r="U55" s="2">
        <f>'Planning Roma'!W60</f>
        <v>0</v>
      </c>
      <c r="V55" s="2">
        <f>'Planning Roma'!X60</f>
        <v>0</v>
      </c>
      <c r="W55" s="2">
        <f>'Planning Roma'!Y60</f>
        <v>0</v>
      </c>
      <c r="X55" s="2">
        <f>'Planning Roma'!Z60</f>
        <v>0</v>
      </c>
      <c r="Y55" s="2">
        <f>'Planning Roma'!AA60</f>
        <v>0</v>
      </c>
      <c r="Z55" s="2">
        <f>'Planning Roma'!AB60</f>
        <v>0</v>
      </c>
      <c r="AA55" s="6">
        <v>1805282</v>
      </c>
      <c r="AB55" s="2">
        <f>'Planning Roma'!AE60</f>
        <v>0</v>
      </c>
      <c r="AC55" s="2">
        <f>'Planning Roma'!AF60</f>
        <v>0</v>
      </c>
      <c r="AI55" s="3">
        <f t="shared" si="0"/>
        <v>302.27</v>
      </c>
    </row>
    <row r="56" spans="1:35" ht="14.25" customHeight="1" thickBot="1" x14ac:dyDescent="0.3">
      <c r="A56" s="2" t="str">
        <f>'Planning Roma'!$D$1</f>
        <v>RM</v>
      </c>
      <c r="B56" s="2" t="str">
        <f>'Planning Roma'!$D$3</f>
        <v xml:space="preserve"> </v>
      </c>
      <c r="C56" s="2">
        <f>'Planning Roma'!$A$7</f>
        <v>1</v>
      </c>
      <c r="E56" s="2" t="s">
        <v>108</v>
      </c>
      <c r="F56" s="2" t="str">
        <f>'Planning Roma'!C61</f>
        <v>ZARA</v>
      </c>
      <c r="G56" s="2" t="str">
        <f>'Planning Roma'!B61</f>
        <v>3503B</v>
      </c>
      <c r="H56" s="3">
        <f>'Planning Roma'!J61</f>
        <v>0</v>
      </c>
      <c r="I56" s="3">
        <f>'Planning Roma'!K61</f>
        <v>0</v>
      </c>
      <c r="J56" s="3">
        <f>'Planning Roma'!G61</f>
        <v>0</v>
      </c>
      <c r="M56" s="3">
        <f>'Planning Roma'!I61</f>
        <v>0</v>
      </c>
      <c r="N56" s="3">
        <f>'Planning Roma'!N61</f>
        <v>0</v>
      </c>
      <c r="O56" s="3">
        <f>'Planning Roma'!O61</f>
        <v>0</v>
      </c>
      <c r="P56" s="3">
        <f>'Planning Roma'!M61</f>
        <v>0</v>
      </c>
      <c r="Q56" s="2">
        <f>'Planning Roma'!R61</f>
        <v>0</v>
      </c>
      <c r="R56" s="2">
        <f>'Planning Roma'!S61</f>
        <v>0</v>
      </c>
      <c r="S56" s="2">
        <f>'Planning Roma'!Q61</f>
        <v>0</v>
      </c>
      <c r="T56" s="2" t="str">
        <f>'Planning Roma'!V61</f>
        <v/>
      </c>
      <c r="U56" s="2">
        <f>'Planning Roma'!W61</f>
        <v>0</v>
      </c>
      <c r="V56" s="2">
        <f>'Planning Roma'!X61</f>
        <v>0</v>
      </c>
      <c r="W56" s="2">
        <f>'Planning Roma'!Y61</f>
        <v>0</v>
      </c>
      <c r="X56" s="2">
        <f>'Planning Roma'!Z61</f>
        <v>0</v>
      </c>
      <c r="Y56" s="2">
        <f>'Planning Roma'!AA61</f>
        <v>0</v>
      </c>
      <c r="Z56" s="2">
        <f>'Planning Roma'!AB61</f>
        <v>0</v>
      </c>
      <c r="AA56" s="6">
        <v>1805282</v>
      </c>
      <c r="AB56" s="2">
        <f>'Planning Roma'!AE61</f>
        <v>0</v>
      </c>
      <c r="AC56" s="2">
        <f>'Planning Roma'!AF61</f>
        <v>0</v>
      </c>
      <c r="AI56" s="3">
        <f>SUM(J56:Z56)</f>
        <v>0</v>
      </c>
    </row>
    <row r="57" spans="1:35" ht="14.25" customHeight="1" thickBot="1" x14ac:dyDescent="0.3">
      <c r="A57" s="2" t="str">
        <f>'Planning Roma'!$D$1</f>
        <v>RM</v>
      </c>
      <c r="B57" s="2" t="str">
        <f>'Planning Roma'!$D$3</f>
        <v xml:space="preserve"> </v>
      </c>
      <c r="C57" s="2">
        <f>'Planning Roma'!$A$7</f>
        <v>1</v>
      </c>
      <c r="E57" s="2" t="s">
        <v>108</v>
      </c>
      <c r="F57" s="2" t="str">
        <f>'Planning Roma'!C62</f>
        <v>ZARA HOME</v>
      </c>
      <c r="G57" s="2">
        <f>'Planning Roma'!B62</f>
        <v>1971</v>
      </c>
      <c r="H57" s="3"/>
      <c r="I57" s="3"/>
      <c r="J57" s="3"/>
      <c r="K57" s="122">
        <f>'Planning Roma'!J62</f>
        <v>15.96</v>
      </c>
      <c r="L57" s="122">
        <f>'Planning Roma'!K62</f>
        <v>1606</v>
      </c>
      <c r="M57" s="3">
        <f>'Planning Roma'!I62</f>
        <v>0</v>
      </c>
      <c r="N57" s="3">
        <f>'Planning Roma'!N62</f>
        <v>0.32</v>
      </c>
      <c r="O57" s="3">
        <f>'Planning Roma'!O62</f>
        <v>38</v>
      </c>
      <c r="P57" s="3">
        <f>'Planning Roma'!M62</f>
        <v>3</v>
      </c>
      <c r="Q57" s="2">
        <f>'Planning Roma'!R62</f>
        <v>1.44</v>
      </c>
      <c r="R57" s="2">
        <f>'Planning Roma'!S62</f>
        <v>69</v>
      </c>
      <c r="S57" s="2">
        <f>'Planning Roma'!Q62</f>
        <v>15</v>
      </c>
      <c r="T57" s="2" t="str">
        <f>'Planning Roma'!V62</f>
        <v xml:space="preserve">3C  da 169C  da </v>
      </c>
      <c r="U57" s="2">
        <f>'Planning Roma'!W62</f>
        <v>0</v>
      </c>
      <c r="V57" s="2">
        <f>'Planning Roma'!X62</f>
        <v>0</v>
      </c>
      <c r="W57" s="2">
        <f>'Planning Roma'!Y62</f>
        <v>0</v>
      </c>
      <c r="X57" s="2">
        <f>'Planning Roma'!Z62</f>
        <v>0</v>
      </c>
      <c r="Y57" s="2">
        <f>'Planning Roma'!AA62</f>
        <v>0</v>
      </c>
      <c r="Z57" s="2">
        <f>'Planning Roma'!AB62</f>
        <v>0</v>
      </c>
      <c r="AA57" s="6">
        <v>1805282</v>
      </c>
      <c r="AB57" s="2">
        <f>'Planning Roma'!AE62</f>
        <v>0</v>
      </c>
      <c r="AC57" s="2">
        <f>'Planning Roma'!AF62</f>
        <v>0</v>
      </c>
      <c r="AI57" s="3">
        <f t="shared" si="0"/>
        <v>1748.72</v>
      </c>
    </row>
    <row r="58" spans="1:35" ht="14.25" customHeight="1" thickBot="1" x14ac:dyDescent="0.3">
      <c r="A58" s="2" t="str">
        <f>'Planning Roma'!$D$1</f>
        <v>RM</v>
      </c>
      <c r="B58" s="2" t="str">
        <f>'Planning Roma'!$D$3</f>
        <v xml:space="preserve"> </v>
      </c>
      <c r="C58" s="2">
        <f>'Planning Roma'!$A$7</f>
        <v>1</v>
      </c>
      <c r="E58" s="2" t="s">
        <v>108</v>
      </c>
      <c r="F58" s="2" t="str">
        <f>'Planning Roma'!C63</f>
        <v>ZARA HOME</v>
      </c>
      <c r="G58" s="2">
        <f>'Planning Roma'!B63</f>
        <v>1755</v>
      </c>
      <c r="H58" s="3"/>
      <c r="I58" s="3"/>
      <c r="J58" s="3"/>
      <c r="K58" s="122">
        <f>'Planning Roma'!J63</f>
        <v>8.83</v>
      </c>
      <c r="L58" s="122">
        <f>'Planning Roma'!K63</f>
        <v>942</v>
      </c>
      <c r="M58" s="3">
        <f>'Planning Roma'!I63</f>
        <v>114</v>
      </c>
      <c r="N58" s="3">
        <f>'Planning Roma'!N63</f>
        <v>0.14000000000000001</v>
      </c>
      <c r="O58" s="3">
        <f>'Planning Roma'!O63</f>
        <v>13</v>
      </c>
      <c r="P58" s="3">
        <f>'Planning Roma'!M63</f>
        <v>2</v>
      </c>
      <c r="Q58" s="2">
        <f>'Planning Roma'!R63</f>
        <v>1.06</v>
      </c>
      <c r="R58" s="2">
        <f>'Planning Roma'!S63</f>
        <v>52</v>
      </c>
      <c r="S58" s="2">
        <f>'Planning Roma'!Q63</f>
        <v>11</v>
      </c>
      <c r="T58" s="2" t="str">
        <f>'Planning Roma'!V63</f>
        <v/>
      </c>
      <c r="U58" s="2">
        <f>'Planning Roma'!W63</f>
        <v>0</v>
      </c>
      <c r="V58" s="2">
        <f>'Planning Roma'!X63</f>
        <v>0</v>
      </c>
      <c r="W58" s="2">
        <f>'Planning Roma'!Y63</f>
        <v>0</v>
      </c>
      <c r="X58" s="2">
        <f>'Planning Roma'!Z63</f>
        <v>0</v>
      </c>
      <c r="Y58" s="2">
        <f>'Planning Roma'!AA63</f>
        <v>0</v>
      </c>
      <c r="Z58" s="2">
        <f>'Planning Roma'!AB63</f>
        <v>0</v>
      </c>
      <c r="AA58" s="6">
        <v>1805282</v>
      </c>
      <c r="AB58" s="2">
        <f>'Planning Roma'!AE63</f>
        <v>0</v>
      </c>
      <c r="AC58" s="2">
        <f>'Planning Roma'!AF63</f>
        <v>0</v>
      </c>
      <c r="AI58" s="3">
        <f t="shared" si="0"/>
        <v>1144.03</v>
      </c>
    </row>
    <row r="59" spans="1:35" ht="14.25" customHeight="1" thickBot="1" x14ac:dyDescent="0.3">
      <c r="A59" s="2" t="str">
        <f>'Planning Roma'!$D$1</f>
        <v>RM</v>
      </c>
      <c r="B59" s="2" t="str">
        <f>'Planning Roma'!$D$3</f>
        <v xml:space="preserve"> </v>
      </c>
      <c r="C59" s="2">
        <f>'Planning Roma'!$A$7</f>
        <v>1</v>
      </c>
      <c r="E59" s="2" t="s">
        <v>108</v>
      </c>
      <c r="F59" s="2" t="str">
        <f>'Planning Roma'!C64</f>
        <v>ZARA HOME</v>
      </c>
      <c r="G59" s="2">
        <f>'Planning Roma'!B64</f>
        <v>1984</v>
      </c>
      <c r="H59" s="3"/>
      <c r="I59" s="3"/>
      <c r="J59" s="3"/>
      <c r="K59" s="122">
        <f>'Planning Roma'!J64</f>
        <v>21.81</v>
      </c>
      <c r="L59" s="122">
        <f>'Planning Roma'!K64</f>
        <v>2457</v>
      </c>
      <c r="M59" s="3">
        <f>'Planning Roma'!I64</f>
        <v>0</v>
      </c>
      <c r="N59" s="3">
        <f>'Planning Roma'!N64</f>
        <v>0.33</v>
      </c>
      <c r="O59" s="3">
        <f>'Planning Roma'!O64</f>
        <v>37</v>
      </c>
      <c r="P59" s="3">
        <f>'Planning Roma'!M64</f>
        <v>0</v>
      </c>
      <c r="Q59" s="2">
        <f>'Planning Roma'!R64</f>
        <v>0.86</v>
      </c>
      <c r="R59" s="2">
        <f>'Planning Roma'!S64</f>
        <v>51</v>
      </c>
      <c r="S59" s="2">
        <f>'Planning Roma'!Q64</f>
        <v>9</v>
      </c>
      <c r="T59" s="2" t="str">
        <f>'Planning Roma'!V64</f>
        <v xml:space="preserve">186C  da 3C  da 1C  da </v>
      </c>
      <c r="U59" s="2">
        <f>'Planning Roma'!W64</f>
        <v>0</v>
      </c>
      <c r="V59" s="2">
        <f>'Planning Roma'!X64</f>
        <v>0</v>
      </c>
      <c r="W59" s="2">
        <f>'Planning Roma'!Y64</f>
        <v>0</v>
      </c>
      <c r="X59" s="2">
        <f>'Planning Roma'!Z64</f>
        <v>0</v>
      </c>
      <c r="Y59" s="2">
        <f>'Planning Roma'!AA64</f>
        <v>0</v>
      </c>
      <c r="Z59" s="2">
        <f>'Planning Roma'!AB64</f>
        <v>0</v>
      </c>
      <c r="AA59" s="6">
        <v>1805282</v>
      </c>
      <c r="AB59" s="2">
        <f>'Planning Roma'!AE64</f>
        <v>0</v>
      </c>
      <c r="AC59" s="2">
        <f>'Planning Roma'!AF64</f>
        <v>0</v>
      </c>
      <c r="AI59" s="3">
        <f t="shared" si="0"/>
        <v>2577</v>
      </c>
    </row>
    <row r="60" spans="1:35" ht="14.25" customHeight="1" thickBot="1" x14ac:dyDescent="0.3">
      <c r="A60" s="2" t="str">
        <f>'Planning Roma'!$D$1</f>
        <v>RM</v>
      </c>
      <c r="B60" s="2" t="str">
        <f>'Planning Roma'!$D$3</f>
        <v xml:space="preserve"> </v>
      </c>
      <c r="C60" s="2">
        <f>'Planning Roma'!$A$7</f>
        <v>1</v>
      </c>
      <c r="E60" s="2" t="s">
        <v>108</v>
      </c>
      <c r="F60" s="136" t="str">
        <f>'Planning Roma'!C65</f>
        <v>ZARA HOME APP</v>
      </c>
      <c r="G60" s="2">
        <f>'Planning Roma'!B65</f>
        <v>1971</v>
      </c>
      <c r="H60" s="3">
        <f>'Planning Roma'!J65</f>
        <v>0</v>
      </c>
      <c r="I60" s="3">
        <f>'Planning Roma'!K65</f>
        <v>0</v>
      </c>
      <c r="J60" s="3">
        <f>'Planning Roma'!G65</f>
        <v>0</v>
      </c>
      <c r="M60" s="3">
        <f>'Planning Roma'!I65</f>
        <v>0</v>
      </c>
      <c r="N60" s="3">
        <f>'Planning Roma'!N65</f>
        <v>0</v>
      </c>
      <c r="O60" s="3">
        <f>'Planning Roma'!O65</f>
        <v>0</v>
      </c>
      <c r="P60" s="3">
        <f>'Planning Roma'!M65</f>
        <v>0</v>
      </c>
      <c r="Q60" s="2">
        <f>'Planning Roma'!R65</f>
        <v>0</v>
      </c>
      <c r="R60" s="2">
        <f>'Planning Roma'!S65</f>
        <v>0</v>
      </c>
      <c r="S60" s="2">
        <f>'Planning Roma'!Q65</f>
        <v>0</v>
      </c>
      <c r="T60" s="2" t="str">
        <f>'Planning Roma'!V65</f>
        <v xml:space="preserve">3C  da 169C  da </v>
      </c>
      <c r="U60" s="2">
        <f>'Planning Roma'!W65</f>
        <v>0</v>
      </c>
      <c r="V60" s="2">
        <f>'Planning Roma'!X65</f>
        <v>0</v>
      </c>
      <c r="W60" s="2">
        <f>'Planning Roma'!Y65</f>
        <v>0</v>
      </c>
      <c r="X60" s="2">
        <f>'Planning Roma'!Z65</f>
        <v>0</v>
      </c>
      <c r="Y60" s="2">
        <f>'Planning Roma'!AA65</f>
        <v>0</v>
      </c>
      <c r="Z60" s="2">
        <f>'Planning Roma'!AB65</f>
        <v>0</v>
      </c>
      <c r="AA60" s="6">
        <v>1805282</v>
      </c>
      <c r="AB60" s="2">
        <f>'Planning Roma'!AE65</f>
        <v>0</v>
      </c>
      <c r="AC60" s="2">
        <f>'Planning Roma'!AF65</f>
        <v>0</v>
      </c>
      <c r="AI60" s="3">
        <f t="shared" ref="AI60" si="4">SUM(H60:Z60)</f>
        <v>0</v>
      </c>
    </row>
    <row r="61" spans="1:35" ht="14.25" customHeight="1" thickBot="1" x14ac:dyDescent="0.3">
      <c r="A61" s="2" t="str">
        <f>'Planning Roma'!$D$1</f>
        <v>RM</v>
      </c>
      <c r="B61" s="2" t="str">
        <f>'Planning Roma'!$D$3</f>
        <v xml:space="preserve"> </v>
      </c>
      <c r="C61" s="2">
        <f>'Planning Roma'!$A$7</f>
        <v>1</v>
      </c>
      <c r="E61" s="2" t="s">
        <v>108</v>
      </c>
      <c r="F61" s="136" t="str">
        <f>'Planning Roma'!C66</f>
        <v>ZARA HOME APP</v>
      </c>
      <c r="G61" s="2">
        <f>'Planning Roma'!B66</f>
        <v>1984</v>
      </c>
      <c r="H61" s="3">
        <f>'Planning Roma'!J66</f>
        <v>0</v>
      </c>
      <c r="I61" s="3">
        <f>'Planning Roma'!K66</f>
        <v>0</v>
      </c>
      <c r="J61" s="3">
        <f>'Planning Roma'!G66</f>
        <v>0</v>
      </c>
      <c r="M61" s="3">
        <f>'Planning Roma'!I66</f>
        <v>0</v>
      </c>
      <c r="N61" s="3">
        <f>'Planning Roma'!N66</f>
        <v>0</v>
      </c>
      <c r="O61" s="3">
        <f>'Planning Roma'!O66</f>
        <v>0</v>
      </c>
      <c r="P61" s="3">
        <f>'Planning Roma'!M66</f>
        <v>0</v>
      </c>
      <c r="Q61" s="2">
        <f>'Planning Roma'!R66</f>
        <v>0</v>
      </c>
      <c r="R61" s="2">
        <f>'Planning Roma'!S66</f>
        <v>0</v>
      </c>
      <c r="S61" s="2">
        <f>'Planning Roma'!Q66</f>
        <v>0</v>
      </c>
      <c r="T61" s="2" t="str">
        <f>'Planning Roma'!V66</f>
        <v xml:space="preserve">186C  da 3C  da 1C  da </v>
      </c>
      <c r="U61" s="2">
        <f>'Planning Roma'!W66</f>
        <v>0</v>
      </c>
      <c r="V61" s="2">
        <f>'Planning Roma'!X66</f>
        <v>0</v>
      </c>
      <c r="W61" s="2">
        <f>'Planning Roma'!Y66</f>
        <v>0</v>
      </c>
      <c r="X61" s="2">
        <f>'Planning Roma'!Z66</f>
        <v>0</v>
      </c>
      <c r="Y61" s="2">
        <f>'Planning Roma'!AA66</f>
        <v>0</v>
      </c>
      <c r="Z61" s="2">
        <f>'Planning Roma'!AB66</f>
        <v>0</v>
      </c>
      <c r="AA61" s="6">
        <v>1805282</v>
      </c>
      <c r="AB61" s="2">
        <f>'Planning Roma'!AE66</f>
        <v>0</v>
      </c>
      <c r="AC61" s="2">
        <f>'Planning Roma'!AF66</f>
        <v>0</v>
      </c>
      <c r="AI61" s="3">
        <f t="shared" si="0"/>
        <v>0</v>
      </c>
    </row>
    <row r="62" spans="1:35" ht="14.25" customHeight="1" thickBot="1" x14ac:dyDescent="0.3">
      <c r="A62" s="2" t="str">
        <f>'Planning Roma'!$D$1</f>
        <v>RM</v>
      </c>
      <c r="B62" s="2" t="str">
        <f>'Planning Roma'!$D$3</f>
        <v xml:space="preserve"> </v>
      </c>
      <c r="C62" s="2">
        <f>'Planning Roma'!$A$7</f>
        <v>1</v>
      </c>
      <c r="E62" s="2" t="s">
        <v>108</v>
      </c>
      <c r="F62" s="2" t="str">
        <f>'Planning Roma'!C67</f>
        <v>STRADIVARIUS</v>
      </c>
      <c r="G62" s="2">
        <f>'Planning Roma'!B67</f>
        <v>6760</v>
      </c>
      <c r="H62" s="3">
        <f>'Planning Roma'!J67</f>
        <v>11.22</v>
      </c>
      <c r="I62" s="3">
        <f>'Planning Roma'!K67</f>
        <v>1661</v>
      </c>
      <c r="J62" s="3">
        <f>'Planning Roma'!G67</f>
        <v>106</v>
      </c>
      <c r="M62" s="3">
        <f>'Planning Roma'!I67</f>
        <v>0</v>
      </c>
      <c r="N62" s="3">
        <f>'Planning Roma'!N67</f>
        <v>0.93</v>
      </c>
      <c r="O62" s="3">
        <f>'Planning Roma'!O67</f>
        <v>102</v>
      </c>
      <c r="P62" s="3">
        <f>'Planning Roma'!M67</f>
        <v>10</v>
      </c>
      <c r="Q62" s="2">
        <f>'Planning Roma'!R67</f>
        <v>0</v>
      </c>
      <c r="R62" s="2">
        <f>'Planning Roma'!S67</f>
        <v>0</v>
      </c>
      <c r="S62" s="2">
        <f>'Planning Roma'!Q67</f>
        <v>0</v>
      </c>
      <c r="T62" s="2" t="str">
        <f>'Planning Roma'!V67</f>
        <v/>
      </c>
      <c r="U62" s="2">
        <f>'Planning Roma'!W67</f>
        <v>0</v>
      </c>
      <c r="V62" s="2">
        <f>'Planning Roma'!X67</f>
        <v>0</v>
      </c>
      <c r="W62" s="2">
        <f>'Planning Roma'!Y67</f>
        <v>0</v>
      </c>
      <c r="X62" s="2">
        <f>'Planning Roma'!Z67</f>
        <v>0</v>
      </c>
      <c r="Y62" s="2">
        <f>'Planning Roma'!AA67</f>
        <v>0</v>
      </c>
      <c r="Z62" s="2">
        <f>'Planning Roma'!AB67</f>
        <v>0</v>
      </c>
      <c r="AA62" s="6">
        <v>1805282</v>
      </c>
      <c r="AB62" s="2">
        <f>'Planning Roma'!AE67</f>
        <v>0</v>
      </c>
      <c r="AC62" s="2">
        <f>'Planning Roma'!AF67</f>
        <v>0</v>
      </c>
      <c r="AI62" s="3">
        <f t="shared" si="0"/>
        <v>1891.15</v>
      </c>
    </row>
    <row r="63" spans="1:35" ht="14.25" customHeight="1" thickBot="1" x14ac:dyDescent="0.3">
      <c r="A63" s="2" t="str">
        <f>'Planning Roma'!$D$1</f>
        <v>RM</v>
      </c>
      <c r="B63" s="2" t="str">
        <f>'Planning Roma'!$D$3</f>
        <v xml:space="preserve"> </v>
      </c>
      <c r="C63" s="2">
        <f>'Planning Roma'!$A$7</f>
        <v>1</v>
      </c>
      <c r="E63" s="2" t="s">
        <v>108</v>
      </c>
      <c r="F63" s="2" t="str">
        <f>'Planning Roma'!C68</f>
        <v xml:space="preserve">ZARA   </v>
      </c>
      <c r="G63" s="2">
        <f>'Planning Roma'!B68</f>
        <v>15733</v>
      </c>
      <c r="H63" s="3">
        <f>'Planning Roma'!J68</f>
        <v>209.66</v>
      </c>
      <c r="I63" s="3">
        <f>'Planning Roma'!K68</f>
        <v>30097</v>
      </c>
      <c r="J63" s="3">
        <f>'Planning Roma'!G68</f>
        <v>854</v>
      </c>
      <c r="M63" s="3">
        <f>'Planning Roma'!I68</f>
        <v>0</v>
      </c>
      <c r="N63" s="3">
        <f>'Planning Roma'!N68</f>
        <v>0</v>
      </c>
      <c r="O63" s="3">
        <f>'Planning Roma'!O68</f>
        <v>0</v>
      </c>
      <c r="P63" s="3">
        <f>'Planning Roma'!M68</f>
        <v>0</v>
      </c>
      <c r="Q63" s="2">
        <f>'Planning Roma'!R68</f>
        <v>0</v>
      </c>
      <c r="R63" s="2">
        <f>'Planning Roma'!S68</f>
        <v>0</v>
      </c>
      <c r="S63" s="2">
        <f>'Planning Roma'!Q68</f>
        <v>0</v>
      </c>
      <c r="T63" s="2" t="str">
        <f>'Planning Roma'!V68</f>
        <v/>
      </c>
      <c r="U63" s="2">
        <f>'Planning Roma'!W68</f>
        <v>0</v>
      </c>
      <c r="V63" s="2">
        <f>'Planning Roma'!X68</f>
        <v>0</v>
      </c>
      <c r="W63" s="2">
        <f>'Planning Roma'!Y68</f>
        <v>0</v>
      </c>
      <c r="X63" s="2">
        <f>'Planning Roma'!Z68</f>
        <v>0</v>
      </c>
      <c r="Y63" s="2">
        <f>'Planning Roma'!AA68</f>
        <v>0</v>
      </c>
      <c r="Z63" s="2">
        <f>'Planning Roma'!AB68</f>
        <v>0</v>
      </c>
      <c r="AA63" s="6">
        <v>1805282</v>
      </c>
      <c r="AB63" s="2">
        <f>'Planning Roma'!AE68</f>
        <v>0</v>
      </c>
      <c r="AC63" s="2">
        <f>'Planning Roma'!AF68</f>
        <v>0</v>
      </c>
      <c r="AI63" s="3">
        <f t="shared" si="0"/>
        <v>31160.66</v>
      </c>
    </row>
    <row r="64" spans="1:35" ht="14.25" customHeight="1" thickBot="1" x14ac:dyDescent="0.3">
      <c r="A64" s="2" t="str">
        <f>'Planning Roma'!$D$1</f>
        <v>RM</v>
      </c>
      <c r="B64" s="2" t="str">
        <f>'Planning Roma'!$D$3</f>
        <v xml:space="preserve"> </v>
      </c>
      <c r="C64" s="2">
        <f>'Planning Roma'!$A$7</f>
        <v>1</v>
      </c>
      <c r="E64" s="2" t="s">
        <v>108</v>
      </c>
      <c r="F64" s="2" t="str">
        <f>'Planning Roma'!C69</f>
        <v>ZARA SHOES</v>
      </c>
      <c r="G64" s="2">
        <f>'Planning Roma'!B69</f>
        <v>15733</v>
      </c>
      <c r="H64" s="3">
        <f>'Planning Roma'!J69</f>
        <v>0</v>
      </c>
      <c r="I64" s="3">
        <f>'Planning Roma'!K69</f>
        <v>0</v>
      </c>
      <c r="J64" s="3">
        <f>'Planning Roma'!G69</f>
        <v>0</v>
      </c>
      <c r="M64" s="3">
        <f>'Planning Roma'!I69</f>
        <v>0</v>
      </c>
      <c r="N64" s="3">
        <f>'Planning Roma'!N69</f>
        <v>10.39</v>
      </c>
      <c r="O64" s="3">
        <f>'Planning Roma'!O69</f>
        <v>1176</v>
      </c>
      <c r="P64" s="3">
        <f>'Planning Roma'!M69</f>
        <v>56</v>
      </c>
      <c r="Q64" s="2">
        <f>'Planning Roma'!R69</f>
        <v>0</v>
      </c>
      <c r="R64" s="2">
        <f>'Planning Roma'!S69</f>
        <v>0</v>
      </c>
      <c r="S64" s="2">
        <f>'Planning Roma'!Q69</f>
        <v>0</v>
      </c>
      <c r="T64" s="2" t="str">
        <f>'Planning Roma'!V69</f>
        <v/>
      </c>
      <c r="U64" s="2">
        <f>'Planning Roma'!W69</f>
        <v>0</v>
      </c>
      <c r="V64" s="2">
        <f>'Planning Roma'!X69</f>
        <v>0</v>
      </c>
      <c r="W64" s="2">
        <f>'Planning Roma'!Y69</f>
        <v>0</v>
      </c>
      <c r="X64" s="2">
        <f>'Planning Roma'!Z69</f>
        <v>0</v>
      </c>
      <c r="Y64" s="2">
        <f>'Planning Roma'!AA69</f>
        <v>0</v>
      </c>
      <c r="Z64" s="2">
        <f>'Planning Roma'!AB69</f>
        <v>0</v>
      </c>
      <c r="AA64" s="6">
        <v>1805282</v>
      </c>
      <c r="AB64" s="2">
        <f>'Planning Roma'!AE69</f>
        <v>0</v>
      </c>
      <c r="AC64" s="2">
        <f>'Planning Roma'!AF69</f>
        <v>0</v>
      </c>
      <c r="AI64" s="3">
        <f t="shared" si="0"/>
        <v>1242.3900000000001</v>
      </c>
    </row>
    <row r="65" spans="1:35" ht="14.25" customHeight="1" thickBot="1" x14ac:dyDescent="0.3">
      <c r="A65" s="2" t="str">
        <f>'Planning Roma'!$D$1</f>
        <v>RM</v>
      </c>
      <c r="B65" s="2" t="str">
        <f>'Planning Roma'!$D$3</f>
        <v xml:space="preserve"> </v>
      </c>
      <c r="C65" s="2">
        <f>'Planning Roma'!$A$7</f>
        <v>1</v>
      </c>
      <c r="E65" s="2" t="s">
        <v>108</v>
      </c>
      <c r="F65" s="2" t="str">
        <f>'Planning Roma'!C70</f>
        <v>BERSHKA</v>
      </c>
      <c r="G65" s="2">
        <f>'Planning Roma'!B70</f>
        <v>5641</v>
      </c>
      <c r="H65" s="3">
        <f>'Planning Roma'!J70</f>
        <v>8.3800000000000008</v>
      </c>
      <c r="I65" s="3">
        <f>'Planning Roma'!K70</f>
        <v>1427</v>
      </c>
      <c r="J65" s="3">
        <f>'Planning Roma'!G70</f>
        <v>85</v>
      </c>
      <c r="M65" s="3">
        <f>'Planning Roma'!I70</f>
        <v>0</v>
      </c>
      <c r="N65" s="3">
        <f>'Planning Roma'!N70</f>
        <v>0.68</v>
      </c>
      <c r="O65" s="3">
        <f>'Planning Roma'!O70</f>
        <v>92</v>
      </c>
      <c r="P65" s="3">
        <f>'Planning Roma'!M70</f>
        <v>7</v>
      </c>
      <c r="Q65" s="2">
        <f>'Planning Roma'!R70</f>
        <v>0.22</v>
      </c>
      <c r="R65" s="2">
        <f>'Planning Roma'!S70</f>
        <v>14</v>
      </c>
      <c r="S65" s="2">
        <f>'Planning Roma'!Q70</f>
        <v>2</v>
      </c>
      <c r="T65" s="2" t="str">
        <f>'Planning Roma'!V70</f>
        <v/>
      </c>
      <c r="U65" s="2">
        <f>'Planning Roma'!W70</f>
        <v>0</v>
      </c>
      <c r="V65" s="2">
        <f>'Planning Roma'!X70</f>
        <v>0</v>
      </c>
      <c r="W65" s="2">
        <f>'Planning Roma'!Y70</f>
        <v>0</v>
      </c>
      <c r="X65" s="2">
        <f>'Planning Roma'!Z70</f>
        <v>0</v>
      </c>
      <c r="Y65" s="2">
        <f>'Planning Roma'!AA70</f>
        <v>0</v>
      </c>
      <c r="Z65" s="2">
        <f>'Planning Roma'!AB70</f>
        <v>0</v>
      </c>
      <c r="AA65" s="6">
        <v>1805282</v>
      </c>
      <c r="AB65" s="2">
        <f>'Planning Roma'!AE70</f>
        <v>0</v>
      </c>
      <c r="AC65" s="2">
        <f>'Planning Roma'!AF70</f>
        <v>0</v>
      </c>
      <c r="AI65" s="3">
        <f t="shared" si="0"/>
        <v>1636.2800000000002</v>
      </c>
    </row>
    <row r="66" spans="1:35" ht="14.25" customHeight="1" thickBot="1" x14ac:dyDescent="0.3">
      <c r="A66" s="2" t="str">
        <f>'Planning Roma'!$D$1</f>
        <v>RM</v>
      </c>
      <c r="B66" s="2" t="str">
        <f>'Planning Roma'!$D$3</f>
        <v xml:space="preserve"> </v>
      </c>
      <c r="C66" s="2">
        <f>'Planning Roma'!$A$7</f>
        <v>1</v>
      </c>
      <c r="E66" s="2" t="s">
        <v>108</v>
      </c>
      <c r="F66" s="2" t="str">
        <f>'Planning Roma'!C71</f>
        <v>PULL&amp;BEAR</v>
      </c>
      <c r="G66" s="2">
        <f>'Planning Roma'!B71</f>
        <v>5405</v>
      </c>
      <c r="H66" s="3">
        <f>'Planning Roma'!J71</f>
        <v>10.11</v>
      </c>
      <c r="I66" s="3">
        <f>'Planning Roma'!K71</f>
        <v>1584</v>
      </c>
      <c r="J66" s="3">
        <f>'Planning Roma'!G71</f>
        <v>92</v>
      </c>
      <c r="M66" s="3">
        <f>'Planning Roma'!I71</f>
        <v>0</v>
      </c>
      <c r="N66" s="3">
        <f>'Planning Roma'!N71</f>
        <v>0.49</v>
      </c>
      <c r="O66" s="3">
        <f>'Planning Roma'!O71</f>
        <v>53</v>
      </c>
      <c r="P66" s="3">
        <f>'Planning Roma'!M71</f>
        <v>7</v>
      </c>
      <c r="Q66" s="2">
        <f>'Planning Roma'!R71</f>
        <v>0.09</v>
      </c>
      <c r="R66" s="2">
        <f>'Planning Roma'!S71</f>
        <v>9</v>
      </c>
      <c r="S66" s="2">
        <f>'Planning Roma'!Q71</f>
        <v>1</v>
      </c>
      <c r="T66" s="2" t="str">
        <f>'Planning Roma'!V71</f>
        <v/>
      </c>
      <c r="U66" s="2">
        <f>'Planning Roma'!W71</f>
        <v>0</v>
      </c>
      <c r="V66" s="2">
        <f>'Planning Roma'!X71</f>
        <v>0</v>
      </c>
      <c r="W66" s="2">
        <f>'Planning Roma'!Y71</f>
        <v>0</v>
      </c>
      <c r="X66" s="2">
        <f>'Planning Roma'!Z71</f>
        <v>0</v>
      </c>
      <c r="Y66" s="2">
        <f>'Planning Roma'!AA71</f>
        <v>0</v>
      </c>
      <c r="Z66" s="2">
        <f>'Planning Roma'!AB71</f>
        <v>0</v>
      </c>
      <c r="AA66" s="6">
        <v>1805282</v>
      </c>
      <c r="AB66" s="2">
        <f>'Planning Roma'!AE71</f>
        <v>0</v>
      </c>
      <c r="AC66" s="2">
        <f>'Planning Roma'!AF71</f>
        <v>0</v>
      </c>
      <c r="AI66" s="3">
        <f t="shared" si="0"/>
        <v>1756.6899999999998</v>
      </c>
    </row>
    <row r="67" spans="1:35" ht="14.25" customHeight="1" thickBot="1" x14ac:dyDescent="0.3">
      <c r="A67" s="2" t="str">
        <f>'Planning Roma'!$D$1</f>
        <v>RM</v>
      </c>
      <c r="B67" s="2" t="str">
        <f>'Planning Roma'!$D$3</f>
        <v xml:space="preserve"> </v>
      </c>
      <c r="C67" s="2">
        <f>'Planning Roma'!$A$7</f>
        <v>1</v>
      </c>
      <c r="E67" s="2" t="s">
        <v>108</v>
      </c>
      <c r="F67" s="2" t="str">
        <f>'Planning Roma'!C72</f>
        <v>STRADIVARIUS</v>
      </c>
      <c r="G67" s="2">
        <f>'Planning Roma'!B72</f>
        <v>2972</v>
      </c>
      <c r="H67" s="3">
        <f>'Planning Roma'!J72</f>
        <v>6.54</v>
      </c>
      <c r="I67" s="3">
        <f>'Planning Roma'!K72</f>
        <v>916</v>
      </c>
      <c r="J67" s="3">
        <f>'Planning Roma'!G72</f>
        <v>60</v>
      </c>
      <c r="M67" s="3">
        <f>'Planning Roma'!I72</f>
        <v>0</v>
      </c>
      <c r="N67" s="3">
        <f>'Planning Roma'!N72</f>
        <v>0.96</v>
      </c>
      <c r="O67" s="3">
        <f>'Planning Roma'!O72</f>
        <v>106</v>
      </c>
      <c r="P67" s="3">
        <f>'Planning Roma'!M72</f>
        <v>10</v>
      </c>
      <c r="Q67" s="2">
        <f>'Planning Roma'!R72</f>
        <v>0</v>
      </c>
      <c r="R67" s="2">
        <f>'Planning Roma'!S72</f>
        <v>0</v>
      </c>
      <c r="S67" s="2">
        <f>'Planning Roma'!Q72</f>
        <v>0</v>
      </c>
      <c r="T67" s="2" t="str">
        <f>'Planning Roma'!V72</f>
        <v/>
      </c>
      <c r="U67" s="2">
        <f>'Planning Roma'!W72</f>
        <v>0</v>
      </c>
      <c r="V67" s="2">
        <f>'Planning Roma'!X72</f>
        <v>0</v>
      </c>
      <c r="W67" s="2">
        <f>'Planning Roma'!Y72</f>
        <v>0</v>
      </c>
      <c r="X67" s="2">
        <f>'Planning Roma'!Z72</f>
        <v>0</v>
      </c>
      <c r="Y67" s="2">
        <f>'Planning Roma'!AA72</f>
        <v>0</v>
      </c>
      <c r="Z67" s="2">
        <f>'Planning Roma'!AB72</f>
        <v>0</v>
      </c>
      <c r="AA67" s="6">
        <v>1805282</v>
      </c>
      <c r="AB67" s="2">
        <f>'Planning Roma'!AE72</f>
        <v>0</v>
      </c>
      <c r="AC67" s="2">
        <f>'Planning Roma'!AF72</f>
        <v>0</v>
      </c>
      <c r="AI67" s="3">
        <f t="shared" ref="AI67" si="5">SUM(H67:Z67)</f>
        <v>1099.5</v>
      </c>
    </row>
    <row r="68" spans="1:35" ht="14.25" customHeight="1" thickBot="1" x14ac:dyDescent="0.3">
      <c r="A68" s="2" t="str">
        <f>'Planning Roma'!$D$1</f>
        <v>RM</v>
      </c>
      <c r="B68" s="2" t="str">
        <f>'Planning Roma'!$D$3</f>
        <v xml:space="preserve"> </v>
      </c>
      <c r="C68" s="2">
        <f>'Planning Roma'!$A$7</f>
        <v>1</v>
      </c>
      <c r="E68" s="2" t="s">
        <v>108</v>
      </c>
      <c r="F68" s="2" t="str">
        <f>'Planning Roma'!C73</f>
        <v>MASSIMO DUTTI</v>
      </c>
      <c r="G68" s="2">
        <f>'Planning Roma'!B73</f>
        <v>17019</v>
      </c>
      <c r="H68" s="3">
        <f>'Planning Roma'!J73</f>
        <v>7.05</v>
      </c>
      <c r="I68" s="3">
        <f>'Planning Roma'!K73</f>
        <v>881</v>
      </c>
      <c r="J68" s="3">
        <f>'Planning Roma'!G73</f>
        <v>44</v>
      </c>
      <c r="M68" s="3">
        <f>'Planning Roma'!I73</f>
        <v>32</v>
      </c>
      <c r="N68" s="3">
        <f>'Planning Roma'!N73</f>
        <v>1.22</v>
      </c>
      <c r="O68" s="3">
        <f>'Planning Roma'!O73</f>
        <v>123</v>
      </c>
      <c r="P68" s="3">
        <f>'Planning Roma'!M73</f>
        <v>25</v>
      </c>
      <c r="Q68" s="2">
        <f>'Planning Roma'!R73</f>
        <v>0</v>
      </c>
      <c r="R68" s="2">
        <f>'Planning Roma'!S73</f>
        <v>0</v>
      </c>
      <c r="S68" s="2">
        <f>'Planning Roma'!Q73</f>
        <v>0</v>
      </c>
      <c r="T68" s="2" t="str">
        <f>'Planning Roma'!V73</f>
        <v/>
      </c>
      <c r="U68" s="2">
        <f>'Planning Roma'!W73</f>
        <v>0</v>
      </c>
      <c r="V68" s="2">
        <f>'Planning Roma'!X73</f>
        <v>0</v>
      </c>
      <c r="W68" s="2">
        <f>'Planning Roma'!Y73</f>
        <v>0</v>
      </c>
      <c r="X68" s="2">
        <f>'Planning Roma'!Z73</f>
        <v>0</v>
      </c>
      <c r="Y68" s="2">
        <f>'Planning Roma'!AA73</f>
        <v>0</v>
      </c>
      <c r="Z68" s="2">
        <f>'Planning Roma'!AB73</f>
        <v>0</v>
      </c>
      <c r="AA68" s="6">
        <v>1805282</v>
      </c>
      <c r="AB68" s="2">
        <f>'Planning Roma'!AE73</f>
        <v>0</v>
      </c>
      <c r="AC68" s="2">
        <f>'Planning Roma'!AF73</f>
        <v>0</v>
      </c>
      <c r="AI68" s="3">
        <f t="shared" ref="AI68" si="6">SUM(H68:Z68)</f>
        <v>1113.27</v>
      </c>
    </row>
    <row r="69" spans="1:35" ht="14.25" customHeight="1" x14ac:dyDescent="0.25">
      <c r="K69" s="4"/>
      <c r="L69" s="4"/>
    </row>
    <row r="70" spans="1:35" ht="14.25" customHeight="1" x14ac:dyDescent="0.25"/>
    <row r="71" spans="1:35" ht="14.25" customHeight="1" x14ac:dyDescent="0.25"/>
    <row r="72" spans="1:35" ht="14.25" customHeight="1" x14ac:dyDescent="0.25"/>
    <row r="73" spans="1:35" ht="14.25" customHeight="1" x14ac:dyDescent="0.25"/>
    <row r="74" spans="1:35" ht="14.25" customHeight="1" x14ac:dyDescent="0.25"/>
    <row r="75" spans="1:35" ht="14.25" customHeight="1" x14ac:dyDescent="0.25"/>
    <row r="76" spans="1:35" ht="14.25" customHeight="1" x14ac:dyDescent="0.25"/>
    <row r="77" spans="1:35" ht="14.25" customHeight="1" x14ac:dyDescent="0.25"/>
    <row r="78" spans="1:35" ht="14.25" customHeight="1" x14ac:dyDescent="0.25"/>
    <row r="79" spans="1:35" ht="14.25" customHeight="1" x14ac:dyDescent="0.25"/>
    <row r="80" spans="1:35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conditionalFormatting sqref="AI2:AI68">
    <cfRule type="cellIs" dxfId="0" priority="2" operator="equal">
      <formula>0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Planning Roma</vt:lpstr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Bianchini Luca</dc:creator>
  <cp:lastModifiedBy>Marco Serafini</cp:lastModifiedBy>
  <dcterms:created xsi:type="dcterms:W3CDTF">2006-09-16T00:00:00Z</dcterms:created>
  <dcterms:modified xsi:type="dcterms:W3CDTF">2026-10-20T12:58:59Z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